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3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28" customHeight="1">
      <c r="B11" s="2" t="inlineStr">
        <is>
          <t>醫師週班表的標記怎麼看</t>
        </is>
      </c>
      <c r="C11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2" ht="68" customHeight="1">
      <c r="B12" s="2" t="inlineStr">
        <is>
          <t>出勤紀錄怎麼看</t>
        </is>
      </c>
      <c r="C12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3" ht="68" customHeight="1">
      <c r="B13" s="2" t="inlineStr">
        <is>
          <t>加班怎麼認定</t>
        </is>
      </c>
      <c r="C13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4" ht="68" customHeight="1">
      <c r="B14" s="2" t="inlineStr">
        <is>
          <t>兩種下拉箭頭不一樣</t>
        </is>
      </c>
      <c r="C14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5" ht="83" customHeight="1">
      <c r="B15" s="2" t="inlineStr">
        <is>
          <t>如果有些格子是空白的</t>
        </is>
      </c>
      <c r="C15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6" ht="68" customHeight="1">
      <c r="B16" s="2" t="inlineStr">
        <is>
          <t>顏色代表什麼</t>
        </is>
      </c>
      <c r="C16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7" ht="68" customHeight="1">
      <c r="B17" s="2" t="inlineStr">
        <is>
          <t>⚠ 法規提醒</t>
        </is>
      </c>
      <c r="C17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8" ht="113" customHeight="1">
      <c r="B18" s="2" t="inlineStr">
        <is>
          <t>⚠ 需要核對的三件事</t>
        </is>
      </c>
      <c r="C18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9" ht="83" customHeight="1">
      <c r="B19" s="2" t="inlineStr">
        <is>
          <t>目前待補的資料</t>
        </is>
      </c>
      <c r="C19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匯~悅~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寶*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悅!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悅*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曜~睿~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0" t="inlineStr">
        <is>
          <t>一早</t>
        </is>
      </c>
      <c r="V45" s="30" t="inlineStr">
        <is>
          <t>一午</t>
        </is>
      </c>
      <c r="W45" s="30" t="inlineStr">
        <is>
          <t>一晚</t>
        </is>
      </c>
      <c r="X45" s="30" t="inlineStr">
        <is>
          <t>二早</t>
        </is>
      </c>
      <c r="Y45" s="30" t="inlineStr">
        <is>
          <t>二午</t>
        </is>
      </c>
      <c r="Z45" s="30" t="inlineStr">
        <is>
          <t>二晚</t>
        </is>
      </c>
      <c r="AA45" s="30" t="inlineStr">
        <is>
          <t>三早</t>
        </is>
      </c>
      <c r="AB45" s="30" t="inlineStr">
        <is>
          <t>三午</t>
        </is>
      </c>
      <c r="AC45" s="30" t="inlineStr">
        <is>
          <t>三晚</t>
        </is>
      </c>
      <c r="AD45" s="30" t="inlineStr">
        <is>
          <t>四早</t>
        </is>
      </c>
      <c r="AE45" s="30" t="inlineStr">
        <is>
          <t>四午</t>
        </is>
      </c>
      <c r="AF45" s="30" t="inlineStr">
        <is>
          <t>四晚</t>
        </is>
      </c>
      <c r="AG45" s="30" t="inlineStr">
        <is>
          <t>五早</t>
        </is>
      </c>
      <c r="AH45" s="30" t="inlineStr">
        <is>
          <t>五午</t>
        </is>
      </c>
      <c r="AI45" s="30" t="inlineStr">
        <is>
          <t>五晚</t>
        </is>
      </c>
      <c r="AJ45" s="30" t="inlineStr">
        <is>
          <t>六早</t>
        </is>
      </c>
      <c r="AK45" s="30" t="inlineStr">
        <is>
          <t>六午</t>
        </is>
      </c>
      <c r="AL45" s="30" t="inlineStr">
        <is>
          <t>六晚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1" t="inlineStr">
        <is>
          <t>開診時段(1 = 有開診,0 = 休診;順序為週一早…週六晚)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9" t="n"/>
    </row>
    <row r="47">
      <c r="B47" s="32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3" t="n">
        <v>1</v>
      </c>
      <c r="V47" s="33" t="n">
        <v>1</v>
      </c>
      <c r="W47" s="33" t="n">
        <v>1</v>
      </c>
      <c r="X47" s="33" t="n">
        <v>1</v>
      </c>
      <c r="Y47" s="33" t="n">
        <v>1</v>
      </c>
      <c r="Z47" s="33" t="n">
        <v>1</v>
      </c>
      <c r="AA47" s="33" t="n">
        <v>1</v>
      </c>
      <c r="AB47" s="33" t="n">
        <v>1</v>
      </c>
      <c r="AC47" s="33" t="n">
        <v>1</v>
      </c>
      <c r="AD47" s="33" t="n">
        <v>1</v>
      </c>
      <c r="AE47" s="33" t="n">
        <v>1</v>
      </c>
      <c r="AF47" s="33" t="n">
        <v>1</v>
      </c>
      <c r="AG47" s="33" t="n">
        <v>1</v>
      </c>
      <c r="AH47" s="33" t="n">
        <v>1</v>
      </c>
      <c r="AI47" s="33" t="n">
        <v>1</v>
      </c>
      <c r="AJ47" s="33" t="n">
        <v>1</v>
      </c>
      <c r="AK47" s="33" t="n">
        <v>1</v>
      </c>
      <c r="AL47" s="34" t="n">
        <v>0</v>
      </c>
    </row>
    <row r="48">
      <c r="B48" s="35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3" t="n">
        <v>1</v>
      </c>
      <c r="V48" s="33" t="n">
        <v>1</v>
      </c>
      <c r="W48" s="33" t="n">
        <v>1</v>
      </c>
      <c r="X48" s="33" t="n">
        <v>1</v>
      </c>
      <c r="Y48" s="33" t="n">
        <v>1</v>
      </c>
      <c r="Z48" s="33" t="n">
        <v>1</v>
      </c>
      <c r="AA48" s="33" t="n">
        <v>1</v>
      </c>
      <c r="AB48" s="33" t="n">
        <v>1</v>
      </c>
      <c r="AC48" s="33" t="n">
        <v>1</v>
      </c>
      <c r="AD48" s="33" t="n">
        <v>1</v>
      </c>
      <c r="AE48" s="33" t="n">
        <v>1</v>
      </c>
      <c r="AF48" s="33" t="n">
        <v>1</v>
      </c>
      <c r="AG48" s="33" t="n">
        <v>1</v>
      </c>
      <c r="AH48" s="33" t="n">
        <v>1</v>
      </c>
      <c r="AI48" s="33" t="n">
        <v>1</v>
      </c>
      <c r="AJ48" s="33" t="n">
        <v>1</v>
      </c>
      <c r="AK48" s="33" t="n">
        <v>1</v>
      </c>
      <c r="AL48" s="34" t="n">
        <v>0</v>
      </c>
    </row>
    <row r="49">
      <c r="B49" s="36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3" t="n">
        <v>1</v>
      </c>
      <c r="V49" s="33" t="n">
        <v>1</v>
      </c>
      <c r="W49" s="33" t="n">
        <v>1</v>
      </c>
      <c r="X49" s="33" t="n">
        <v>1</v>
      </c>
      <c r="Y49" s="33" t="n">
        <v>1</v>
      </c>
      <c r="Z49" s="33" t="n">
        <v>1</v>
      </c>
      <c r="AA49" s="33" t="n">
        <v>1</v>
      </c>
      <c r="AB49" s="33" t="n">
        <v>1</v>
      </c>
      <c r="AC49" s="33" t="n">
        <v>1</v>
      </c>
      <c r="AD49" s="33" t="n">
        <v>1</v>
      </c>
      <c r="AE49" s="33" t="n">
        <v>1</v>
      </c>
      <c r="AF49" s="33" t="n">
        <v>1</v>
      </c>
      <c r="AG49" s="33" t="n">
        <v>1</v>
      </c>
      <c r="AH49" s="33" t="n">
        <v>1</v>
      </c>
      <c r="AI49" s="33" t="n">
        <v>1</v>
      </c>
      <c r="AJ49" s="33" t="n">
        <v>1</v>
      </c>
      <c r="AK49" s="33" t="n">
        <v>1</v>
      </c>
      <c r="AL49" s="34" t="n">
        <v>0</v>
      </c>
    </row>
    <row r="50">
      <c r="B50" s="37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3" t="n">
        <v>1</v>
      </c>
      <c r="V50" s="33" t="n">
        <v>1</v>
      </c>
      <c r="W50" s="33" t="n">
        <v>1</v>
      </c>
      <c r="X50" s="33" t="n">
        <v>1</v>
      </c>
      <c r="Y50" s="33" t="n">
        <v>1</v>
      </c>
      <c r="Z50" s="33" t="n">
        <v>1</v>
      </c>
      <c r="AA50" s="33" t="n">
        <v>1</v>
      </c>
      <c r="AB50" s="33" t="n">
        <v>1</v>
      </c>
      <c r="AC50" s="33" t="n">
        <v>1</v>
      </c>
      <c r="AD50" s="33" t="n">
        <v>1</v>
      </c>
      <c r="AE50" s="33" t="n">
        <v>1</v>
      </c>
      <c r="AF50" s="33" t="n">
        <v>1</v>
      </c>
      <c r="AG50" s="33" t="n">
        <v>1</v>
      </c>
      <c r="AH50" s="33" t="n">
        <v>1</v>
      </c>
      <c r="AI50" s="33" t="n">
        <v>1</v>
      </c>
      <c r="AJ50" s="33" t="n">
        <v>1</v>
      </c>
      <c r="AK50" s="33" t="n">
        <v>1</v>
      </c>
      <c r="AL50" s="34" t="n">
        <v>0</v>
      </c>
    </row>
    <row r="51">
      <c r="B51" s="38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4" t="n">
        <v>0</v>
      </c>
      <c r="V51" s="33" t="n">
        <v>1</v>
      </c>
      <c r="W51" s="33" t="n">
        <v>1</v>
      </c>
      <c r="X51" s="34" t="n">
        <v>0</v>
      </c>
      <c r="Y51" s="33" t="n">
        <v>1</v>
      </c>
      <c r="Z51" s="33" t="n">
        <v>1</v>
      </c>
      <c r="AA51" s="34" t="n">
        <v>0</v>
      </c>
      <c r="AB51" s="33" t="n">
        <v>1</v>
      </c>
      <c r="AC51" s="33" t="n">
        <v>1</v>
      </c>
      <c r="AD51" s="34" t="n">
        <v>0</v>
      </c>
      <c r="AE51" s="33" t="n">
        <v>1</v>
      </c>
      <c r="AF51" s="33" t="n">
        <v>1</v>
      </c>
      <c r="AG51" s="34" t="n">
        <v>0</v>
      </c>
      <c r="AH51" s="33" t="n">
        <v>1</v>
      </c>
      <c r="AI51" s="33" t="n">
        <v>1</v>
      </c>
      <c r="AJ51" s="33" t="n">
        <v>1</v>
      </c>
      <c r="AK51" s="33" t="n">
        <v>1</v>
      </c>
      <c r="AL51" s="34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</row>
    <row r="54">
      <c r="S54" s="17" t="inlineStr"/>
    </row>
    <row r="55">
      <c r="B55" s="39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2">
    <mergeCell ref="D40:J40"/>
    <mergeCell ref="D41:J41"/>
    <mergeCell ref="G26:J26"/>
    <mergeCell ref="G23:J23"/>
    <mergeCell ref="AP5:AR5"/>
    <mergeCell ref="U46:AL46"/>
    <mergeCell ref="G24:J24"/>
    <mergeCell ref="W4:Y4"/>
    <mergeCell ref="D42:J42"/>
    <mergeCell ref="G25:J25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筆逐格比對一致)。格內寫法見「設定」分頁的「二之二、醫師週班表的標記」。改這裡不會自動改「醫師班表」——月班表是照這張表產生出來的固定值。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0" t="n"/>
      <c r="B4" s="40" t="n"/>
      <c r="C4" s="41" t="inlineStr">
        <is>
          <t>早</t>
        </is>
      </c>
      <c r="D4" s="42" t="inlineStr">
        <is>
          <t>午</t>
        </is>
      </c>
      <c r="E4" s="42" t="inlineStr">
        <is>
          <t>晚</t>
        </is>
      </c>
      <c r="F4" s="41" t="inlineStr">
        <is>
          <t>早</t>
        </is>
      </c>
      <c r="G4" s="42" t="inlineStr">
        <is>
          <t>午</t>
        </is>
      </c>
      <c r="H4" s="42" t="inlineStr">
        <is>
          <t>晚</t>
        </is>
      </c>
      <c r="I4" s="41" t="inlineStr">
        <is>
          <t>早</t>
        </is>
      </c>
      <c r="J4" s="42" t="inlineStr">
        <is>
          <t>午</t>
        </is>
      </c>
      <c r="K4" s="42" t="inlineStr">
        <is>
          <t>晚</t>
        </is>
      </c>
      <c r="L4" s="41" t="inlineStr">
        <is>
          <t>早</t>
        </is>
      </c>
      <c r="M4" s="42" t="inlineStr">
        <is>
          <t>午</t>
        </is>
      </c>
      <c r="N4" s="42" t="inlineStr">
        <is>
          <t>晚</t>
        </is>
      </c>
      <c r="O4" s="41" t="inlineStr">
        <is>
          <t>早</t>
        </is>
      </c>
      <c r="P4" s="42" t="inlineStr">
        <is>
          <t>午</t>
        </is>
      </c>
      <c r="Q4" s="42" t="inlineStr">
        <is>
          <t>晚</t>
        </is>
      </c>
      <c r="R4" s="41" t="inlineStr">
        <is>
          <t>早</t>
        </is>
      </c>
      <c r="S4" s="42" t="inlineStr">
        <is>
          <t>午</t>
        </is>
      </c>
      <c r="T4" s="42" t="inlineStr">
        <is>
          <t>晚</t>
        </is>
      </c>
      <c r="V4" s="40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3" t="n"/>
      <c r="D5" s="44" t="inlineStr">
        <is>
          <t>悅</t>
        </is>
      </c>
      <c r="E5" s="44" t="inlineStr">
        <is>
          <t>悅</t>
        </is>
      </c>
      <c r="F5" s="45" t="inlineStr">
        <is>
          <t>曜</t>
        </is>
      </c>
      <c r="G5" s="46" t="inlineStr">
        <is>
          <t>曜</t>
        </is>
      </c>
      <c r="H5" s="47" t="n"/>
      <c r="I5" s="48" t="inlineStr">
        <is>
          <t>悅</t>
        </is>
      </c>
      <c r="J5" s="44" t="inlineStr">
        <is>
          <t>悅</t>
        </is>
      </c>
      <c r="K5" s="44" t="inlineStr">
        <is>
          <t>悅</t>
        </is>
      </c>
      <c r="L5" s="43" t="n"/>
      <c r="M5" s="49" t="inlineStr">
        <is>
          <t>匯</t>
        </is>
      </c>
      <c r="N5" s="49" t="inlineStr">
        <is>
          <t>匯</t>
        </is>
      </c>
      <c r="O5" s="43" t="n"/>
      <c r="P5" s="44" t="inlineStr">
        <is>
          <t>悅</t>
        </is>
      </c>
      <c r="Q5" s="44" t="inlineStr">
        <is>
          <t>悅</t>
        </is>
      </c>
      <c r="R5" s="48" t="inlineStr">
        <is>
          <t>悅~</t>
        </is>
      </c>
      <c r="S5" s="47" t="n"/>
      <c r="T5" s="47" t="n"/>
      <c r="V5" s="50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5" t="inlineStr">
        <is>
          <t>曜</t>
        </is>
      </c>
      <c r="D6" s="46" t="inlineStr">
        <is>
          <t>曜</t>
        </is>
      </c>
      <c r="E6" s="46" t="inlineStr">
        <is>
          <t>曜</t>
        </is>
      </c>
      <c r="F6" s="43" t="n"/>
      <c r="G6" s="51" t="inlineStr">
        <is>
          <t>睿</t>
        </is>
      </c>
      <c r="H6" s="51" t="inlineStr">
        <is>
          <t>睿</t>
        </is>
      </c>
      <c r="I6" s="52" t="inlineStr">
        <is>
          <t>曜~睿~</t>
        </is>
      </c>
      <c r="J6" s="51" t="inlineStr">
        <is>
          <t>曜~睿~</t>
        </is>
      </c>
      <c r="K6" s="47" t="n"/>
      <c r="L6" s="45" t="inlineStr">
        <is>
          <t>曜</t>
        </is>
      </c>
      <c r="M6" s="46" t="inlineStr">
        <is>
          <t>曜</t>
        </is>
      </c>
      <c r="N6" s="46" t="inlineStr">
        <is>
          <t>曜</t>
        </is>
      </c>
      <c r="O6" s="43" t="n"/>
      <c r="P6" s="51" t="inlineStr">
        <is>
          <t>睿</t>
        </is>
      </c>
      <c r="Q6" s="51" t="inlineStr">
        <is>
          <t>睿</t>
        </is>
      </c>
      <c r="R6" s="43" t="n"/>
      <c r="S6" s="47" t="n"/>
      <c r="T6" s="47" t="n"/>
      <c r="V6" s="50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3" t="n"/>
      <c r="D7" s="44" t="inlineStr">
        <is>
          <t>悅~睿~</t>
        </is>
      </c>
      <c r="E7" s="44" t="inlineStr">
        <is>
          <t>悅~睿~</t>
        </is>
      </c>
      <c r="F7" s="43" t="n"/>
      <c r="G7" s="47" t="n"/>
      <c r="H7" s="47" t="n"/>
      <c r="I7" s="43" t="n"/>
      <c r="J7" s="44" t="inlineStr">
        <is>
          <t>悅</t>
        </is>
      </c>
      <c r="K7" s="44" t="inlineStr">
        <is>
          <t>悅</t>
        </is>
      </c>
      <c r="L7" s="43" t="n"/>
      <c r="M7" s="47" t="n"/>
      <c r="N7" s="47" t="n"/>
      <c r="O7" s="43" t="n"/>
      <c r="P7" s="47" t="n"/>
      <c r="Q7" s="47" t="n"/>
      <c r="R7" s="48" t="inlineStr">
        <is>
          <t>悅</t>
        </is>
      </c>
      <c r="S7" s="47" t="n"/>
      <c r="T7" s="47" t="n"/>
      <c r="V7" s="50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3" t="n"/>
      <c r="D8" s="44" t="inlineStr">
        <is>
          <t>悅~</t>
        </is>
      </c>
      <c r="E8" s="47" t="n"/>
      <c r="F8" s="48" t="inlineStr">
        <is>
          <t>悅</t>
        </is>
      </c>
      <c r="G8" s="44" t="inlineStr">
        <is>
          <t>悅</t>
        </is>
      </c>
      <c r="H8" s="47" t="n"/>
      <c r="I8" s="43" t="n"/>
      <c r="J8" s="46" t="inlineStr">
        <is>
          <t>曜</t>
        </is>
      </c>
      <c r="K8" s="47" t="n"/>
      <c r="L8" s="52" t="inlineStr">
        <is>
          <t>睿</t>
        </is>
      </c>
      <c r="M8" s="51" t="inlineStr">
        <is>
          <t>睿</t>
        </is>
      </c>
      <c r="N8" s="47" t="n"/>
      <c r="O8" s="43" t="n"/>
      <c r="P8" s="47" t="n"/>
      <c r="Q8" s="47" t="n"/>
      <c r="R8" s="43" t="n"/>
      <c r="S8" s="47" t="n"/>
      <c r="T8" s="47" t="n"/>
      <c r="V8" s="50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3" t="n"/>
      <c r="D9" s="47" t="n"/>
      <c r="E9" s="47" t="n"/>
      <c r="F9" s="48" t="inlineStr">
        <is>
          <t>悅</t>
        </is>
      </c>
      <c r="G9" s="44" t="inlineStr">
        <is>
          <t>悅</t>
        </is>
      </c>
      <c r="H9" s="51" t="inlineStr">
        <is>
          <t>睿</t>
        </is>
      </c>
      <c r="I9" s="43" t="n"/>
      <c r="J9" s="47" t="n"/>
      <c r="K9" s="47" t="n"/>
      <c r="L9" s="43" t="n"/>
      <c r="M9" s="47" t="n"/>
      <c r="N9" s="47" t="n"/>
      <c r="O9" s="43" t="n"/>
      <c r="P9" s="47" t="n"/>
      <c r="Q9" s="47" t="n"/>
      <c r="R9" s="43" t="n"/>
      <c r="S9" s="47" t="n"/>
      <c r="T9" s="47" t="n"/>
      <c r="V9" s="50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3" t="n"/>
      <c r="D10" s="47" t="n"/>
      <c r="E10" s="47" t="n"/>
      <c r="F10" s="43" t="n"/>
      <c r="G10" s="53" t="inlineStr">
        <is>
          <t>寶*</t>
        </is>
      </c>
      <c r="H10" s="53" t="inlineStr">
        <is>
          <t>寶</t>
        </is>
      </c>
      <c r="I10" s="43" t="n"/>
      <c r="J10" s="47" t="n"/>
      <c r="K10" s="47" t="n"/>
      <c r="L10" s="43" t="n"/>
      <c r="M10" s="44" t="inlineStr">
        <is>
          <t>悅!</t>
        </is>
      </c>
      <c r="N10" s="44" t="inlineStr">
        <is>
          <t>悅!</t>
        </is>
      </c>
      <c r="O10" s="43" t="n"/>
      <c r="P10" s="47" t="n"/>
      <c r="Q10" s="47" t="n"/>
      <c r="R10" s="54" t="inlineStr">
        <is>
          <t>寶*</t>
        </is>
      </c>
      <c r="S10" s="53" t="inlineStr">
        <is>
          <t>寶*</t>
        </is>
      </c>
      <c r="T10" s="47" t="n"/>
      <c r="V10" s="50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3" t="n"/>
      <c r="D11" s="47" t="n"/>
      <c r="E11" s="47" t="n"/>
      <c r="F11" s="43" t="n"/>
      <c r="G11" s="44" t="inlineStr">
        <is>
          <t>悅</t>
        </is>
      </c>
      <c r="H11" s="44" t="inlineStr">
        <is>
          <t>悅</t>
        </is>
      </c>
      <c r="I11" s="43" t="n"/>
      <c r="J11" s="47" t="n"/>
      <c r="K11" s="47" t="n"/>
      <c r="L11" s="43" t="n"/>
      <c r="M11" s="47" t="n"/>
      <c r="N11" s="47" t="n"/>
      <c r="O11" s="43" t="n"/>
      <c r="P11" s="47" t="n"/>
      <c r="Q11" s="47" t="n"/>
      <c r="R11" s="48" t="inlineStr">
        <is>
          <t>悅</t>
        </is>
      </c>
      <c r="S11" s="44" t="inlineStr">
        <is>
          <t>悅</t>
        </is>
      </c>
      <c r="T11" s="47" t="n"/>
      <c r="V11" s="50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3" t="n"/>
      <c r="D12" s="47" t="n"/>
      <c r="E12" s="47" t="n"/>
      <c r="F12" s="48" t="inlineStr">
        <is>
          <t>悅</t>
        </is>
      </c>
      <c r="G12" s="44" t="inlineStr">
        <is>
          <t>悅</t>
        </is>
      </c>
      <c r="H12" s="44" t="inlineStr">
        <is>
          <t>悅</t>
        </is>
      </c>
      <c r="I12" s="43" t="n"/>
      <c r="J12" s="47" t="n"/>
      <c r="K12" s="47" t="n"/>
      <c r="L12" s="43" t="n"/>
      <c r="M12" s="47" t="n"/>
      <c r="N12" s="47" t="n"/>
      <c r="O12" s="43" t="n"/>
      <c r="P12" s="47" t="n"/>
      <c r="Q12" s="47" t="n"/>
      <c r="R12" s="48" t="inlineStr">
        <is>
          <t>悅</t>
        </is>
      </c>
      <c r="S12" s="44" t="inlineStr">
        <is>
          <t>悅</t>
        </is>
      </c>
      <c r="T12" s="47" t="n"/>
      <c r="V12" s="50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3" t="n"/>
      <c r="D13" s="47" t="n"/>
      <c r="E13" s="47" t="n"/>
      <c r="F13" s="43" t="n"/>
      <c r="G13" s="47" t="n"/>
      <c r="H13" s="47" t="n"/>
      <c r="I13" s="48" t="inlineStr">
        <is>
          <t>悅</t>
        </is>
      </c>
      <c r="J13" s="44" t="inlineStr">
        <is>
          <t>悅</t>
        </is>
      </c>
      <c r="K13" s="44" t="inlineStr">
        <is>
          <t>悅</t>
        </is>
      </c>
      <c r="L13" s="43" t="n"/>
      <c r="M13" s="53" t="inlineStr">
        <is>
          <t>寶</t>
        </is>
      </c>
      <c r="N13" s="53" t="inlineStr">
        <is>
          <t>寶</t>
        </is>
      </c>
      <c r="O13" s="55" t="inlineStr">
        <is>
          <t>匯</t>
        </is>
      </c>
      <c r="P13" s="49" t="inlineStr">
        <is>
          <t>匯</t>
        </is>
      </c>
      <c r="Q13" s="49" t="inlineStr">
        <is>
          <t>匯</t>
        </is>
      </c>
      <c r="R13" s="48" t="inlineStr">
        <is>
          <t>匯~悅~</t>
        </is>
      </c>
      <c r="S13" s="44" t="inlineStr">
        <is>
          <t>匯~悅~</t>
        </is>
      </c>
      <c r="T13" s="47" t="n"/>
      <c r="V13" s="50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8" t="inlineStr">
        <is>
          <t>悅</t>
        </is>
      </c>
      <c r="D14" s="44" t="inlineStr">
        <is>
          <t>悅</t>
        </is>
      </c>
      <c r="E14" s="44" t="inlineStr">
        <is>
          <t>悅</t>
        </is>
      </c>
      <c r="F14" s="43" t="n"/>
      <c r="G14" s="44" t="inlineStr">
        <is>
          <t>悅</t>
        </is>
      </c>
      <c r="H14" s="44" t="inlineStr">
        <is>
          <t>悅</t>
        </is>
      </c>
      <c r="I14" s="48" t="inlineStr">
        <is>
          <t>悅</t>
        </is>
      </c>
      <c r="J14" s="44" t="inlineStr">
        <is>
          <t>悅</t>
        </is>
      </c>
      <c r="K14" s="47" t="n"/>
      <c r="L14" s="43" t="n"/>
      <c r="M14" s="47" t="n"/>
      <c r="N14" s="47" t="n"/>
      <c r="O14" s="48" t="inlineStr">
        <is>
          <t>悅</t>
        </is>
      </c>
      <c r="P14" s="44" t="inlineStr">
        <is>
          <t>悅</t>
        </is>
      </c>
      <c r="Q14" s="44" t="inlineStr">
        <is>
          <t>悅</t>
        </is>
      </c>
      <c r="R14" s="43" t="n"/>
      <c r="S14" s="47" t="n"/>
      <c r="T14" s="47" t="n"/>
      <c r="V14" s="50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3" t="n"/>
      <c r="D15" s="49" t="inlineStr">
        <is>
          <t>匯</t>
        </is>
      </c>
      <c r="E15" s="49" t="inlineStr">
        <is>
          <t>匯</t>
        </is>
      </c>
      <c r="F15" s="52" t="inlineStr">
        <is>
          <t>睿</t>
        </is>
      </c>
      <c r="G15" s="51" t="inlineStr">
        <is>
          <t>睿</t>
        </is>
      </c>
      <c r="H15" s="51" t="inlineStr">
        <is>
          <t>睿</t>
        </is>
      </c>
      <c r="I15" s="43" t="n"/>
      <c r="J15" s="49" t="inlineStr">
        <is>
          <t>匯</t>
        </is>
      </c>
      <c r="K15" s="49" t="inlineStr">
        <is>
          <t>匯</t>
        </is>
      </c>
      <c r="L15" s="52" t="inlineStr">
        <is>
          <t>睿</t>
        </is>
      </c>
      <c r="M15" s="51" t="inlineStr">
        <is>
          <t>睿</t>
        </is>
      </c>
      <c r="N15" s="51" t="inlineStr">
        <is>
          <t>睿</t>
        </is>
      </c>
      <c r="O15" s="43" t="n"/>
      <c r="P15" s="47" t="n"/>
      <c r="Q15" s="47" t="n"/>
      <c r="R15" s="52" t="inlineStr">
        <is>
          <t>睿~</t>
        </is>
      </c>
      <c r="S15" s="51" t="inlineStr">
        <is>
          <t>睿~</t>
        </is>
      </c>
      <c r="T15" s="47" t="n"/>
      <c r="V15" s="50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3" t="n"/>
      <c r="D16" s="51" t="inlineStr">
        <is>
          <t>睿</t>
        </is>
      </c>
      <c r="E16" s="51" t="inlineStr">
        <is>
          <t>睿</t>
        </is>
      </c>
      <c r="F16" s="55" t="inlineStr">
        <is>
          <t>匯</t>
        </is>
      </c>
      <c r="G16" s="46" t="inlineStr">
        <is>
          <t>曜</t>
        </is>
      </c>
      <c r="H16" s="46" t="inlineStr">
        <is>
          <t>曜</t>
        </is>
      </c>
      <c r="I16" s="43" t="n"/>
      <c r="J16" s="51" t="inlineStr">
        <is>
          <t>睿</t>
        </is>
      </c>
      <c r="K16" s="51" t="inlineStr">
        <is>
          <t>睿</t>
        </is>
      </c>
      <c r="L16" s="55" t="inlineStr">
        <is>
          <t>匯</t>
        </is>
      </c>
      <c r="M16" s="49" t="inlineStr">
        <is>
          <t>匯</t>
        </is>
      </c>
      <c r="N16" s="49" t="inlineStr">
        <is>
          <t>匯</t>
        </is>
      </c>
      <c r="O16" s="45" t="inlineStr">
        <is>
          <t>曜</t>
        </is>
      </c>
      <c r="P16" s="46" t="inlineStr">
        <is>
          <t>曜</t>
        </is>
      </c>
      <c r="Q16" s="46" t="inlineStr">
        <is>
          <t>曜</t>
        </is>
      </c>
      <c r="R16" s="45" t="inlineStr">
        <is>
          <t>曜~</t>
        </is>
      </c>
      <c r="S16" s="46" t="inlineStr">
        <is>
          <t>曜~</t>
        </is>
      </c>
      <c r="T16" s="47" t="n"/>
      <c r="V16" s="50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8" t="inlineStr">
        <is>
          <t>悅</t>
        </is>
      </c>
      <c r="D17" s="44" t="inlineStr">
        <is>
          <t>悅</t>
        </is>
      </c>
      <c r="E17" s="44" t="inlineStr">
        <is>
          <t>悅</t>
        </is>
      </c>
      <c r="F17" s="43" t="n"/>
      <c r="G17" s="47" t="n"/>
      <c r="H17" s="47" t="n"/>
      <c r="I17" s="55" t="inlineStr">
        <is>
          <t>匯</t>
        </is>
      </c>
      <c r="J17" s="49" t="inlineStr">
        <is>
          <t>匯</t>
        </is>
      </c>
      <c r="K17" s="49" t="inlineStr">
        <is>
          <t>匯</t>
        </is>
      </c>
      <c r="L17" s="43" t="n"/>
      <c r="M17" s="53" t="inlineStr">
        <is>
          <t>寶</t>
        </is>
      </c>
      <c r="N17" s="53" t="inlineStr">
        <is>
          <t>寶</t>
        </is>
      </c>
      <c r="O17" s="48" t="inlineStr">
        <is>
          <t>悅</t>
        </is>
      </c>
      <c r="P17" s="44" t="inlineStr">
        <is>
          <t>悅</t>
        </is>
      </c>
      <c r="Q17" s="44" t="inlineStr">
        <is>
          <t>悅</t>
        </is>
      </c>
      <c r="R17" s="48" t="inlineStr">
        <is>
          <t>匯~悅~</t>
        </is>
      </c>
      <c r="S17" s="44" t="inlineStr">
        <is>
          <t>匯~悅~</t>
        </is>
      </c>
      <c r="T17" s="47" t="n"/>
      <c r="V17" s="50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8" t="inlineStr">
        <is>
          <t>悅</t>
        </is>
      </c>
      <c r="D18" s="44" t="inlineStr">
        <is>
          <t>悅</t>
        </is>
      </c>
      <c r="E18" s="44" t="inlineStr">
        <is>
          <t>悅</t>
        </is>
      </c>
      <c r="F18" s="55" t="inlineStr">
        <is>
          <t>匯</t>
        </is>
      </c>
      <c r="G18" s="49" t="inlineStr">
        <is>
          <t>匯</t>
        </is>
      </c>
      <c r="H18" s="49" t="inlineStr">
        <is>
          <t>匯</t>
        </is>
      </c>
      <c r="I18" s="43" t="n"/>
      <c r="J18" s="47" t="n"/>
      <c r="K18" s="47" t="n"/>
      <c r="L18" s="48" t="inlineStr">
        <is>
          <t>悅</t>
        </is>
      </c>
      <c r="M18" s="44" t="inlineStr">
        <is>
          <t>悅</t>
        </is>
      </c>
      <c r="N18" s="47" t="n"/>
      <c r="O18" s="55" t="inlineStr">
        <is>
          <t>匯</t>
        </is>
      </c>
      <c r="P18" s="49" t="inlineStr">
        <is>
          <t>匯</t>
        </is>
      </c>
      <c r="Q18" s="49" t="inlineStr">
        <is>
          <t>匯</t>
        </is>
      </c>
      <c r="R18" s="48" t="inlineStr">
        <is>
          <t>悅</t>
        </is>
      </c>
      <c r="S18" s="44" t="inlineStr">
        <is>
          <t>悅</t>
        </is>
      </c>
      <c r="T18" s="47" t="n"/>
      <c r="V18" s="50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3" t="n"/>
      <c r="D19" s="46" t="inlineStr">
        <is>
          <t>曜</t>
        </is>
      </c>
      <c r="E19" s="46" t="inlineStr">
        <is>
          <t>曜</t>
        </is>
      </c>
      <c r="F19" s="43" t="n"/>
      <c r="G19" s="44" t="inlineStr">
        <is>
          <t>悅</t>
        </is>
      </c>
      <c r="H19" s="44" t="inlineStr">
        <is>
          <t>悅</t>
        </is>
      </c>
      <c r="I19" s="43" t="n"/>
      <c r="J19" s="46" t="inlineStr">
        <is>
          <t>曜</t>
        </is>
      </c>
      <c r="K19" s="46" t="inlineStr">
        <is>
          <t>曜</t>
        </is>
      </c>
      <c r="L19" s="43" t="n"/>
      <c r="M19" s="44" t="inlineStr">
        <is>
          <t>悅</t>
        </is>
      </c>
      <c r="N19" s="44" t="inlineStr">
        <is>
          <t>悅</t>
        </is>
      </c>
      <c r="O19" s="43" t="n"/>
      <c r="P19" s="46" t="inlineStr">
        <is>
          <t>曜</t>
        </is>
      </c>
      <c r="Q19" s="46" t="inlineStr">
        <is>
          <t>曜</t>
        </is>
      </c>
      <c r="R19" s="45" t="inlineStr">
        <is>
          <t>曜~</t>
        </is>
      </c>
      <c r="S19" s="46" t="inlineStr">
        <is>
          <t>曜~</t>
        </is>
      </c>
      <c r="T19" s="47" t="n"/>
      <c r="V19" s="50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2" t="inlineStr">
        <is>
          <t>睿</t>
        </is>
      </c>
      <c r="D20" s="51" t="inlineStr">
        <is>
          <t>睿</t>
        </is>
      </c>
      <c r="E20" s="51" t="inlineStr">
        <is>
          <t>睿</t>
        </is>
      </c>
      <c r="F20" s="43" t="n"/>
      <c r="G20" s="47" t="n"/>
      <c r="H20" s="47" t="n"/>
      <c r="I20" s="43" t="n"/>
      <c r="J20" s="47" t="n"/>
      <c r="K20" s="47" t="n"/>
      <c r="L20" s="52" t="inlineStr">
        <is>
          <t>睿</t>
        </is>
      </c>
      <c r="M20" s="47" t="n"/>
      <c r="N20" s="47" t="n"/>
      <c r="O20" s="43" t="n"/>
      <c r="P20" s="47" t="n"/>
      <c r="Q20" s="47" t="n"/>
      <c r="R20" s="43" t="n"/>
      <c r="S20" s="47" t="n"/>
      <c r="T20" s="47" t="n"/>
      <c r="V20" s="50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5" t="inlineStr">
        <is>
          <t>曜</t>
        </is>
      </c>
      <c r="D21" s="46" t="inlineStr">
        <is>
          <t>曜</t>
        </is>
      </c>
      <c r="E21" s="46" t="inlineStr">
        <is>
          <t>曜</t>
        </is>
      </c>
      <c r="F21" s="43" t="n"/>
      <c r="G21" s="47" t="n"/>
      <c r="H21" s="47" t="n"/>
      <c r="I21" s="45" t="inlineStr">
        <is>
          <t>曜</t>
        </is>
      </c>
      <c r="J21" s="46" t="inlineStr">
        <is>
          <t>曜</t>
        </is>
      </c>
      <c r="K21" s="46" t="inlineStr">
        <is>
          <t>曜</t>
        </is>
      </c>
      <c r="L21" s="52" t="inlineStr">
        <is>
          <t>睿</t>
        </is>
      </c>
      <c r="M21" s="51" t="inlineStr">
        <is>
          <t>睿</t>
        </is>
      </c>
      <c r="N21" s="51" t="inlineStr">
        <is>
          <t>睿</t>
        </is>
      </c>
      <c r="O21" s="43" t="n"/>
      <c r="P21" s="46" t="inlineStr">
        <is>
          <t>曜</t>
        </is>
      </c>
      <c r="Q21" s="46" t="inlineStr">
        <is>
          <t>曜</t>
        </is>
      </c>
      <c r="R21" s="52" t="inlineStr">
        <is>
          <t>睿</t>
        </is>
      </c>
      <c r="S21" s="51" t="inlineStr">
        <is>
          <t>睿</t>
        </is>
      </c>
      <c r="T21" s="47" t="n"/>
      <c r="V21" s="50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2" t="inlineStr">
        <is>
          <t>睿</t>
        </is>
      </c>
      <c r="D22" s="51" t="inlineStr">
        <is>
          <t>睿</t>
        </is>
      </c>
      <c r="E22" s="51" t="inlineStr">
        <is>
          <t>睿</t>
        </is>
      </c>
      <c r="F22" s="45" t="inlineStr">
        <is>
          <t>曜</t>
        </is>
      </c>
      <c r="G22" s="46" t="inlineStr">
        <is>
          <t>曜</t>
        </is>
      </c>
      <c r="H22" s="46" t="inlineStr">
        <is>
          <t>曜</t>
        </is>
      </c>
      <c r="I22" s="43" t="n"/>
      <c r="J22" s="47" t="n"/>
      <c r="K22" s="47" t="n"/>
      <c r="L22" s="45" t="inlineStr">
        <is>
          <t>曜</t>
        </is>
      </c>
      <c r="M22" s="46" t="inlineStr">
        <is>
          <t>曜</t>
        </is>
      </c>
      <c r="N22" s="46" t="inlineStr">
        <is>
          <t>曜</t>
        </is>
      </c>
      <c r="O22" s="43" t="n"/>
      <c r="P22" s="51" t="inlineStr">
        <is>
          <t>睿</t>
        </is>
      </c>
      <c r="Q22" s="51" t="inlineStr">
        <is>
          <t>睿</t>
        </is>
      </c>
      <c r="R22" s="45" t="inlineStr">
        <is>
          <t>曜</t>
        </is>
      </c>
      <c r="S22" s="46" t="inlineStr">
        <is>
          <t>曜</t>
        </is>
      </c>
      <c r="T22" s="47" t="n"/>
      <c r="V22" s="50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3" t="n"/>
      <c r="D23" s="47" t="n"/>
      <c r="E23" s="47" t="n"/>
      <c r="F23" s="43" t="n"/>
      <c r="G23" s="47" t="n"/>
      <c r="H23" s="47" t="n"/>
      <c r="I23" s="43" t="n"/>
      <c r="J23" s="47" t="n"/>
      <c r="K23" s="47" t="n"/>
      <c r="L23" s="43" t="n"/>
      <c r="M23" s="47" t="n"/>
      <c r="N23" s="47" t="n"/>
      <c r="O23" s="43" t="n"/>
      <c r="P23" s="44" t="inlineStr">
        <is>
          <t>悅*</t>
        </is>
      </c>
      <c r="Q23" s="44" t="inlineStr">
        <is>
          <t>悅*</t>
        </is>
      </c>
      <c r="R23" s="43" t="n"/>
      <c r="S23" s="47" t="n"/>
      <c r="T23" s="47" t="n"/>
      <c r="V23" s="50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3" t="n"/>
      <c r="D24" s="47" t="n"/>
      <c r="E24" s="47" t="n"/>
      <c r="F24" s="52" t="inlineStr">
        <is>
          <t>睿</t>
        </is>
      </c>
      <c r="G24" s="51" t="inlineStr">
        <is>
          <t>睿</t>
        </is>
      </c>
      <c r="H24" s="51" t="inlineStr">
        <is>
          <t>睿</t>
        </is>
      </c>
      <c r="I24" s="52" t="inlineStr">
        <is>
          <t>睿</t>
        </is>
      </c>
      <c r="J24" s="51" t="inlineStr">
        <is>
          <t>睿</t>
        </is>
      </c>
      <c r="K24" s="51" t="inlineStr">
        <is>
          <t>睿</t>
        </is>
      </c>
      <c r="L24" s="43" t="n"/>
      <c r="M24" s="47" t="n"/>
      <c r="N24" s="47" t="n"/>
      <c r="O24" s="52" t="inlineStr">
        <is>
          <t>睿</t>
        </is>
      </c>
      <c r="P24" s="53" t="inlineStr">
        <is>
          <t>寶</t>
        </is>
      </c>
      <c r="Q24" s="53" t="inlineStr">
        <is>
          <t>寶</t>
        </is>
      </c>
      <c r="R24" s="52" t="inlineStr">
        <is>
          <t>睿</t>
        </is>
      </c>
      <c r="S24" s="51" t="inlineStr">
        <is>
          <t>睿</t>
        </is>
      </c>
      <c r="T24" s="47" t="n"/>
      <c r="V24" s="50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3" t="n"/>
      <c r="D25" s="47" t="n"/>
      <c r="E25" s="47" t="n"/>
      <c r="F25" s="43" t="n"/>
      <c r="G25" s="44" t="inlineStr">
        <is>
          <t>悅</t>
        </is>
      </c>
      <c r="H25" s="44" t="inlineStr">
        <is>
          <t>悅</t>
        </is>
      </c>
      <c r="I25" s="48" t="inlineStr">
        <is>
          <t>悅</t>
        </is>
      </c>
      <c r="J25" s="44" t="inlineStr">
        <is>
          <t>悅</t>
        </is>
      </c>
      <c r="K25" s="44" t="inlineStr">
        <is>
          <t>悅</t>
        </is>
      </c>
      <c r="L25" s="48" t="inlineStr">
        <is>
          <t>悅</t>
        </is>
      </c>
      <c r="M25" s="44" t="inlineStr">
        <is>
          <t>悅</t>
        </is>
      </c>
      <c r="N25" s="44" t="inlineStr">
        <is>
          <t>悅</t>
        </is>
      </c>
      <c r="O25" s="43" t="n"/>
      <c r="P25" s="44" t="inlineStr">
        <is>
          <t>悅</t>
        </is>
      </c>
      <c r="Q25" s="44" t="inlineStr">
        <is>
          <t>悅</t>
        </is>
      </c>
      <c r="R25" s="48" t="inlineStr">
        <is>
          <t>悅</t>
        </is>
      </c>
      <c r="S25" s="44" t="inlineStr">
        <is>
          <t>悅</t>
        </is>
      </c>
      <c r="T25" s="47" t="n"/>
      <c r="V25" s="50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3" t="n"/>
      <c r="D26" s="47" t="n"/>
      <c r="E26" s="47" t="n"/>
      <c r="F26" s="43" t="n"/>
      <c r="G26" s="47" t="n"/>
      <c r="H26" s="47" t="n"/>
      <c r="I26" s="43" t="n"/>
      <c r="J26" s="53" t="inlineStr">
        <is>
          <t>寶</t>
        </is>
      </c>
      <c r="K26" s="53" t="inlineStr">
        <is>
          <t>寶</t>
        </is>
      </c>
      <c r="L26" s="43" t="n"/>
      <c r="M26" s="47" t="n"/>
      <c r="N26" s="47" t="n"/>
      <c r="O26" s="43" t="n"/>
      <c r="P26" s="47" t="n"/>
      <c r="Q26" s="47" t="n"/>
      <c r="R26" s="54" t="inlineStr">
        <is>
          <t>寶*</t>
        </is>
      </c>
      <c r="S26" s="53" t="inlineStr">
        <is>
          <t>寶*</t>
        </is>
      </c>
      <c r="T26" s="47" t="n"/>
      <c r="V26" s="50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3" t="n"/>
      <c r="D27" s="47" t="n"/>
      <c r="E27" s="47" t="n"/>
      <c r="F27" s="43" t="n"/>
      <c r="G27" s="47" t="n"/>
      <c r="H27" s="47" t="n"/>
      <c r="I27" s="43" t="n"/>
      <c r="J27" s="47" t="n"/>
      <c r="K27" s="47" t="n"/>
      <c r="L27" s="43" t="n"/>
      <c r="M27" s="47" t="n"/>
      <c r="N27" s="47" t="n"/>
      <c r="O27" s="43" t="n"/>
      <c r="P27" s="47" t="n"/>
      <c r="Q27" s="47" t="n"/>
      <c r="R27" s="54" t="inlineStr">
        <is>
          <t>寶*</t>
        </is>
      </c>
      <c r="S27" s="53" t="inlineStr">
        <is>
          <t>寶*</t>
        </is>
      </c>
      <c r="T27" s="47" t="n"/>
      <c r="V27" s="50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3" t="n"/>
      <c r="D28" s="53" t="inlineStr">
        <is>
          <t>寶</t>
        </is>
      </c>
      <c r="E28" s="53" t="inlineStr">
        <is>
          <t>寶</t>
        </is>
      </c>
      <c r="F28" s="43" t="n"/>
      <c r="G28" s="47" t="n"/>
      <c r="H28" s="47" t="n"/>
      <c r="I28" s="43" t="n"/>
      <c r="J28" s="49" t="inlineStr">
        <is>
          <t>匯~</t>
        </is>
      </c>
      <c r="K28" s="49" t="inlineStr">
        <is>
          <t>匯~</t>
        </is>
      </c>
      <c r="L28" s="43" t="n"/>
      <c r="M28" s="47" t="n"/>
      <c r="N28" s="47" t="n"/>
      <c r="O28" s="43" t="n"/>
      <c r="P28" s="53" t="inlineStr">
        <is>
          <t>寶</t>
        </is>
      </c>
      <c r="Q28" s="53" t="inlineStr">
        <is>
          <t>寶</t>
        </is>
      </c>
      <c r="R28" s="43" t="n"/>
      <c r="S28" s="47" t="n"/>
      <c r="T28" s="47" t="n"/>
      <c r="V28" s="50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2" t="inlineStr">
        <is>
          <t>睿</t>
        </is>
      </c>
      <c r="D29" s="47" t="n"/>
      <c r="E29" s="47" t="n"/>
      <c r="F29" s="43" t="n"/>
      <c r="G29" s="47" t="n"/>
      <c r="H29" s="47" t="n"/>
      <c r="I29" s="52" t="inlineStr">
        <is>
          <t>睿</t>
        </is>
      </c>
      <c r="J29" s="47" t="n"/>
      <c r="K29" s="51" t="inlineStr">
        <is>
          <t>睿</t>
        </is>
      </c>
      <c r="L29" s="43" t="n"/>
      <c r="M29" s="47" t="n"/>
      <c r="N29" s="47" t="n"/>
      <c r="O29" s="52" t="inlineStr">
        <is>
          <t>睿</t>
        </is>
      </c>
      <c r="P29" s="51" t="inlineStr">
        <is>
          <t>睿</t>
        </is>
      </c>
      <c r="Q29" s="51" t="inlineStr">
        <is>
          <t>睿</t>
        </is>
      </c>
      <c r="R29" s="52" t="inlineStr">
        <is>
          <t>睿</t>
        </is>
      </c>
      <c r="S29" s="51" t="inlineStr">
        <is>
          <t>睿</t>
        </is>
      </c>
      <c r="T29" s="47" t="n"/>
      <c r="V29" s="50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5" t="inlineStr">
        <is>
          <t>匯</t>
        </is>
      </c>
      <c r="D30" s="49" t="inlineStr">
        <is>
          <t>匯</t>
        </is>
      </c>
      <c r="E30" s="49" t="inlineStr">
        <is>
          <t>匯</t>
        </is>
      </c>
      <c r="F30" s="43" t="n"/>
      <c r="G30" s="47" t="n"/>
      <c r="H30" s="47" t="n"/>
      <c r="I30" s="43" t="n"/>
      <c r="J30" s="47" t="n"/>
      <c r="K30" s="47" t="n"/>
      <c r="L30" s="55" t="inlineStr">
        <is>
          <t>匯</t>
        </is>
      </c>
      <c r="M30" s="49" t="inlineStr">
        <is>
          <t>匯</t>
        </is>
      </c>
      <c r="N30" s="49" t="inlineStr">
        <is>
          <t>匯</t>
        </is>
      </c>
      <c r="O30" s="43" t="n"/>
      <c r="P30" s="47" t="n"/>
      <c r="Q30" s="47" t="n"/>
      <c r="R30" s="43" t="n"/>
      <c r="S30" s="47" t="n"/>
      <c r="T30" s="47" t="n"/>
      <c r="V30" s="50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3" t="n"/>
      <c r="D31" s="49" t="inlineStr">
        <is>
          <t>匯~</t>
        </is>
      </c>
      <c r="E31" s="49" t="inlineStr">
        <is>
          <t>匯~</t>
        </is>
      </c>
      <c r="F31" s="43" t="n"/>
      <c r="G31" s="47" t="n"/>
      <c r="H31" s="47" t="n"/>
      <c r="I31" s="43" t="n"/>
      <c r="J31" s="47" t="n"/>
      <c r="K31" s="47" t="n"/>
      <c r="L31" s="43" t="n"/>
      <c r="M31" s="47" t="n"/>
      <c r="N31" s="47" t="n"/>
      <c r="O31" s="43" t="n"/>
      <c r="P31" s="47" t="n"/>
      <c r="Q31" s="47" t="n"/>
      <c r="R31" s="55" t="inlineStr">
        <is>
          <t>匯~</t>
        </is>
      </c>
      <c r="S31" s="49" t="inlineStr">
        <is>
          <t>匯~</t>
        </is>
      </c>
      <c r="T31" s="47" t="n"/>
      <c r="V31" s="50" t="inlineStr"/>
    </row>
    <row r="32" ht="17" customHeight="1">
      <c r="A32" s="20" t="n"/>
      <c r="B32" s="16">
        <f>IFERROR(INDEX(設定!$C$57:$C$196,MATCH($A32,設定!$B$57:$B$196,0)),"")</f>
        <v/>
      </c>
      <c r="C32" s="43" t="n"/>
      <c r="D32" s="47" t="n"/>
      <c r="E32" s="47" t="n"/>
      <c r="F32" s="43" t="n"/>
      <c r="G32" s="47" t="n"/>
      <c r="H32" s="47" t="n"/>
      <c r="I32" s="43" t="n"/>
      <c r="J32" s="47" t="n"/>
      <c r="K32" s="47" t="n"/>
      <c r="L32" s="43" t="n"/>
      <c r="M32" s="47" t="n"/>
      <c r="N32" s="47" t="n"/>
      <c r="O32" s="43" t="n"/>
      <c r="P32" s="47" t="n"/>
      <c r="Q32" s="47" t="n"/>
      <c r="R32" s="43" t="n"/>
      <c r="S32" s="47" t="n"/>
      <c r="T32" s="47" t="n"/>
      <c r="V32" s="50" t="inlineStr"/>
    </row>
    <row r="33" ht="17" customHeight="1">
      <c r="A33" s="20" t="n"/>
      <c r="B33" s="16">
        <f>IFERROR(INDEX(設定!$C$57:$C$196,MATCH($A33,設定!$B$57:$B$196,0)),"")</f>
        <v/>
      </c>
      <c r="C33" s="43" t="n"/>
      <c r="D33" s="47" t="n"/>
      <c r="E33" s="47" t="n"/>
      <c r="F33" s="43" t="n"/>
      <c r="G33" s="47" t="n"/>
      <c r="H33" s="47" t="n"/>
      <c r="I33" s="43" t="n"/>
      <c r="J33" s="47" t="n"/>
      <c r="K33" s="47" t="n"/>
      <c r="L33" s="43" t="n"/>
      <c r="M33" s="47" t="n"/>
      <c r="N33" s="47" t="n"/>
      <c r="O33" s="43" t="n"/>
      <c r="P33" s="47" t="n"/>
      <c r="Q33" s="47" t="n"/>
      <c r="R33" s="43" t="n"/>
      <c r="S33" s="47" t="n"/>
      <c r="T33" s="47" t="n"/>
      <c r="V33" s="50" t="inlineStr"/>
    </row>
    <row r="34" ht="17" customHeight="1">
      <c r="A34" s="20" t="n"/>
      <c r="B34" s="16">
        <f>IFERROR(INDEX(設定!$C$57:$C$196,MATCH($A34,設定!$B$57:$B$196,0)),"")</f>
        <v/>
      </c>
      <c r="C34" s="43" t="n"/>
      <c r="D34" s="47" t="n"/>
      <c r="E34" s="47" t="n"/>
      <c r="F34" s="43" t="n"/>
      <c r="G34" s="47" t="n"/>
      <c r="H34" s="47" t="n"/>
      <c r="I34" s="43" t="n"/>
      <c r="J34" s="47" t="n"/>
      <c r="K34" s="47" t="n"/>
      <c r="L34" s="43" t="n"/>
      <c r="M34" s="47" t="n"/>
      <c r="N34" s="47" t="n"/>
      <c r="O34" s="43" t="n"/>
      <c r="P34" s="47" t="n"/>
      <c r="Q34" s="47" t="n"/>
      <c r="R34" s="43" t="n"/>
      <c r="S34" s="47" t="n"/>
      <c r="T34" s="47" t="n"/>
      <c r="V34" s="50" t="inlineStr"/>
    </row>
    <row r="35" ht="17" customHeight="1">
      <c r="A35" s="20" t="n"/>
      <c r="B35" s="16">
        <f>IFERROR(INDEX(設定!$C$57:$C$196,MATCH($A35,設定!$B$57:$B$196,0)),"")</f>
        <v/>
      </c>
      <c r="C35" s="43" t="n"/>
      <c r="D35" s="47" t="n"/>
      <c r="E35" s="47" t="n"/>
      <c r="F35" s="43" t="n"/>
      <c r="G35" s="47" t="n"/>
      <c r="H35" s="47" t="n"/>
      <c r="I35" s="43" t="n"/>
      <c r="J35" s="47" t="n"/>
      <c r="K35" s="47" t="n"/>
      <c r="L35" s="43" t="n"/>
      <c r="M35" s="47" t="n"/>
      <c r="N35" s="47" t="n"/>
      <c r="O35" s="43" t="n"/>
      <c r="P35" s="47" t="n"/>
      <c r="Q35" s="47" t="n"/>
      <c r="R35" s="43" t="n"/>
      <c r="S35" s="47" t="n"/>
      <c r="T35" s="47" t="n"/>
      <c r="V35" s="50" t="inlineStr"/>
    </row>
    <row r="36" ht="17" customHeight="1">
      <c r="A36" s="20" t="n"/>
      <c r="B36" s="16">
        <f>IFERROR(INDEX(設定!$C$57:$C$196,MATCH($A36,設定!$B$57:$B$196,0)),"")</f>
        <v/>
      </c>
      <c r="C36" s="43" t="n"/>
      <c r="D36" s="47" t="n"/>
      <c r="E36" s="47" t="n"/>
      <c r="F36" s="43" t="n"/>
      <c r="G36" s="47" t="n"/>
      <c r="H36" s="47" t="n"/>
      <c r="I36" s="43" t="n"/>
      <c r="J36" s="47" t="n"/>
      <c r="K36" s="47" t="n"/>
      <c r="L36" s="43" t="n"/>
      <c r="M36" s="47" t="n"/>
      <c r="N36" s="47" t="n"/>
      <c r="O36" s="43" t="n"/>
      <c r="P36" s="47" t="n"/>
      <c r="Q36" s="47" t="n"/>
      <c r="R36" s="43" t="n"/>
      <c r="S36" s="47" t="n"/>
      <c r="T36" s="47" t="n"/>
      <c r="V36" s="50" t="inlineStr"/>
    </row>
    <row r="37" ht="17" customHeight="1">
      <c r="A37" s="20" t="n"/>
      <c r="B37" s="16">
        <f>IFERROR(INDEX(設定!$C$57:$C$196,MATCH($A37,設定!$B$57:$B$196,0)),"")</f>
        <v/>
      </c>
      <c r="C37" s="43" t="n"/>
      <c r="D37" s="47" t="n"/>
      <c r="E37" s="47" t="n"/>
      <c r="F37" s="43" t="n"/>
      <c r="G37" s="47" t="n"/>
      <c r="H37" s="47" t="n"/>
      <c r="I37" s="43" t="n"/>
      <c r="J37" s="47" t="n"/>
      <c r="K37" s="47" t="n"/>
      <c r="L37" s="43" t="n"/>
      <c r="M37" s="47" t="n"/>
      <c r="N37" s="47" t="n"/>
      <c r="O37" s="43" t="n"/>
      <c r="P37" s="47" t="n"/>
      <c r="Q37" s="47" t="n"/>
      <c r="R37" s="43" t="n"/>
      <c r="S37" s="47" t="n"/>
      <c r="T37" s="47" t="n"/>
      <c r="V37" s="50" t="inlineStr"/>
    </row>
    <row r="38" ht="17" customHeight="1">
      <c r="A38" s="20" t="n"/>
      <c r="B38" s="16">
        <f>IFERROR(INDEX(設定!$C$57:$C$196,MATCH($A38,設定!$B$57:$B$196,0)),"")</f>
        <v/>
      </c>
      <c r="C38" s="43" t="n"/>
      <c r="D38" s="47" t="n"/>
      <c r="E38" s="47" t="n"/>
      <c r="F38" s="43" t="n"/>
      <c r="G38" s="47" t="n"/>
      <c r="H38" s="47" t="n"/>
      <c r="I38" s="43" t="n"/>
      <c r="J38" s="47" t="n"/>
      <c r="K38" s="47" t="n"/>
      <c r="L38" s="43" t="n"/>
      <c r="M38" s="47" t="n"/>
      <c r="N38" s="47" t="n"/>
      <c r="O38" s="43" t="n"/>
      <c r="P38" s="47" t="n"/>
      <c r="Q38" s="47" t="n"/>
      <c r="R38" s="43" t="n"/>
      <c r="S38" s="47" t="n"/>
      <c r="T38" s="47" t="n"/>
      <c r="V38" s="50" t="inlineStr"/>
    </row>
    <row r="39" ht="17" customHeight="1">
      <c r="A39" s="20" t="n"/>
      <c r="B39" s="16">
        <f>IFERROR(INDEX(設定!$C$57:$C$196,MATCH($A39,設定!$B$57:$B$196,0)),"")</f>
        <v/>
      </c>
      <c r="C39" s="43" t="n"/>
      <c r="D39" s="47" t="n"/>
      <c r="E39" s="47" t="n"/>
      <c r="F39" s="43" t="n"/>
      <c r="G39" s="47" t="n"/>
      <c r="H39" s="47" t="n"/>
      <c r="I39" s="43" t="n"/>
      <c r="J39" s="47" t="n"/>
      <c r="K39" s="47" t="n"/>
      <c r="L39" s="43" t="n"/>
      <c r="M39" s="47" t="n"/>
      <c r="N39" s="47" t="n"/>
      <c r="O39" s="43" t="n"/>
      <c r="P39" s="47" t="n"/>
      <c r="Q39" s="47" t="n"/>
      <c r="R39" s="43" t="n"/>
      <c r="S39" s="47" t="n"/>
      <c r="T39" s="47" t="n"/>
      <c r="V39" s="50" t="inlineStr"/>
    </row>
    <row r="40" ht="17" customHeight="1">
      <c r="A40" s="20" t="n"/>
      <c r="B40" s="16">
        <f>IFERROR(INDEX(設定!$C$57:$C$196,MATCH($A40,設定!$B$57:$B$196,0)),"")</f>
        <v/>
      </c>
      <c r="C40" s="43" t="n"/>
      <c r="D40" s="47" t="n"/>
      <c r="E40" s="47" t="n"/>
      <c r="F40" s="43" t="n"/>
      <c r="G40" s="47" t="n"/>
      <c r="H40" s="47" t="n"/>
      <c r="I40" s="43" t="n"/>
      <c r="J40" s="47" t="n"/>
      <c r="K40" s="47" t="n"/>
      <c r="L40" s="43" t="n"/>
      <c r="M40" s="47" t="n"/>
      <c r="N40" s="47" t="n"/>
      <c r="O40" s="43" t="n"/>
      <c r="P40" s="47" t="n"/>
      <c r="Q40" s="47" t="n"/>
      <c r="R40" s="43" t="n"/>
      <c r="S40" s="47" t="n"/>
      <c r="T40" s="47" t="n"/>
      <c r="V40" s="50" t="inlineStr"/>
    </row>
    <row r="41" ht="17" customHeight="1">
      <c r="A41" s="20" t="n"/>
      <c r="B41" s="16">
        <f>IFERROR(INDEX(設定!$C$57:$C$196,MATCH($A41,設定!$B$57:$B$196,0)),"")</f>
        <v/>
      </c>
      <c r="C41" s="43" t="n"/>
      <c r="D41" s="47" t="n"/>
      <c r="E41" s="47" t="n"/>
      <c r="F41" s="43" t="n"/>
      <c r="G41" s="47" t="n"/>
      <c r="H41" s="47" t="n"/>
      <c r="I41" s="43" t="n"/>
      <c r="J41" s="47" t="n"/>
      <c r="K41" s="47" t="n"/>
      <c r="L41" s="43" t="n"/>
      <c r="M41" s="47" t="n"/>
      <c r="N41" s="47" t="n"/>
      <c r="O41" s="43" t="n"/>
      <c r="P41" s="47" t="n"/>
      <c r="Q41" s="47" t="n"/>
      <c r="R41" s="43" t="n"/>
      <c r="S41" s="47" t="n"/>
      <c r="T41" s="47" t="n"/>
      <c r="V41" s="50" t="inlineStr"/>
    </row>
    <row r="42" ht="17" customHeight="1">
      <c r="A42" s="20" t="n"/>
      <c r="B42" s="16">
        <f>IFERROR(INDEX(設定!$C$57:$C$196,MATCH($A42,設定!$B$57:$B$196,0)),"")</f>
        <v/>
      </c>
      <c r="C42" s="43" t="n"/>
      <c r="D42" s="47" t="n"/>
      <c r="E42" s="47" t="n"/>
      <c r="F42" s="43" t="n"/>
      <c r="G42" s="47" t="n"/>
      <c r="H42" s="47" t="n"/>
      <c r="I42" s="43" t="n"/>
      <c r="J42" s="47" t="n"/>
      <c r="K42" s="47" t="n"/>
      <c r="L42" s="43" t="n"/>
      <c r="M42" s="47" t="n"/>
      <c r="N42" s="47" t="n"/>
      <c r="O42" s="43" t="n"/>
      <c r="P42" s="47" t="n"/>
      <c r="Q42" s="47" t="n"/>
      <c r="R42" s="43" t="n"/>
      <c r="S42" s="47" t="n"/>
      <c r="T42" s="47" t="n"/>
      <c r="V42" s="50" t="inlineStr"/>
    </row>
    <row r="43" ht="17" customHeight="1">
      <c r="A43" s="20" t="n"/>
      <c r="B43" s="16">
        <f>IFERROR(INDEX(設定!$C$57:$C$196,MATCH($A43,設定!$B$57:$B$196,0)),"")</f>
        <v/>
      </c>
      <c r="C43" s="43" t="n"/>
      <c r="D43" s="47" t="n"/>
      <c r="E43" s="47" t="n"/>
      <c r="F43" s="43" t="n"/>
      <c r="G43" s="47" t="n"/>
      <c r="H43" s="47" t="n"/>
      <c r="I43" s="43" t="n"/>
      <c r="J43" s="47" t="n"/>
      <c r="K43" s="47" t="n"/>
      <c r="L43" s="43" t="n"/>
      <c r="M43" s="47" t="n"/>
      <c r="N43" s="47" t="n"/>
      <c r="O43" s="43" t="n"/>
      <c r="P43" s="47" t="n"/>
      <c r="Q43" s="47" t="n"/>
      <c r="R43" s="43" t="n"/>
      <c r="S43" s="47" t="n"/>
      <c r="T43" s="47" t="n"/>
      <c r="V43" s="50" t="inlineStr"/>
    </row>
    <row r="44" ht="17" customHeight="1">
      <c r="A44" s="20" t="n"/>
      <c r="B44" s="16">
        <f>IFERROR(INDEX(設定!$C$57:$C$196,MATCH($A44,設定!$B$57:$B$196,0)),"")</f>
        <v/>
      </c>
      <c r="C44" s="43" t="n"/>
      <c r="D44" s="47" t="n"/>
      <c r="E44" s="47" t="n"/>
      <c r="F44" s="43" t="n"/>
      <c r="G44" s="47" t="n"/>
      <c r="H44" s="47" t="n"/>
      <c r="I44" s="43" t="n"/>
      <c r="J44" s="47" t="n"/>
      <c r="K44" s="47" t="n"/>
      <c r="L44" s="43" t="n"/>
      <c r="M44" s="47" t="n"/>
      <c r="N44" s="47" t="n"/>
      <c r="O44" s="43" t="n"/>
      <c r="P44" s="47" t="n"/>
      <c r="Q44" s="47" t="n"/>
      <c r="R44" s="43" t="n"/>
      <c r="S44" s="47" t="n"/>
      <c r="T44" s="47" t="n"/>
      <c r="V44" s="50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"悅,睿,匯,曜,寶,悅~,睿~,匯~,曜~,寶~,匯~悅~,寶*,悅!,悅*,悅~睿~,曜~睿~,訓,OFF,特,病,事,公,國,休"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6" t="inlineStr">
        <is>
          <t>圖例:</t>
        </is>
      </c>
      <c r="E2" s="57" t="inlineStr">
        <is>
          <t>悅 晶悅</t>
        </is>
      </c>
      <c r="F2" s="8" t="n"/>
      <c r="G2" s="8" t="n"/>
      <c r="H2" s="9" t="n"/>
      <c r="I2" s="58" t="inlineStr">
        <is>
          <t>睿 晶睿</t>
        </is>
      </c>
      <c r="J2" s="8" t="n"/>
      <c r="K2" s="8" t="n"/>
      <c r="L2" s="9" t="n"/>
      <c r="M2" s="59" t="inlineStr">
        <is>
          <t>匯 晶匯</t>
        </is>
      </c>
      <c r="N2" s="8" t="n"/>
      <c r="O2" s="8" t="n"/>
      <c r="P2" s="9" t="n"/>
      <c r="Q2" s="60" t="inlineStr">
        <is>
          <t>曜 晶曜</t>
        </is>
      </c>
      <c r="R2" s="8" t="n"/>
      <c r="S2" s="8" t="n"/>
      <c r="T2" s="9" t="n"/>
      <c r="U2" s="61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2" t="n"/>
      <c r="B4" s="62" t="n"/>
      <c r="C4" s="62" t="n"/>
      <c r="D4" s="62" t="n"/>
      <c r="E4" s="63" t="inlineStr">
        <is>
          <t>四</t>
        </is>
      </c>
      <c r="F4" s="64" t="inlineStr">
        <is>
          <t>四</t>
        </is>
      </c>
      <c r="G4" s="64" t="inlineStr">
        <is>
          <t>四</t>
        </is>
      </c>
      <c r="H4" s="63" t="inlineStr">
        <is>
          <t>五</t>
        </is>
      </c>
      <c r="I4" s="64" t="inlineStr">
        <is>
          <t>五</t>
        </is>
      </c>
      <c r="J4" s="64" t="inlineStr">
        <is>
          <t>五</t>
        </is>
      </c>
      <c r="K4" s="63" t="inlineStr">
        <is>
          <t>六</t>
        </is>
      </c>
      <c r="L4" s="64" t="inlineStr">
        <is>
          <t>六</t>
        </is>
      </c>
      <c r="M4" s="64" t="inlineStr">
        <is>
          <t>六</t>
        </is>
      </c>
      <c r="N4" s="63" t="inlineStr">
        <is>
          <t>日</t>
        </is>
      </c>
      <c r="O4" s="64" t="inlineStr">
        <is>
          <t>日</t>
        </is>
      </c>
      <c r="P4" s="64" t="inlineStr">
        <is>
          <t>日</t>
        </is>
      </c>
      <c r="Q4" s="63" t="inlineStr">
        <is>
          <t>一</t>
        </is>
      </c>
      <c r="R4" s="64" t="inlineStr">
        <is>
          <t>一</t>
        </is>
      </c>
      <c r="S4" s="64" t="inlineStr">
        <is>
          <t>一</t>
        </is>
      </c>
      <c r="T4" s="63" t="inlineStr">
        <is>
          <t>二</t>
        </is>
      </c>
      <c r="U4" s="64" t="inlineStr">
        <is>
          <t>二</t>
        </is>
      </c>
      <c r="V4" s="64" t="inlineStr">
        <is>
          <t>二</t>
        </is>
      </c>
      <c r="W4" s="63" t="inlineStr">
        <is>
          <t>三</t>
        </is>
      </c>
      <c r="X4" s="64" t="inlineStr">
        <is>
          <t>三</t>
        </is>
      </c>
      <c r="Y4" s="64" t="inlineStr">
        <is>
          <t>三</t>
        </is>
      </c>
      <c r="Z4" s="63" t="inlineStr">
        <is>
          <t>四</t>
        </is>
      </c>
      <c r="AA4" s="64" t="inlineStr">
        <is>
          <t>四</t>
        </is>
      </c>
      <c r="AB4" s="64" t="inlineStr">
        <is>
          <t>四</t>
        </is>
      </c>
      <c r="AC4" s="63" t="inlineStr">
        <is>
          <t>五</t>
        </is>
      </c>
      <c r="AD4" s="64" t="inlineStr">
        <is>
          <t>五</t>
        </is>
      </c>
      <c r="AE4" s="64" t="inlineStr">
        <is>
          <t>五</t>
        </is>
      </c>
      <c r="AF4" s="63" t="inlineStr">
        <is>
          <t>六</t>
        </is>
      </c>
      <c r="AG4" s="64" t="inlineStr">
        <is>
          <t>六</t>
        </is>
      </c>
      <c r="AH4" s="64" t="inlineStr">
        <is>
          <t>六</t>
        </is>
      </c>
      <c r="AI4" s="63" t="inlineStr">
        <is>
          <t>日</t>
        </is>
      </c>
      <c r="AJ4" s="64" t="inlineStr">
        <is>
          <t>日</t>
        </is>
      </c>
      <c r="AK4" s="64" t="inlineStr">
        <is>
          <t>日</t>
        </is>
      </c>
      <c r="AL4" s="63" t="inlineStr">
        <is>
          <t>一</t>
        </is>
      </c>
      <c r="AM4" s="64" t="inlineStr">
        <is>
          <t>一</t>
        </is>
      </c>
      <c r="AN4" s="64" t="inlineStr">
        <is>
          <t>一</t>
        </is>
      </c>
      <c r="AO4" s="63" t="inlineStr">
        <is>
          <t>二</t>
        </is>
      </c>
      <c r="AP4" s="64" t="inlineStr">
        <is>
          <t>二</t>
        </is>
      </c>
      <c r="AQ4" s="64" t="inlineStr">
        <is>
          <t>二</t>
        </is>
      </c>
      <c r="AR4" s="63" t="inlineStr">
        <is>
          <t>三</t>
        </is>
      </c>
      <c r="AS4" s="64" t="inlineStr">
        <is>
          <t>三</t>
        </is>
      </c>
      <c r="AT4" s="64" t="inlineStr">
        <is>
          <t>三</t>
        </is>
      </c>
      <c r="AU4" s="63" t="inlineStr">
        <is>
          <t>四</t>
        </is>
      </c>
      <c r="AV4" s="64" t="inlineStr">
        <is>
          <t>四</t>
        </is>
      </c>
      <c r="AW4" s="64" t="inlineStr">
        <is>
          <t>四</t>
        </is>
      </c>
      <c r="AX4" s="63" t="inlineStr">
        <is>
          <t>五</t>
        </is>
      </c>
      <c r="AY4" s="64" t="inlineStr">
        <is>
          <t>五</t>
        </is>
      </c>
      <c r="AZ4" s="64" t="inlineStr">
        <is>
          <t>五</t>
        </is>
      </c>
      <c r="BA4" s="63" t="inlineStr">
        <is>
          <t>六</t>
        </is>
      </c>
      <c r="BB4" s="64" t="inlineStr">
        <is>
          <t>六</t>
        </is>
      </c>
      <c r="BC4" s="64" t="inlineStr">
        <is>
          <t>六</t>
        </is>
      </c>
      <c r="BD4" s="63" t="inlineStr">
        <is>
          <t>日</t>
        </is>
      </c>
      <c r="BE4" s="64" t="inlineStr">
        <is>
          <t>日</t>
        </is>
      </c>
      <c r="BF4" s="64" t="inlineStr">
        <is>
          <t>日</t>
        </is>
      </c>
      <c r="BG4" s="63" t="inlineStr">
        <is>
          <t>一</t>
        </is>
      </c>
      <c r="BH4" s="64" t="inlineStr">
        <is>
          <t>一</t>
        </is>
      </c>
      <c r="BI4" s="64" t="inlineStr">
        <is>
          <t>一</t>
        </is>
      </c>
      <c r="BJ4" s="63" t="inlineStr">
        <is>
          <t>二</t>
        </is>
      </c>
      <c r="BK4" s="64" t="inlineStr">
        <is>
          <t>二</t>
        </is>
      </c>
      <c r="BL4" s="64" t="inlineStr">
        <is>
          <t>二</t>
        </is>
      </c>
      <c r="BM4" s="63" t="inlineStr">
        <is>
          <t>三</t>
        </is>
      </c>
      <c r="BN4" s="64" t="inlineStr">
        <is>
          <t>三</t>
        </is>
      </c>
      <c r="BO4" s="64" t="inlineStr">
        <is>
          <t>三</t>
        </is>
      </c>
      <c r="BP4" s="63" t="inlineStr">
        <is>
          <t>四</t>
        </is>
      </c>
      <c r="BQ4" s="64" t="inlineStr">
        <is>
          <t>四</t>
        </is>
      </c>
      <c r="BR4" s="64" t="inlineStr">
        <is>
          <t>四</t>
        </is>
      </c>
      <c r="BS4" s="63" t="inlineStr">
        <is>
          <t>五</t>
        </is>
      </c>
      <c r="BT4" s="64" t="inlineStr">
        <is>
          <t>五</t>
        </is>
      </c>
      <c r="BU4" s="64" t="inlineStr">
        <is>
          <t>五</t>
        </is>
      </c>
      <c r="BV4" s="63" t="inlineStr">
        <is>
          <t>六</t>
        </is>
      </c>
      <c r="BW4" s="64" t="inlineStr">
        <is>
          <t>六</t>
        </is>
      </c>
      <c r="BX4" s="64" t="inlineStr">
        <is>
          <t>六</t>
        </is>
      </c>
      <c r="BY4" s="63" t="inlineStr">
        <is>
          <t>日</t>
        </is>
      </c>
      <c r="BZ4" s="64" t="inlineStr">
        <is>
          <t>日</t>
        </is>
      </c>
      <c r="CA4" s="64" t="inlineStr">
        <is>
          <t>日</t>
        </is>
      </c>
      <c r="CB4" s="63" t="inlineStr">
        <is>
          <t>一</t>
        </is>
      </c>
      <c r="CC4" s="64" t="inlineStr">
        <is>
          <t>一</t>
        </is>
      </c>
      <c r="CD4" s="64" t="inlineStr">
        <is>
          <t>一</t>
        </is>
      </c>
      <c r="CE4" s="63" t="inlineStr">
        <is>
          <t>二</t>
        </is>
      </c>
      <c r="CF4" s="64" t="inlineStr">
        <is>
          <t>二</t>
        </is>
      </c>
      <c r="CG4" s="64" t="inlineStr">
        <is>
          <t>二</t>
        </is>
      </c>
      <c r="CH4" s="63" t="inlineStr">
        <is>
          <t>三</t>
        </is>
      </c>
      <c r="CI4" s="64" t="inlineStr">
        <is>
          <t>三</t>
        </is>
      </c>
      <c r="CJ4" s="64" t="inlineStr">
        <is>
          <t>三</t>
        </is>
      </c>
      <c r="CK4" s="63" t="inlineStr">
        <is>
          <t>四</t>
        </is>
      </c>
      <c r="CL4" s="64" t="inlineStr">
        <is>
          <t>四</t>
        </is>
      </c>
      <c r="CM4" s="64" t="inlineStr">
        <is>
          <t>四</t>
        </is>
      </c>
      <c r="CN4" s="63" t="inlineStr">
        <is>
          <t>五</t>
        </is>
      </c>
      <c r="CO4" s="64" t="inlineStr">
        <is>
          <t>五</t>
        </is>
      </c>
      <c r="CP4" s="64" t="inlineStr">
        <is>
          <t>五</t>
        </is>
      </c>
      <c r="CQ4" s="63" t="inlineStr">
        <is>
          <t>六</t>
        </is>
      </c>
      <c r="CR4" s="64" t="inlineStr">
        <is>
          <t>六</t>
        </is>
      </c>
      <c r="CS4" s="64" t="inlineStr">
        <is>
          <t>六</t>
        </is>
      </c>
    </row>
    <row r="5">
      <c r="A5" s="40" t="n"/>
      <c r="B5" s="40" t="n"/>
      <c r="C5" s="40" t="n"/>
      <c r="D5" s="40" t="n"/>
      <c r="E5" s="41" t="inlineStr">
        <is>
          <t>早</t>
        </is>
      </c>
      <c r="F5" s="42" t="inlineStr">
        <is>
          <t>午</t>
        </is>
      </c>
      <c r="G5" s="42" t="inlineStr">
        <is>
          <t>晚</t>
        </is>
      </c>
      <c r="H5" s="41" t="inlineStr">
        <is>
          <t>早</t>
        </is>
      </c>
      <c r="I5" s="42" t="inlineStr">
        <is>
          <t>午</t>
        </is>
      </c>
      <c r="J5" s="42" t="inlineStr">
        <is>
          <t>晚</t>
        </is>
      </c>
      <c r="K5" s="41" t="inlineStr">
        <is>
          <t>早</t>
        </is>
      </c>
      <c r="L5" s="42" t="inlineStr">
        <is>
          <t>午</t>
        </is>
      </c>
      <c r="M5" s="42" t="inlineStr">
        <is>
          <t>晚</t>
        </is>
      </c>
      <c r="N5" s="41" t="inlineStr">
        <is>
          <t>早</t>
        </is>
      </c>
      <c r="O5" s="42" t="inlineStr">
        <is>
          <t>午</t>
        </is>
      </c>
      <c r="P5" s="42" t="inlineStr">
        <is>
          <t>晚</t>
        </is>
      </c>
      <c r="Q5" s="41" t="inlineStr">
        <is>
          <t>早</t>
        </is>
      </c>
      <c r="R5" s="42" t="inlineStr">
        <is>
          <t>午</t>
        </is>
      </c>
      <c r="S5" s="42" t="inlineStr">
        <is>
          <t>晚</t>
        </is>
      </c>
      <c r="T5" s="41" t="inlineStr">
        <is>
          <t>早</t>
        </is>
      </c>
      <c r="U5" s="42" t="inlineStr">
        <is>
          <t>午</t>
        </is>
      </c>
      <c r="V5" s="42" t="inlineStr">
        <is>
          <t>晚</t>
        </is>
      </c>
      <c r="W5" s="41" t="inlineStr">
        <is>
          <t>早</t>
        </is>
      </c>
      <c r="X5" s="42" t="inlineStr">
        <is>
          <t>午</t>
        </is>
      </c>
      <c r="Y5" s="42" t="inlineStr">
        <is>
          <t>晚</t>
        </is>
      </c>
      <c r="Z5" s="41" t="inlineStr">
        <is>
          <t>早</t>
        </is>
      </c>
      <c r="AA5" s="42" t="inlineStr">
        <is>
          <t>午</t>
        </is>
      </c>
      <c r="AB5" s="42" t="inlineStr">
        <is>
          <t>晚</t>
        </is>
      </c>
      <c r="AC5" s="41" t="inlineStr">
        <is>
          <t>早</t>
        </is>
      </c>
      <c r="AD5" s="42" t="inlineStr">
        <is>
          <t>午</t>
        </is>
      </c>
      <c r="AE5" s="42" t="inlineStr">
        <is>
          <t>晚</t>
        </is>
      </c>
      <c r="AF5" s="41" t="inlineStr">
        <is>
          <t>早</t>
        </is>
      </c>
      <c r="AG5" s="42" t="inlineStr">
        <is>
          <t>午</t>
        </is>
      </c>
      <c r="AH5" s="42" t="inlineStr">
        <is>
          <t>晚</t>
        </is>
      </c>
      <c r="AI5" s="41" t="inlineStr">
        <is>
          <t>早</t>
        </is>
      </c>
      <c r="AJ5" s="42" t="inlineStr">
        <is>
          <t>午</t>
        </is>
      </c>
      <c r="AK5" s="42" t="inlineStr">
        <is>
          <t>晚</t>
        </is>
      </c>
      <c r="AL5" s="41" t="inlineStr">
        <is>
          <t>早</t>
        </is>
      </c>
      <c r="AM5" s="42" t="inlineStr">
        <is>
          <t>午</t>
        </is>
      </c>
      <c r="AN5" s="42" t="inlineStr">
        <is>
          <t>晚</t>
        </is>
      </c>
      <c r="AO5" s="41" t="inlineStr">
        <is>
          <t>早</t>
        </is>
      </c>
      <c r="AP5" s="42" t="inlineStr">
        <is>
          <t>午</t>
        </is>
      </c>
      <c r="AQ5" s="42" t="inlineStr">
        <is>
          <t>晚</t>
        </is>
      </c>
      <c r="AR5" s="41" t="inlineStr">
        <is>
          <t>早</t>
        </is>
      </c>
      <c r="AS5" s="42" t="inlineStr">
        <is>
          <t>午</t>
        </is>
      </c>
      <c r="AT5" s="42" t="inlineStr">
        <is>
          <t>晚</t>
        </is>
      </c>
      <c r="AU5" s="41" t="inlineStr">
        <is>
          <t>早</t>
        </is>
      </c>
      <c r="AV5" s="42" t="inlineStr">
        <is>
          <t>午</t>
        </is>
      </c>
      <c r="AW5" s="42" t="inlineStr">
        <is>
          <t>晚</t>
        </is>
      </c>
      <c r="AX5" s="41" t="inlineStr">
        <is>
          <t>早</t>
        </is>
      </c>
      <c r="AY5" s="42" t="inlineStr">
        <is>
          <t>午</t>
        </is>
      </c>
      <c r="AZ5" s="42" t="inlineStr">
        <is>
          <t>晚</t>
        </is>
      </c>
      <c r="BA5" s="41" t="inlineStr">
        <is>
          <t>早</t>
        </is>
      </c>
      <c r="BB5" s="42" t="inlineStr">
        <is>
          <t>午</t>
        </is>
      </c>
      <c r="BC5" s="42" t="inlineStr">
        <is>
          <t>晚</t>
        </is>
      </c>
      <c r="BD5" s="41" t="inlineStr">
        <is>
          <t>早</t>
        </is>
      </c>
      <c r="BE5" s="42" t="inlineStr">
        <is>
          <t>午</t>
        </is>
      </c>
      <c r="BF5" s="42" t="inlineStr">
        <is>
          <t>晚</t>
        </is>
      </c>
      <c r="BG5" s="41" t="inlineStr">
        <is>
          <t>早</t>
        </is>
      </c>
      <c r="BH5" s="42" t="inlineStr">
        <is>
          <t>午</t>
        </is>
      </c>
      <c r="BI5" s="42" t="inlineStr">
        <is>
          <t>晚</t>
        </is>
      </c>
      <c r="BJ5" s="41" t="inlineStr">
        <is>
          <t>早</t>
        </is>
      </c>
      <c r="BK5" s="42" t="inlineStr">
        <is>
          <t>午</t>
        </is>
      </c>
      <c r="BL5" s="42" t="inlineStr">
        <is>
          <t>晚</t>
        </is>
      </c>
      <c r="BM5" s="41" t="inlineStr">
        <is>
          <t>早</t>
        </is>
      </c>
      <c r="BN5" s="42" t="inlineStr">
        <is>
          <t>午</t>
        </is>
      </c>
      <c r="BO5" s="42" t="inlineStr">
        <is>
          <t>晚</t>
        </is>
      </c>
      <c r="BP5" s="41" t="inlineStr">
        <is>
          <t>早</t>
        </is>
      </c>
      <c r="BQ5" s="42" t="inlineStr">
        <is>
          <t>午</t>
        </is>
      </c>
      <c r="BR5" s="42" t="inlineStr">
        <is>
          <t>晚</t>
        </is>
      </c>
      <c r="BS5" s="41" t="inlineStr">
        <is>
          <t>早</t>
        </is>
      </c>
      <c r="BT5" s="42" t="inlineStr">
        <is>
          <t>午</t>
        </is>
      </c>
      <c r="BU5" s="42" t="inlineStr">
        <is>
          <t>晚</t>
        </is>
      </c>
      <c r="BV5" s="41" t="inlineStr">
        <is>
          <t>早</t>
        </is>
      </c>
      <c r="BW5" s="42" t="inlineStr">
        <is>
          <t>午</t>
        </is>
      </c>
      <c r="BX5" s="42" t="inlineStr">
        <is>
          <t>晚</t>
        </is>
      </c>
      <c r="BY5" s="41" t="inlineStr">
        <is>
          <t>早</t>
        </is>
      </c>
      <c r="BZ5" s="42" t="inlineStr">
        <is>
          <t>午</t>
        </is>
      </c>
      <c r="CA5" s="42" t="inlineStr">
        <is>
          <t>晚</t>
        </is>
      </c>
      <c r="CB5" s="41" t="inlineStr">
        <is>
          <t>早</t>
        </is>
      </c>
      <c r="CC5" s="42" t="inlineStr">
        <is>
          <t>午</t>
        </is>
      </c>
      <c r="CD5" s="42" t="inlineStr">
        <is>
          <t>晚</t>
        </is>
      </c>
      <c r="CE5" s="41" t="inlineStr">
        <is>
          <t>早</t>
        </is>
      </c>
      <c r="CF5" s="42" t="inlineStr">
        <is>
          <t>午</t>
        </is>
      </c>
      <c r="CG5" s="42" t="inlineStr">
        <is>
          <t>晚</t>
        </is>
      </c>
      <c r="CH5" s="41" t="inlineStr">
        <is>
          <t>早</t>
        </is>
      </c>
      <c r="CI5" s="42" t="inlineStr">
        <is>
          <t>午</t>
        </is>
      </c>
      <c r="CJ5" s="42" t="inlineStr">
        <is>
          <t>晚</t>
        </is>
      </c>
      <c r="CK5" s="41" t="inlineStr">
        <is>
          <t>早</t>
        </is>
      </c>
      <c r="CL5" s="42" t="inlineStr">
        <is>
          <t>午</t>
        </is>
      </c>
      <c r="CM5" s="42" t="inlineStr">
        <is>
          <t>晚</t>
        </is>
      </c>
      <c r="CN5" s="41" t="inlineStr">
        <is>
          <t>早</t>
        </is>
      </c>
      <c r="CO5" s="42" t="inlineStr">
        <is>
          <t>午</t>
        </is>
      </c>
      <c r="CP5" s="42" t="inlineStr">
        <is>
          <t>晚</t>
        </is>
      </c>
      <c r="CQ5" s="41" t="inlineStr">
        <is>
          <t>早</t>
        </is>
      </c>
      <c r="CR5" s="42" t="inlineStr">
        <is>
          <t>午</t>
        </is>
      </c>
      <c r="CS5" s="42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5" t="inlineStr">
        <is>
          <t>牙周植牙專科</t>
        </is>
      </c>
      <c r="D6" s="16" t="inlineStr">
        <is>
          <t>晶悅院長</t>
        </is>
      </c>
      <c r="E6" s="66" t="n"/>
      <c r="F6" s="67" t="inlineStr">
        <is>
          <t>匯</t>
        </is>
      </c>
      <c r="G6" s="67" t="inlineStr">
        <is>
          <t>匯</t>
        </is>
      </c>
      <c r="H6" s="66" t="n"/>
      <c r="I6" s="67" t="inlineStr">
        <is>
          <t>悅</t>
        </is>
      </c>
      <c r="J6" s="67" t="inlineStr">
        <is>
          <t>悅</t>
        </is>
      </c>
      <c r="K6" s="66" t="inlineStr">
        <is>
          <t>悅</t>
        </is>
      </c>
      <c r="L6" s="67" t="n"/>
      <c r="M6" s="67" t="inlineStr">
        <is>
          <t>休</t>
        </is>
      </c>
      <c r="N6" s="66" t="inlineStr">
        <is>
          <t>休</t>
        </is>
      </c>
      <c r="O6" s="67" t="inlineStr">
        <is>
          <t>休</t>
        </is>
      </c>
      <c r="P6" s="67" t="inlineStr">
        <is>
          <t>休</t>
        </is>
      </c>
      <c r="Q6" s="66" t="n"/>
      <c r="R6" s="67" t="inlineStr">
        <is>
          <t>悅</t>
        </is>
      </c>
      <c r="S6" s="67" t="inlineStr">
        <is>
          <t>悅</t>
        </is>
      </c>
      <c r="T6" s="66" t="inlineStr">
        <is>
          <t>曜</t>
        </is>
      </c>
      <c r="U6" s="67" t="inlineStr">
        <is>
          <t>曜</t>
        </is>
      </c>
      <c r="V6" s="67" t="n"/>
      <c r="W6" s="66" t="inlineStr">
        <is>
          <t>悅</t>
        </is>
      </c>
      <c r="X6" s="67" t="inlineStr">
        <is>
          <t>悅</t>
        </is>
      </c>
      <c r="Y6" s="67" t="inlineStr">
        <is>
          <t>悅</t>
        </is>
      </c>
      <c r="Z6" s="66" t="n"/>
      <c r="AA6" s="67" t="inlineStr">
        <is>
          <t>匯</t>
        </is>
      </c>
      <c r="AB6" s="67" t="inlineStr">
        <is>
          <t>匯</t>
        </is>
      </c>
      <c r="AC6" s="66" t="inlineStr">
        <is>
          <t>國</t>
        </is>
      </c>
      <c r="AD6" s="67" t="inlineStr">
        <is>
          <t>國</t>
        </is>
      </c>
      <c r="AE6" s="67" t="inlineStr">
        <is>
          <t>國</t>
        </is>
      </c>
      <c r="AF6" s="66" t="inlineStr">
        <is>
          <t>國</t>
        </is>
      </c>
      <c r="AG6" s="67" t="inlineStr">
        <is>
          <t>國</t>
        </is>
      </c>
      <c r="AH6" s="67" t="inlineStr">
        <is>
          <t>國</t>
        </is>
      </c>
      <c r="AI6" s="66" t="inlineStr">
        <is>
          <t>休</t>
        </is>
      </c>
      <c r="AJ6" s="67" t="inlineStr">
        <is>
          <t>休</t>
        </is>
      </c>
      <c r="AK6" s="67" t="inlineStr">
        <is>
          <t>休</t>
        </is>
      </c>
      <c r="AL6" s="66" t="n"/>
      <c r="AM6" s="67" t="inlineStr">
        <is>
          <t>悅</t>
        </is>
      </c>
      <c r="AN6" s="67" t="inlineStr">
        <is>
          <t>悅</t>
        </is>
      </c>
      <c r="AO6" s="66" t="inlineStr">
        <is>
          <t>曜</t>
        </is>
      </c>
      <c r="AP6" s="67" t="inlineStr">
        <is>
          <t>曜</t>
        </is>
      </c>
      <c r="AQ6" s="67" t="n"/>
      <c r="AR6" s="66" t="inlineStr">
        <is>
          <t>悅</t>
        </is>
      </c>
      <c r="AS6" s="67" t="inlineStr">
        <is>
          <t>悅</t>
        </is>
      </c>
      <c r="AT6" s="67" t="inlineStr">
        <is>
          <t>悅</t>
        </is>
      </c>
      <c r="AU6" s="66" t="n"/>
      <c r="AV6" s="67" t="inlineStr">
        <is>
          <t>匯</t>
        </is>
      </c>
      <c r="AW6" s="67" t="inlineStr">
        <is>
          <t>匯</t>
        </is>
      </c>
      <c r="AX6" s="66" t="n"/>
      <c r="AY6" s="67" t="inlineStr">
        <is>
          <t>悅</t>
        </is>
      </c>
      <c r="AZ6" s="67" t="inlineStr">
        <is>
          <t>悅</t>
        </is>
      </c>
      <c r="BA6" s="66" t="inlineStr">
        <is>
          <t>悅</t>
        </is>
      </c>
      <c r="BB6" s="67" t="n"/>
      <c r="BC6" s="67" t="inlineStr">
        <is>
          <t>休</t>
        </is>
      </c>
      <c r="BD6" s="66" t="inlineStr">
        <is>
          <t>休</t>
        </is>
      </c>
      <c r="BE6" s="67" t="inlineStr">
        <is>
          <t>休</t>
        </is>
      </c>
      <c r="BF6" s="67" t="inlineStr">
        <is>
          <t>休</t>
        </is>
      </c>
      <c r="BG6" s="66" t="n"/>
      <c r="BH6" s="67" t="inlineStr">
        <is>
          <t>悅</t>
        </is>
      </c>
      <c r="BI6" s="67" t="inlineStr">
        <is>
          <t>悅</t>
        </is>
      </c>
      <c r="BJ6" s="66" t="inlineStr">
        <is>
          <t>曜</t>
        </is>
      </c>
      <c r="BK6" s="67" t="inlineStr">
        <is>
          <t>曜</t>
        </is>
      </c>
      <c r="BL6" s="67" t="n"/>
      <c r="BM6" s="66" t="inlineStr">
        <is>
          <t>悅</t>
        </is>
      </c>
      <c r="BN6" s="67" t="inlineStr">
        <is>
          <t>悅</t>
        </is>
      </c>
      <c r="BO6" s="67" t="inlineStr">
        <is>
          <t>悅</t>
        </is>
      </c>
      <c r="BP6" s="66" t="n"/>
      <c r="BQ6" s="67" t="inlineStr">
        <is>
          <t>匯</t>
        </is>
      </c>
      <c r="BR6" s="67" t="inlineStr">
        <is>
          <t>匯</t>
        </is>
      </c>
      <c r="BS6" s="66" t="n"/>
      <c r="BT6" s="67" t="inlineStr">
        <is>
          <t>悅</t>
        </is>
      </c>
      <c r="BU6" s="67" t="inlineStr">
        <is>
          <t>悅</t>
        </is>
      </c>
      <c r="BV6" s="66" t="n"/>
      <c r="BW6" s="67" t="n"/>
      <c r="BX6" s="67" t="inlineStr">
        <is>
          <t>休</t>
        </is>
      </c>
      <c r="BY6" s="66" t="inlineStr">
        <is>
          <t>國</t>
        </is>
      </c>
      <c r="BZ6" s="67" t="inlineStr">
        <is>
          <t>國</t>
        </is>
      </c>
      <c r="CA6" s="67" t="inlineStr">
        <is>
          <t>國</t>
        </is>
      </c>
      <c r="CB6" s="66" t="inlineStr">
        <is>
          <t>國</t>
        </is>
      </c>
      <c r="CC6" s="67" t="inlineStr">
        <is>
          <t>國</t>
        </is>
      </c>
      <c r="CD6" s="67" t="inlineStr">
        <is>
          <t>國</t>
        </is>
      </c>
      <c r="CE6" s="66" t="inlineStr">
        <is>
          <t>曜</t>
        </is>
      </c>
      <c r="CF6" s="67" t="inlineStr">
        <is>
          <t>曜</t>
        </is>
      </c>
      <c r="CG6" s="67" t="n"/>
      <c r="CH6" s="66" t="inlineStr">
        <is>
          <t>悅</t>
        </is>
      </c>
      <c r="CI6" s="67" t="inlineStr">
        <is>
          <t>悅</t>
        </is>
      </c>
      <c r="CJ6" s="67" t="inlineStr">
        <is>
          <t>悅</t>
        </is>
      </c>
      <c r="CK6" s="66" t="n"/>
      <c r="CL6" s="67" t="inlineStr">
        <is>
          <t>匯</t>
        </is>
      </c>
      <c r="CM6" s="67" t="inlineStr">
        <is>
          <t>匯</t>
        </is>
      </c>
      <c r="CN6" s="66" t="n"/>
      <c r="CO6" s="67" t="inlineStr">
        <is>
          <t>悅</t>
        </is>
      </c>
      <c r="CP6" s="67" t="inlineStr">
        <is>
          <t>悅</t>
        </is>
      </c>
      <c r="CQ6" s="66" t="inlineStr">
        <is>
          <t>悅</t>
        </is>
      </c>
      <c r="CR6" s="67" t="n"/>
      <c r="CS6" s="67" t="inlineStr">
        <is>
          <t>休</t>
        </is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5" t="inlineStr">
        <is>
          <t>植牙專科 家庭牙醫專科</t>
        </is>
      </c>
      <c r="D7" s="16" t="inlineStr">
        <is>
          <t>晶曜院長</t>
        </is>
      </c>
      <c r="E7" s="66" t="inlineStr">
        <is>
          <t>曜</t>
        </is>
      </c>
      <c r="F7" s="67" t="inlineStr">
        <is>
          <t>曜</t>
        </is>
      </c>
      <c r="G7" s="67" t="inlineStr">
        <is>
          <t>曜</t>
        </is>
      </c>
      <c r="H7" s="66" t="n"/>
      <c r="I7" s="67" t="inlineStr">
        <is>
          <t>睿</t>
        </is>
      </c>
      <c r="J7" s="67" t="inlineStr">
        <is>
          <t>睿</t>
        </is>
      </c>
      <c r="K7" s="66" t="n"/>
      <c r="L7" s="67" t="n"/>
      <c r="M7" s="67" t="inlineStr">
        <is>
          <t>休</t>
        </is>
      </c>
      <c r="N7" s="66" t="inlineStr">
        <is>
          <t>休</t>
        </is>
      </c>
      <c r="O7" s="67" t="inlineStr">
        <is>
          <t>休</t>
        </is>
      </c>
      <c r="P7" s="67" t="inlineStr">
        <is>
          <t>休</t>
        </is>
      </c>
      <c r="Q7" s="66" t="inlineStr">
        <is>
          <t>曜</t>
        </is>
      </c>
      <c r="R7" s="67" t="inlineStr">
        <is>
          <t>曜</t>
        </is>
      </c>
      <c r="S7" s="67" t="inlineStr">
        <is>
          <t>曜</t>
        </is>
      </c>
      <c r="T7" s="66" t="n"/>
      <c r="U7" s="67" t="inlineStr">
        <is>
          <t>睿</t>
        </is>
      </c>
      <c r="V7" s="67" t="inlineStr">
        <is>
          <t>睿</t>
        </is>
      </c>
      <c r="W7" s="66" t="inlineStr">
        <is>
          <t>曜</t>
        </is>
      </c>
      <c r="X7" s="67" t="inlineStr">
        <is>
          <t>曜</t>
        </is>
      </c>
      <c r="Y7" s="67" t="n"/>
      <c r="Z7" s="66" t="inlineStr">
        <is>
          <t>曜</t>
        </is>
      </c>
      <c r="AA7" s="67" t="inlineStr">
        <is>
          <t>曜</t>
        </is>
      </c>
      <c r="AB7" s="67" t="inlineStr">
        <is>
          <t>曜</t>
        </is>
      </c>
      <c r="AC7" s="66" t="inlineStr">
        <is>
          <t>國</t>
        </is>
      </c>
      <c r="AD7" s="67" t="inlineStr">
        <is>
          <t>國</t>
        </is>
      </c>
      <c r="AE7" s="67" t="inlineStr">
        <is>
          <t>國</t>
        </is>
      </c>
      <c r="AF7" s="66" t="inlineStr">
        <is>
          <t>國</t>
        </is>
      </c>
      <c r="AG7" s="67" t="inlineStr">
        <is>
          <t>國</t>
        </is>
      </c>
      <c r="AH7" s="67" t="inlineStr">
        <is>
          <t>國</t>
        </is>
      </c>
      <c r="AI7" s="66" t="inlineStr">
        <is>
          <t>休</t>
        </is>
      </c>
      <c r="AJ7" s="67" t="inlineStr">
        <is>
          <t>休</t>
        </is>
      </c>
      <c r="AK7" s="67" t="inlineStr">
        <is>
          <t>休</t>
        </is>
      </c>
      <c r="AL7" s="66" t="inlineStr">
        <is>
          <t>曜</t>
        </is>
      </c>
      <c r="AM7" s="67" t="inlineStr">
        <is>
          <t>曜</t>
        </is>
      </c>
      <c r="AN7" s="67" t="inlineStr">
        <is>
          <t>曜</t>
        </is>
      </c>
      <c r="AO7" s="66" t="n"/>
      <c r="AP7" s="67" t="inlineStr">
        <is>
          <t>睿</t>
        </is>
      </c>
      <c r="AQ7" s="67" t="inlineStr">
        <is>
          <t>睿</t>
        </is>
      </c>
      <c r="AR7" s="66" t="inlineStr">
        <is>
          <t>睿</t>
        </is>
      </c>
      <c r="AS7" s="67" t="inlineStr">
        <is>
          <t>睿</t>
        </is>
      </c>
      <c r="AT7" s="67" t="n"/>
      <c r="AU7" s="66" t="inlineStr">
        <is>
          <t>曜</t>
        </is>
      </c>
      <c r="AV7" s="67" t="inlineStr">
        <is>
          <t>曜</t>
        </is>
      </c>
      <c r="AW7" s="67" t="inlineStr">
        <is>
          <t>曜</t>
        </is>
      </c>
      <c r="AX7" s="66" t="n"/>
      <c r="AY7" s="67" t="inlineStr">
        <is>
          <t>睿</t>
        </is>
      </c>
      <c r="AZ7" s="67" t="inlineStr">
        <is>
          <t>睿</t>
        </is>
      </c>
      <c r="BA7" s="66" t="n"/>
      <c r="BB7" s="67" t="n"/>
      <c r="BC7" s="67" t="inlineStr">
        <is>
          <t>休</t>
        </is>
      </c>
      <c r="BD7" s="66" t="inlineStr">
        <is>
          <t>休</t>
        </is>
      </c>
      <c r="BE7" s="67" t="inlineStr">
        <is>
          <t>休</t>
        </is>
      </c>
      <c r="BF7" s="67" t="inlineStr">
        <is>
          <t>休</t>
        </is>
      </c>
      <c r="BG7" s="66" t="inlineStr">
        <is>
          <t>曜</t>
        </is>
      </c>
      <c r="BH7" s="67" t="inlineStr">
        <is>
          <t>曜</t>
        </is>
      </c>
      <c r="BI7" s="67" t="inlineStr">
        <is>
          <t>曜</t>
        </is>
      </c>
      <c r="BJ7" s="66" t="n"/>
      <c r="BK7" s="67" t="inlineStr">
        <is>
          <t>睿</t>
        </is>
      </c>
      <c r="BL7" s="67" t="inlineStr">
        <is>
          <t>睿</t>
        </is>
      </c>
      <c r="BM7" s="66" t="inlineStr">
        <is>
          <t>曜</t>
        </is>
      </c>
      <c r="BN7" s="67" t="inlineStr">
        <is>
          <t>曜</t>
        </is>
      </c>
      <c r="BO7" s="67" t="n"/>
      <c r="BP7" s="66" t="inlineStr">
        <is>
          <t>曜</t>
        </is>
      </c>
      <c r="BQ7" s="67" t="inlineStr">
        <is>
          <t>曜</t>
        </is>
      </c>
      <c r="BR7" s="67" t="inlineStr">
        <is>
          <t>曜</t>
        </is>
      </c>
      <c r="BS7" s="66" t="n"/>
      <c r="BT7" s="67" t="inlineStr">
        <is>
          <t>睿</t>
        </is>
      </c>
      <c r="BU7" s="67" t="inlineStr">
        <is>
          <t>睿</t>
        </is>
      </c>
      <c r="BV7" s="66" t="n"/>
      <c r="BW7" s="67" t="n"/>
      <c r="BX7" s="67" t="inlineStr">
        <is>
          <t>休</t>
        </is>
      </c>
      <c r="BY7" s="66" t="inlineStr">
        <is>
          <t>國</t>
        </is>
      </c>
      <c r="BZ7" s="67" t="inlineStr">
        <is>
          <t>國</t>
        </is>
      </c>
      <c r="CA7" s="67" t="inlineStr">
        <is>
          <t>國</t>
        </is>
      </c>
      <c r="CB7" s="66" t="inlineStr">
        <is>
          <t>國</t>
        </is>
      </c>
      <c r="CC7" s="67" t="inlineStr">
        <is>
          <t>國</t>
        </is>
      </c>
      <c r="CD7" s="67" t="inlineStr">
        <is>
          <t>國</t>
        </is>
      </c>
      <c r="CE7" s="66" t="n"/>
      <c r="CF7" s="67" t="inlineStr">
        <is>
          <t>睿</t>
        </is>
      </c>
      <c r="CG7" s="67" t="inlineStr">
        <is>
          <t>睿</t>
        </is>
      </c>
      <c r="CH7" s="66" t="inlineStr">
        <is>
          <t>睿</t>
        </is>
      </c>
      <c r="CI7" s="67" t="inlineStr">
        <is>
          <t>睿</t>
        </is>
      </c>
      <c r="CJ7" s="67" t="n"/>
      <c r="CK7" s="66" t="inlineStr">
        <is>
          <t>曜</t>
        </is>
      </c>
      <c r="CL7" s="67" t="inlineStr">
        <is>
          <t>曜</t>
        </is>
      </c>
      <c r="CM7" s="67" t="inlineStr">
        <is>
          <t>曜</t>
        </is>
      </c>
      <c r="CN7" s="66" t="n"/>
      <c r="CO7" s="67" t="inlineStr">
        <is>
          <t>睿</t>
        </is>
      </c>
      <c r="CP7" s="67" t="inlineStr">
        <is>
          <t>睿</t>
        </is>
      </c>
      <c r="CQ7" s="66" t="n"/>
      <c r="CR7" s="67" t="n"/>
      <c r="CS7" s="67" t="inlineStr">
        <is>
          <t>休</t>
        </is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5" t="inlineStr">
        <is>
          <t>矯正專科</t>
        </is>
      </c>
      <c r="D8" s="16" t="inlineStr"/>
      <c r="E8" s="66" t="n"/>
      <c r="F8" s="67" t="n"/>
      <c r="G8" s="67" t="n"/>
      <c r="H8" s="66" t="n"/>
      <c r="I8" s="67" t="n"/>
      <c r="J8" s="67" t="n"/>
      <c r="K8" s="66" t="inlineStr">
        <is>
          <t>悅</t>
        </is>
      </c>
      <c r="L8" s="67" t="n"/>
      <c r="M8" s="67" t="inlineStr">
        <is>
          <t>休</t>
        </is>
      </c>
      <c r="N8" s="66" t="inlineStr">
        <is>
          <t>休</t>
        </is>
      </c>
      <c r="O8" s="67" t="inlineStr">
        <is>
          <t>休</t>
        </is>
      </c>
      <c r="P8" s="67" t="inlineStr">
        <is>
          <t>休</t>
        </is>
      </c>
      <c r="Q8" s="66" t="n"/>
      <c r="R8" s="67" t="inlineStr">
        <is>
          <t>睿</t>
        </is>
      </c>
      <c r="S8" s="67" t="inlineStr">
        <is>
          <t>睿</t>
        </is>
      </c>
      <c r="T8" s="66" t="n"/>
      <c r="U8" s="67" t="n"/>
      <c r="V8" s="67" t="n"/>
      <c r="W8" s="66" t="n"/>
      <c r="X8" s="67" t="inlineStr">
        <is>
          <t>悅</t>
        </is>
      </c>
      <c r="Y8" s="67" t="inlineStr">
        <is>
          <t>悅</t>
        </is>
      </c>
      <c r="Z8" s="66" t="n"/>
      <c r="AA8" s="67" t="n"/>
      <c r="AB8" s="67" t="n"/>
      <c r="AC8" s="66" t="inlineStr">
        <is>
          <t>國</t>
        </is>
      </c>
      <c r="AD8" s="67" t="inlineStr">
        <is>
          <t>國</t>
        </is>
      </c>
      <c r="AE8" s="67" t="inlineStr">
        <is>
          <t>國</t>
        </is>
      </c>
      <c r="AF8" s="66" t="inlineStr">
        <is>
          <t>國</t>
        </is>
      </c>
      <c r="AG8" s="67" t="inlineStr">
        <is>
          <t>國</t>
        </is>
      </c>
      <c r="AH8" s="67" t="inlineStr">
        <is>
          <t>國</t>
        </is>
      </c>
      <c r="AI8" s="66" t="inlineStr">
        <is>
          <t>休</t>
        </is>
      </c>
      <c r="AJ8" s="67" t="inlineStr">
        <is>
          <t>休</t>
        </is>
      </c>
      <c r="AK8" s="67" t="inlineStr">
        <is>
          <t>休</t>
        </is>
      </c>
      <c r="AL8" s="66" t="n"/>
      <c r="AM8" s="67" t="inlineStr">
        <is>
          <t>悅</t>
        </is>
      </c>
      <c r="AN8" s="67" t="inlineStr">
        <is>
          <t>悅</t>
        </is>
      </c>
      <c r="AO8" s="66" t="n"/>
      <c r="AP8" s="67" t="n"/>
      <c r="AQ8" s="67" t="n"/>
      <c r="AR8" s="66" t="n"/>
      <c r="AS8" s="67" t="inlineStr">
        <is>
          <t>悅</t>
        </is>
      </c>
      <c r="AT8" s="67" t="inlineStr">
        <is>
          <t>悅</t>
        </is>
      </c>
      <c r="AU8" s="66" t="n"/>
      <c r="AV8" s="67" t="n"/>
      <c r="AW8" s="67" t="n"/>
      <c r="AX8" s="66" t="n"/>
      <c r="AY8" s="67" t="n"/>
      <c r="AZ8" s="67" t="n"/>
      <c r="BA8" s="66" t="inlineStr">
        <is>
          <t>悅</t>
        </is>
      </c>
      <c r="BB8" s="67" t="n"/>
      <c r="BC8" s="67" t="inlineStr">
        <is>
          <t>休</t>
        </is>
      </c>
      <c r="BD8" s="66" t="inlineStr">
        <is>
          <t>休</t>
        </is>
      </c>
      <c r="BE8" s="67" t="inlineStr">
        <is>
          <t>休</t>
        </is>
      </c>
      <c r="BF8" s="67" t="inlineStr">
        <is>
          <t>休</t>
        </is>
      </c>
      <c r="BG8" s="66" t="n"/>
      <c r="BH8" s="67" t="inlineStr">
        <is>
          <t>睿</t>
        </is>
      </c>
      <c r="BI8" s="67" t="inlineStr">
        <is>
          <t>睿</t>
        </is>
      </c>
      <c r="BJ8" s="66" t="n"/>
      <c r="BK8" s="67" t="n"/>
      <c r="BL8" s="67" t="n"/>
      <c r="BM8" s="66" t="n"/>
      <c r="BN8" s="67" t="inlineStr">
        <is>
          <t>悅</t>
        </is>
      </c>
      <c r="BO8" s="67" t="inlineStr">
        <is>
          <t>悅</t>
        </is>
      </c>
      <c r="BP8" s="66" t="n"/>
      <c r="BQ8" s="67" t="n"/>
      <c r="BR8" s="67" t="n"/>
      <c r="BS8" s="66" t="n"/>
      <c r="BT8" s="67" t="n"/>
      <c r="BU8" s="67" t="n"/>
      <c r="BV8" s="66" t="inlineStr">
        <is>
          <t>悅</t>
        </is>
      </c>
      <c r="BW8" s="67" t="n"/>
      <c r="BX8" s="67" t="inlineStr">
        <is>
          <t>休</t>
        </is>
      </c>
      <c r="BY8" s="66" t="inlineStr">
        <is>
          <t>國</t>
        </is>
      </c>
      <c r="BZ8" s="67" t="inlineStr">
        <is>
          <t>國</t>
        </is>
      </c>
      <c r="CA8" s="67" t="inlineStr">
        <is>
          <t>國</t>
        </is>
      </c>
      <c r="CB8" s="66" t="inlineStr">
        <is>
          <t>國</t>
        </is>
      </c>
      <c r="CC8" s="67" t="inlineStr">
        <is>
          <t>國</t>
        </is>
      </c>
      <c r="CD8" s="67" t="inlineStr">
        <is>
          <t>國</t>
        </is>
      </c>
      <c r="CE8" s="66" t="n"/>
      <c r="CF8" s="67" t="n"/>
      <c r="CG8" s="67" t="n"/>
      <c r="CH8" s="66" t="n"/>
      <c r="CI8" s="67" t="inlineStr">
        <is>
          <t>悅</t>
        </is>
      </c>
      <c r="CJ8" s="67" t="inlineStr">
        <is>
          <t>悅</t>
        </is>
      </c>
      <c r="CK8" s="66" t="n"/>
      <c r="CL8" s="67" t="n"/>
      <c r="CM8" s="67" t="n"/>
      <c r="CN8" s="66" t="n"/>
      <c r="CO8" s="67" t="n"/>
      <c r="CP8" s="67" t="n"/>
      <c r="CQ8" s="66" t="inlineStr">
        <is>
          <t>悅</t>
        </is>
      </c>
      <c r="CR8" s="67" t="n"/>
      <c r="CS8" s="67" t="inlineStr">
        <is>
          <t>休</t>
        </is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5" t="inlineStr">
        <is>
          <t>兒童專科</t>
        </is>
      </c>
      <c r="D9" s="16" t="inlineStr"/>
      <c r="E9" s="66" t="inlineStr">
        <is>
          <t>睿</t>
        </is>
      </c>
      <c r="F9" s="67" t="inlineStr">
        <is>
          <t>睿</t>
        </is>
      </c>
      <c r="G9" s="67" t="n"/>
      <c r="H9" s="66" t="n"/>
      <c r="I9" s="67" t="n"/>
      <c r="J9" s="67" t="n"/>
      <c r="K9" s="66" t="n"/>
      <c r="L9" s="67" t="n"/>
      <c r="M9" s="67" t="inlineStr">
        <is>
          <t>休</t>
        </is>
      </c>
      <c r="N9" s="66" t="inlineStr">
        <is>
          <t>休</t>
        </is>
      </c>
      <c r="O9" s="67" t="inlineStr">
        <is>
          <t>休</t>
        </is>
      </c>
      <c r="P9" s="67" t="inlineStr">
        <is>
          <t>休</t>
        </is>
      </c>
      <c r="Q9" s="66" t="n"/>
      <c r="R9" s="67" t="n"/>
      <c r="S9" s="67" t="n"/>
      <c r="T9" s="66" t="inlineStr">
        <is>
          <t>悅</t>
        </is>
      </c>
      <c r="U9" s="67" t="inlineStr">
        <is>
          <t>悅</t>
        </is>
      </c>
      <c r="V9" s="67" t="n"/>
      <c r="W9" s="66" t="n"/>
      <c r="X9" s="67" t="inlineStr">
        <is>
          <t>曜</t>
        </is>
      </c>
      <c r="Y9" s="67" t="n"/>
      <c r="Z9" s="66" t="inlineStr">
        <is>
          <t>睿</t>
        </is>
      </c>
      <c r="AA9" s="67" t="inlineStr">
        <is>
          <t>睿</t>
        </is>
      </c>
      <c r="AB9" s="67" t="n"/>
      <c r="AC9" s="66" t="inlineStr">
        <is>
          <t>國</t>
        </is>
      </c>
      <c r="AD9" s="67" t="inlineStr">
        <is>
          <t>國</t>
        </is>
      </c>
      <c r="AE9" s="67" t="inlineStr">
        <is>
          <t>國</t>
        </is>
      </c>
      <c r="AF9" s="66" t="inlineStr">
        <is>
          <t>國</t>
        </is>
      </c>
      <c r="AG9" s="67" t="inlineStr">
        <is>
          <t>國</t>
        </is>
      </c>
      <c r="AH9" s="67" t="inlineStr">
        <is>
          <t>國</t>
        </is>
      </c>
      <c r="AI9" s="66" t="inlineStr">
        <is>
          <t>休</t>
        </is>
      </c>
      <c r="AJ9" s="67" t="inlineStr">
        <is>
          <t>休</t>
        </is>
      </c>
      <c r="AK9" s="67" t="inlineStr">
        <is>
          <t>休</t>
        </is>
      </c>
      <c r="AL9" s="66" t="n"/>
      <c r="AM9" s="67" t="inlineStr">
        <is>
          <t>悅</t>
        </is>
      </c>
      <c r="AN9" s="67" t="n"/>
      <c r="AO9" s="66" t="inlineStr">
        <is>
          <t>悅</t>
        </is>
      </c>
      <c r="AP9" s="67" t="inlineStr">
        <is>
          <t>悅</t>
        </is>
      </c>
      <c r="AQ9" s="67" t="n"/>
      <c r="AR9" s="66" t="n"/>
      <c r="AS9" s="67" t="inlineStr">
        <is>
          <t>曜</t>
        </is>
      </c>
      <c r="AT9" s="67" t="n"/>
      <c r="AU9" s="66" t="inlineStr">
        <is>
          <t>睿</t>
        </is>
      </c>
      <c r="AV9" s="67" t="inlineStr">
        <is>
          <t>睿</t>
        </is>
      </c>
      <c r="AW9" s="67" t="n"/>
      <c r="AX9" s="66" t="n"/>
      <c r="AY9" s="67" t="n"/>
      <c r="AZ9" s="67" t="n"/>
      <c r="BA9" s="66" t="n"/>
      <c r="BB9" s="67" t="n"/>
      <c r="BC9" s="67" t="inlineStr">
        <is>
          <t>休</t>
        </is>
      </c>
      <c r="BD9" s="66" t="inlineStr">
        <is>
          <t>休</t>
        </is>
      </c>
      <c r="BE9" s="67" t="inlineStr">
        <is>
          <t>休</t>
        </is>
      </c>
      <c r="BF9" s="67" t="inlineStr">
        <is>
          <t>休</t>
        </is>
      </c>
      <c r="BG9" s="66" t="n"/>
      <c r="BH9" s="67" t="n"/>
      <c r="BI9" s="67" t="n"/>
      <c r="BJ9" s="66" t="inlineStr">
        <is>
          <t>悅</t>
        </is>
      </c>
      <c r="BK9" s="67" t="inlineStr">
        <is>
          <t>悅</t>
        </is>
      </c>
      <c r="BL9" s="67" t="n"/>
      <c r="BM9" s="66" t="n"/>
      <c r="BN9" s="67" t="inlineStr">
        <is>
          <t>曜</t>
        </is>
      </c>
      <c r="BO9" s="67" t="n"/>
      <c r="BP9" s="66" t="inlineStr">
        <is>
          <t>睿</t>
        </is>
      </c>
      <c r="BQ9" s="67" t="inlineStr">
        <is>
          <t>睿</t>
        </is>
      </c>
      <c r="BR9" s="67" t="n"/>
      <c r="BS9" s="66" t="n"/>
      <c r="BT9" s="67" t="n"/>
      <c r="BU9" s="67" t="n"/>
      <c r="BV9" s="66" t="n"/>
      <c r="BW9" s="67" t="n"/>
      <c r="BX9" s="67" t="inlineStr">
        <is>
          <t>休</t>
        </is>
      </c>
      <c r="BY9" s="66" t="inlineStr">
        <is>
          <t>國</t>
        </is>
      </c>
      <c r="BZ9" s="67" t="inlineStr">
        <is>
          <t>國</t>
        </is>
      </c>
      <c r="CA9" s="67" t="inlineStr">
        <is>
          <t>國</t>
        </is>
      </c>
      <c r="CB9" s="66" t="inlineStr">
        <is>
          <t>國</t>
        </is>
      </c>
      <c r="CC9" s="67" t="inlineStr">
        <is>
          <t>國</t>
        </is>
      </c>
      <c r="CD9" s="67" t="inlineStr">
        <is>
          <t>國</t>
        </is>
      </c>
      <c r="CE9" s="66" t="inlineStr">
        <is>
          <t>悅</t>
        </is>
      </c>
      <c r="CF9" s="67" t="inlineStr">
        <is>
          <t>悅</t>
        </is>
      </c>
      <c r="CG9" s="67" t="n"/>
      <c r="CH9" s="66" t="n"/>
      <c r="CI9" s="67" t="inlineStr">
        <is>
          <t>曜</t>
        </is>
      </c>
      <c r="CJ9" s="67" t="n"/>
      <c r="CK9" s="66" t="inlineStr">
        <is>
          <t>睿</t>
        </is>
      </c>
      <c r="CL9" s="67" t="inlineStr">
        <is>
          <t>睿</t>
        </is>
      </c>
      <c r="CM9" s="67" t="n"/>
      <c r="CN9" s="66" t="n"/>
      <c r="CO9" s="67" t="n"/>
      <c r="CP9" s="67" t="n"/>
      <c r="CQ9" s="66" t="n"/>
      <c r="CR9" s="67" t="n"/>
      <c r="CS9" s="67" t="inlineStr">
        <is>
          <t>休</t>
        </is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5" t="inlineStr">
        <is>
          <t>口外專科</t>
        </is>
      </c>
      <c r="D10" s="16" t="inlineStr"/>
      <c r="E10" s="66" t="n"/>
      <c r="F10" s="67" t="n"/>
      <c r="G10" s="67" t="n"/>
      <c r="H10" s="66" t="n"/>
      <c r="I10" s="67" t="n"/>
      <c r="J10" s="67" t="n"/>
      <c r="K10" s="66" t="n"/>
      <c r="L10" s="67" t="n"/>
      <c r="M10" s="67" t="inlineStr">
        <is>
          <t>休</t>
        </is>
      </c>
      <c r="N10" s="66" t="inlineStr">
        <is>
          <t>休</t>
        </is>
      </c>
      <c r="O10" s="67" t="inlineStr">
        <is>
          <t>休</t>
        </is>
      </c>
      <c r="P10" s="67" t="inlineStr">
        <is>
          <t>休</t>
        </is>
      </c>
      <c r="Q10" s="66" t="n"/>
      <c r="R10" s="67" t="n"/>
      <c r="S10" s="67" t="n"/>
      <c r="T10" s="66" t="inlineStr">
        <is>
          <t>悅</t>
        </is>
      </c>
      <c r="U10" s="67" t="inlineStr">
        <is>
          <t>悅</t>
        </is>
      </c>
      <c r="V10" s="67" t="inlineStr">
        <is>
          <t>睿</t>
        </is>
      </c>
      <c r="W10" s="66" t="n"/>
      <c r="X10" s="67" t="n"/>
      <c r="Y10" s="67" t="n"/>
      <c r="Z10" s="66" t="n"/>
      <c r="AA10" s="67" t="n"/>
      <c r="AB10" s="67" t="n"/>
      <c r="AC10" s="66" t="inlineStr">
        <is>
          <t>國</t>
        </is>
      </c>
      <c r="AD10" s="67" t="inlineStr">
        <is>
          <t>國</t>
        </is>
      </c>
      <c r="AE10" s="67" t="inlineStr">
        <is>
          <t>國</t>
        </is>
      </c>
      <c r="AF10" s="66" t="inlineStr">
        <is>
          <t>國</t>
        </is>
      </c>
      <c r="AG10" s="67" t="inlineStr">
        <is>
          <t>國</t>
        </is>
      </c>
      <c r="AH10" s="67" t="inlineStr">
        <is>
          <t>國</t>
        </is>
      </c>
      <c r="AI10" s="66" t="inlineStr">
        <is>
          <t>休</t>
        </is>
      </c>
      <c r="AJ10" s="67" t="inlineStr">
        <is>
          <t>休</t>
        </is>
      </c>
      <c r="AK10" s="67" t="inlineStr">
        <is>
          <t>休</t>
        </is>
      </c>
      <c r="AL10" s="66" t="n"/>
      <c r="AM10" s="67" t="n"/>
      <c r="AN10" s="67" t="n"/>
      <c r="AO10" s="66" t="inlineStr">
        <is>
          <t>悅</t>
        </is>
      </c>
      <c r="AP10" s="67" t="inlineStr">
        <is>
          <t>悅</t>
        </is>
      </c>
      <c r="AQ10" s="67" t="inlineStr">
        <is>
          <t>睿</t>
        </is>
      </c>
      <c r="AR10" s="66" t="n"/>
      <c r="AS10" s="67" t="n"/>
      <c r="AT10" s="67" t="n"/>
      <c r="AU10" s="66" t="n"/>
      <c r="AV10" s="67" t="n"/>
      <c r="AW10" s="67" t="n"/>
      <c r="AX10" s="66" t="n"/>
      <c r="AY10" s="67" t="n"/>
      <c r="AZ10" s="67" t="n"/>
      <c r="BA10" s="66" t="n"/>
      <c r="BB10" s="67" t="n"/>
      <c r="BC10" s="67" t="inlineStr">
        <is>
          <t>休</t>
        </is>
      </c>
      <c r="BD10" s="66" t="inlineStr">
        <is>
          <t>休</t>
        </is>
      </c>
      <c r="BE10" s="67" t="inlineStr">
        <is>
          <t>休</t>
        </is>
      </c>
      <c r="BF10" s="67" t="inlineStr">
        <is>
          <t>休</t>
        </is>
      </c>
      <c r="BG10" s="66" t="n"/>
      <c r="BH10" s="67" t="n"/>
      <c r="BI10" s="67" t="n"/>
      <c r="BJ10" s="66" t="inlineStr">
        <is>
          <t>悅</t>
        </is>
      </c>
      <c r="BK10" s="67" t="inlineStr">
        <is>
          <t>悅</t>
        </is>
      </c>
      <c r="BL10" s="67" t="inlineStr">
        <is>
          <t>睿</t>
        </is>
      </c>
      <c r="BM10" s="66" t="n"/>
      <c r="BN10" s="67" t="n"/>
      <c r="BO10" s="67" t="n"/>
      <c r="BP10" s="66" t="n"/>
      <c r="BQ10" s="67" t="n"/>
      <c r="BR10" s="67" t="n"/>
      <c r="BS10" s="66" t="n"/>
      <c r="BT10" s="67" t="n"/>
      <c r="BU10" s="67" t="n"/>
      <c r="BV10" s="66" t="n"/>
      <c r="BW10" s="67" t="n"/>
      <c r="BX10" s="67" t="inlineStr">
        <is>
          <t>休</t>
        </is>
      </c>
      <c r="BY10" s="66" t="inlineStr">
        <is>
          <t>國</t>
        </is>
      </c>
      <c r="BZ10" s="67" t="inlineStr">
        <is>
          <t>國</t>
        </is>
      </c>
      <c r="CA10" s="67" t="inlineStr">
        <is>
          <t>國</t>
        </is>
      </c>
      <c r="CB10" s="66" t="inlineStr">
        <is>
          <t>國</t>
        </is>
      </c>
      <c r="CC10" s="67" t="inlineStr">
        <is>
          <t>國</t>
        </is>
      </c>
      <c r="CD10" s="67" t="inlineStr">
        <is>
          <t>國</t>
        </is>
      </c>
      <c r="CE10" s="66" t="inlineStr">
        <is>
          <t>悅</t>
        </is>
      </c>
      <c r="CF10" s="67" t="inlineStr">
        <is>
          <t>悅</t>
        </is>
      </c>
      <c r="CG10" s="67" t="inlineStr">
        <is>
          <t>睿</t>
        </is>
      </c>
      <c r="CH10" s="66" t="n"/>
      <c r="CI10" s="67" t="n"/>
      <c r="CJ10" s="67" t="n"/>
      <c r="CK10" s="66" t="n"/>
      <c r="CL10" s="67" t="n"/>
      <c r="CM10" s="67" t="n"/>
      <c r="CN10" s="66" t="n"/>
      <c r="CO10" s="67" t="n"/>
      <c r="CP10" s="67" t="n"/>
      <c r="CQ10" s="66" t="n"/>
      <c r="CR10" s="67" t="n"/>
      <c r="CS10" s="67" t="inlineStr">
        <is>
          <t>休</t>
        </is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5" t="inlineStr">
        <is>
          <t>矯正專科</t>
        </is>
      </c>
      <c r="D11" s="16" t="inlineStr"/>
      <c r="E11" s="66" t="n"/>
      <c r="F11" s="67" t="inlineStr">
        <is>
          <t>悅</t>
        </is>
      </c>
      <c r="G11" s="67" t="inlineStr">
        <is>
          <t>悅</t>
        </is>
      </c>
      <c r="H11" s="66" t="n"/>
      <c r="I11" s="67" t="n"/>
      <c r="J11" s="67" t="n"/>
      <c r="K11" s="66" t="inlineStr">
        <is>
          <t>寶</t>
        </is>
      </c>
      <c r="L11" s="67" t="inlineStr">
        <is>
          <t>寶</t>
        </is>
      </c>
      <c r="M11" s="67" t="inlineStr">
        <is>
          <t>休</t>
        </is>
      </c>
      <c r="N11" s="66" t="inlineStr">
        <is>
          <t>休</t>
        </is>
      </c>
      <c r="O11" s="67" t="inlineStr">
        <is>
          <t>休</t>
        </is>
      </c>
      <c r="P11" s="67" t="inlineStr">
        <is>
          <t>休</t>
        </is>
      </c>
      <c r="Q11" s="66" t="n"/>
      <c r="R11" s="67" t="n"/>
      <c r="S11" s="67" t="n"/>
      <c r="T11" s="66" t="n"/>
      <c r="U11" s="67" t="inlineStr">
        <is>
          <t>寶</t>
        </is>
      </c>
      <c r="V11" s="67" t="inlineStr">
        <is>
          <t>寶</t>
        </is>
      </c>
      <c r="W11" s="66" t="n"/>
      <c r="X11" s="67" t="n"/>
      <c r="Y11" s="67" t="n"/>
      <c r="Z11" s="66" t="n"/>
      <c r="AA11" s="67" t="inlineStr">
        <is>
          <t>悅</t>
        </is>
      </c>
      <c r="AB11" s="67" t="inlineStr">
        <is>
          <t>悅</t>
        </is>
      </c>
      <c r="AC11" s="66" t="inlineStr">
        <is>
          <t>國</t>
        </is>
      </c>
      <c r="AD11" s="67" t="inlineStr">
        <is>
          <t>國</t>
        </is>
      </c>
      <c r="AE11" s="67" t="inlineStr">
        <is>
          <t>國</t>
        </is>
      </c>
      <c r="AF11" s="66" t="inlineStr">
        <is>
          <t>國</t>
        </is>
      </c>
      <c r="AG11" s="67" t="inlineStr">
        <is>
          <t>國</t>
        </is>
      </c>
      <c r="AH11" s="67" t="inlineStr">
        <is>
          <t>國</t>
        </is>
      </c>
      <c r="AI11" s="66" t="inlineStr">
        <is>
          <t>休</t>
        </is>
      </c>
      <c r="AJ11" s="67" t="inlineStr">
        <is>
          <t>休</t>
        </is>
      </c>
      <c r="AK11" s="67" t="inlineStr">
        <is>
          <t>休</t>
        </is>
      </c>
      <c r="AL11" s="66" t="n"/>
      <c r="AM11" s="67" t="n"/>
      <c r="AN11" s="67" t="n"/>
      <c r="AO11" s="66" t="n"/>
      <c r="AP11" s="67" t="inlineStr">
        <is>
          <t>寶</t>
        </is>
      </c>
      <c r="AQ11" s="67" t="inlineStr">
        <is>
          <t>寶</t>
        </is>
      </c>
      <c r="AR11" s="66" t="n"/>
      <c r="AS11" s="67" t="n"/>
      <c r="AT11" s="67" t="n"/>
      <c r="AU11" s="66" t="n"/>
      <c r="AV11" s="67" t="inlineStr">
        <is>
          <t>悅</t>
        </is>
      </c>
      <c r="AW11" s="67" t="inlineStr">
        <is>
          <t>悅</t>
        </is>
      </c>
      <c r="AX11" s="66" t="n"/>
      <c r="AY11" s="67" t="n"/>
      <c r="AZ11" s="67" t="n"/>
      <c r="BA11" s="66" t="inlineStr">
        <is>
          <t>寶</t>
        </is>
      </c>
      <c r="BB11" s="67" t="inlineStr">
        <is>
          <t>寶</t>
        </is>
      </c>
      <c r="BC11" s="67" t="inlineStr">
        <is>
          <t>休</t>
        </is>
      </c>
      <c r="BD11" s="66" t="inlineStr">
        <is>
          <t>休</t>
        </is>
      </c>
      <c r="BE11" s="67" t="inlineStr">
        <is>
          <t>休</t>
        </is>
      </c>
      <c r="BF11" s="67" t="inlineStr">
        <is>
          <t>休</t>
        </is>
      </c>
      <c r="BG11" s="66" t="n"/>
      <c r="BH11" s="67" t="n"/>
      <c r="BI11" s="67" t="n"/>
      <c r="BJ11" s="66" t="n"/>
      <c r="BK11" s="67" t="inlineStr">
        <is>
          <t>寶</t>
        </is>
      </c>
      <c r="BL11" s="67" t="inlineStr">
        <is>
          <t>寶</t>
        </is>
      </c>
      <c r="BM11" s="66" t="n"/>
      <c r="BN11" s="67" t="n"/>
      <c r="BO11" s="67" t="n"/>
      <c r="BP11" s="66" t="n"/>
      <c r="BQ11" s="67" t="inlineStr">
        <is>
          <t>悅</t>
        </is>
      </c>
      <c r="BR11" s="67" t="inlineStr">
        <is>
          <t>悅</t>
        </is>
      </c>
      <c r="BS11" s="66" t="n"/>
      <c r="BT11" s="67" t="n"/>
      <c r="BU11" s="67" t="n"/>
      <c r="BV11" s="66" t="inlineStr">
        <is>
          <t>寶</t>
        </is>
      </c>
      <c r="BW11" s="67" t="inlineStr">
        <is>
          <t>寶</t>
        </is>
      </c>
      <c r="BX11" s="67" t="inlineStr">
        <is>
          <t>休</t>
        </is>
      </c>
      <c r="BY11" s="66" t="inlineStr">
        <is>
          <t>國</t>
        </is>
      </c>
      <c r="BZ11" s="67" t="inlineStr">
        <is>
          <t>國</t>
        </is>
      </c>
      <c r="CA11" s="67" t="inlineStr">
        <is>
          <t>國</t>
        </is>
      </c>
      <c r="CB11" s="66" t="inlineStr">
        <is>
          <t>國</t>
        </is>
      </c>
      <c r="CC11" s="67" t="inlineStr">
        <is>
          <t>國</t>
        </is>
      </c>
      <c r="CD11" s="67" t="inlineStr">
        <is>
          <t>國</t>
        </is>
      </c>
      <c r="CE11" s="66" t="n"/>
      <c r="CF11" s="67" t="inlineStr">
        <is>
          <t>寶</t>
        </is>
      </c>
      <c r="CG11" s="67" t="inlineStr">
        <is>
          <t>寶</t>
        </is>
      </c>
      <c r="CH11" s="66" t="n"/>
      <c r="CI11" s="67" t="n"/>
      <c r="CJ11" s="67" t="n"/>
      <c r="CK11" s="66" t="n"/>
      <c r="CL11" s="67" t="inlineStr">
        <is>
          <t>悅</t>
        </is>
      </c>
      <c r="CM11" s="67" t="inlineStr">
        <is>
          <t>悅</t>
        </is>
      </c>
      <c r="CN11" s="66" t="n"/>
      <c r="CO11" s="67" t="n"/>
      <c r="CP11" s="67" t="n"/>
      <c r="CQ11" s="66" t="inlineStr">
        <is>
          <t>寶</t>
        </is>
      </c>
      <c r="CR11" s="67" t="inlineStr">
        <is>
          <t>寶</t>
        </is>
      </c>
      <c r="CS11" s="67" t="inlineStr">
        <is>
          <t>休</t>
        </is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5" t="inlineStr">
        <is>
          <t>根管治療專科</t>
        </is>
      </c>
      <c r="D12" s="16" t="inlineStr"/>
      <c r="E12" s="66" t="n"/>
      <c r="F12" s="67" t="n"/>
      <c r="G12" s="67" t="n"/>
      <c r="H12" s="66" t="n"/>
      <c r="I12" s="67" t="n"/>
      <c r="J12" s="67" t="n"/>
      <c r="K12" s="66" t="inlineStr">
        <is>
          <t>悅</t>
        </is>
      </c>
      <c r="L12" s="67" t="inlineStr">
        <is>
          <t>悅</t>
        </is>
      </c>
      <c r="M12" s="67" t="inlineStr">
        <is>
          <t>休</t>
        </is>
      </c>
      <c r="N12" s="66" t="inlineStr">
        <is>
          <t>休</t>
        </is>
      </c>
      <c r="O12" s="67" t="inlineStr">
        <is>
          <t>休</t>
        </is>
      </c>
      <c r="P12" s="67" t="inlineStr">
        <is>
          <t>休</t>
        </is>
      </c>
      <c r="Q12" s="66" t="n"/>
      <c r="R12" s="67" t="n"/>
      <c r="S12" s="67" t="n"/>
      <c r="T12" s="66" t="n"/>
      <c r="U12" s="67" t="inlineStr">
        <is>
          <t>悅</t>
        </is>
      </c>
      <c r="V12" s="67" t="inlineStr">
        <is>
          <t>悅</t>
        </is>
      </c>
      <c r="W12" s="66" t="n"/>
      <c r="X12" s="67" t="n"/>
      <c r="Y12" s="67" t="n"/>
      <c r="Z12" s="66" t="n"/>
      <c r="AA12" s="67" t="n"/>
      <c r="AB12" s="67" t="n"/>
      <c r="AC12" s="66" t="inlineStr">
        <is>
          <t>國</t>
        </is>
      </c>
      <c r="AD12" s="67" t="inlineStr">
        <is>
          <t>國</t>
        </is>
      </c>
      <c r="AE12" s="67" t="inlineStr">
        <is>
          <t>國</t>
        </is>
      </c>
      <c r="AF12" s="66" t="inlineStr">
        <is>
          <t>國</t>
        </is>
      </c>
      <c r="AG12" s="67" t="inlineStr">
        <is>
          <t>國</t>
        </is>
      </c>
      <c r="AH12" s="67" t="inlineStr">
        <is>
          <t>國</t>
        </is>
      </c>
      <c r="AI12" s="66" t="inlineStr">
        <is>
          <t>休</t>
        </is>
      </c>
      <c r="AJ12" s="67" t="inlineStr">
        <is>
          <t>休</t>
        </is>
      </c>
      <c r="AK12" s="67" t="inlineStr">
        <is>
          <t>休</t>
        </is>
      </c>
      <c r="AL12" s="66" t="n"/>
      <c r="AM12" s="67" t="n"/>
      <c r="AN12" s="67" t="n"/>
      <c r="AO12" s="66" t="n"/>
      <c r="AP12" s="67" t="inlineStr">
        <is>
          <t>悅</t>
        </is>
      </c>
      <c r="AQ12" s="67" t="inlineStr">
        <is>
          <t>悅</t>
        </is>
      </c>
      <c r="AR12" s="66" t="n"/>
      <c r="AS12" s="67" t="n"/>
      <c r="AT12" s="67" t="n"/>
      <c r="AU12" s="66" t="n"/>
      <c r="AV12" s="67" t="n"/>
      <c r="AW12" s="67" t="n"/>
      <c r="AX12" s="66" t="n"/>
      <c r="AY12" s="67" t="n"/>
      <c r="AZ12" s="67" t="n"/>
      <c r="BA12" s="66" t="inlineStr">
        <is>
          <t>悅</t>
        </is>
      </c>
      <c r="BB12" s="67" t="inlineStr">
        <is>
          <t>悅</t>
        </is>
      </c>
      <c r="BC12" s="67" t="inlineStr">
        <is>
          <t>休</t>
        </is>
      </c>
      <c r="BD12" s="66" t="inlineStr">
        <is>
          <t>休</t>
        </is>
      </c>
      <c r="BE12" s="67" t="inlineStr">
        <is>
          <t>休</t>
        </is>
      </c>
      <c r="BF12" s="67" t="inlineStr">
        <is>
          <t>休</t>
        </is>
      </c>
      <c r="BG12" s="66" t="n"/>
      <c r="BH12" s="67" t="n"/>
      <c r="BI12" s="67" t="n"/>
      <c r="BJ12" s="66" t="n"/>
      <c r="BK12" s="67" t="inlineStr">
        <is>
          <t>悅</t>
        </is>
      </c>
      <c r="BL12" s="67" t="inlineStr">
        <is>
          <t>悅</t>
        </is>
      </c>
      <c r="BM12" s="66" t="n"/>
      <c r="BN12" s="67" t="n"/>
      <c r="BO12" s="67" t="n"/>
      <c r="BP12" s="66" t="n"/>
      <c r="BQ12" s="67" t="n"/>
      <c r="BR12" s="67" t="n"/>
      <c r="BS12" s="66" t="n"/>
      <c r="BT12" s="67" t="n"/>
      <c r="BU12" s="67" t="n"/>
      <c r="BV12" s="66" t="inlineStr">
        <is>
          <t>悅</t>
        </is>
      </c>
      <c r="BW12" s="67" t="inlineStr">
        <is>
          <t>悅</t>
        </is>
      </c>
      <c r="BX12" s="67" t="inlineStr">
        <is>
          <t>休</t>
        </is>
      </c>
      <c r="BY12" s="66" t="inlineStr">
        <is>
          <t>國</t>
        </is>
      </c>
      <c r="BZ12" s="67" t="inlineStr">
        <is>
          <t>國</t>
        </is>
      </c>
      <c r="CA12" s="67" t="inlineStr">
        <is>
          <t>國</t>
        </is>
      </c>
      <c r="CB12" s="66" t="inlineStr">
        <is>
          <t>國</t>
        </is>
      </c>
      <c r="CC12" s="67" t="inlineStr">
        <is>
          <t>國</t>
        </is>
      </c>
      <c r="CD12" s="67" t="inlineStr">
        <is>
          <t>國</t>
        </is>
      </c>
      <c r="CE12" s="66" t="n"/>
      <c r="CF12" s="67" t="inlineStr">
        <is>
          <t>悅</t>
        </is>
      </c>
      <c r="CG12" s="67" t="inlineStr">
        <is>
          <t>悅</t>
        </is>
      </c>
      <c r="CH12" s="66" t="n"/>
      <c r="CI12" s="67" t="n"/>
      <c r="CJ12" s="67" t="n"/>
      <c r="CK12" s="66" t="n"/>
      <c r="CL12" s="67" t="n"/>
      <c r="CM12" s="67" t="n"/>
      <c r="CN12" s="66" t="n"/>
      <c r="CO12" s="67" t="n"/>
      <c r="CP12" s="67" t="n"/>
      <c r="CQ12" s="66" t="inlineStr">
        <is>
          <t>悅</t>
        </is>
      </c>
      <c r="CR12" s="67" t="inlineStr">
        <is>
          <t>悅</t>
        </is>
      </c>
      <c r="CS12" s="67" t="inlineStr">
        <is>
          <t>休</t>
        </is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5" t="inlineStr"/>
      <c r="D13" s="16" t="inlineStr"/>
      <c r="E13" s="66" t="n"/>
      <c r="F13" s="67" t="n"/>
      <c r="G13" s="67" t="n"/>
      <c r="H13" s="66" t="n"/>
      <c r="I13" s="67" t="n"/>
      <c r="J13" s="67" t="n"/>
      <c r="K13" s="66" t="inlineStr">
        <is>
          <t>悅</t>
        </is>
      </c>
      <c r="L13" s="67" t="inlineStr">
        <is>
          <t>悅</t>
        </is>
      </c>
      <c r="M13" s="67" t="inlineStr">
        <is>
          <t>休</t>
        </is>
      </c>
      <c r="N13" s="66" t="inlineStr">
        <is>
          <t>休</t>
        </is>
      </c>
      <c r="O13" s="67" t="inlineStr">
        <is>
          <t>休</t>
        </is>
      </c>
      <c r="P13" s="67" t="inlineStr">
        <is>
          <t>休</t>
        </is>
      </c>
      <c r="Q13" s="66" t="n"/>
      <c r="R13" s="67" t="n"/>
      <c r="S13" s="67" t="n"/>
      <c r="T13" s="66" t="inlineStr">
        <is>
          <t>悅</t>
        </is>
      </c>
      <c r="U13" s="67" t="inlineStr">
        <is>
          <t>悅</t>
        </is>
      </c>
      <c r="V13" s="67" t="inlineStr">
        <is>
          <t>悅</t>
        </is>
      </c>
      <c r="W13" s="66" t="n"/>
      <c r="X13" s="67" t="n"/>
      <c r="Y13" s="67" t="n"/>
      <c r="Z13" s="66" t="n"/>
      <c r="AA13" s="67" t="n"/>
      <c r="AB13" s="67" t="n"/>
      <c r="AC13" s="66" t="inlineStr">
        <is>
          <t>國</t>
        </is>
      </c>
      <c r="AD13" s="67" t="inlineStr">
        <is>
          <t>國</t>
        </is>
      </c>
      <c r="AE13" s="67" t="inlineStr">
        <is>
          <t>國</t>
        </is>
      </c>
      <c r="AF13" s="66" t="inlineStr">
        <is>
          <t>國</t>
        </is>
      </c>
      <c r="AG13" s="67" t="inlineStr">
        <is>
          <t>國</t>
        </is>
      </c>
      <c r="AH13" s="67" t="inlineStr">
        <is>
          <t>國</t>
        </is>
      </c>
      <c r="AI13" s="66" t="inlineStr">
        <is>
          <t>休</t>
        </is>
      </c>
      <c r="AJ13" s="67" t="inlineStr">
        <is>
          <t>休</t>
        </is>
      </c>
      <c r="AK13" s="67" t="inlineStr">
        <is>
          <t>休</t>
        </is>
      </c>
      <c r="AL13" s="66" t="n"/>
      <c r="AM13" s="67" t="n"/>
      <c r="AN13" s="67" t="n"/>
      <c r="AO13" s="66" t="inlineStr">
        <is>
          <t>悅</t>
        </is>
      </c>
      <c r="AP13" s="67" t="inlineStr">
        <is>
          <t>悅</t>
        </is>
      </c>
      <c r="AQ13" s="67" t="inlineStr">
        <is>
          <t>悅</t>
        </is>
      </c>
      <c r="AR13" s="66" t="n"/>
      <c r="AS13" s="67" t="n"/>
      <c r="AT13" s="67" t="n"/>
      <c r="AU13" s="66" t="n"/>
      <c r="AV13" s="67" t="n"/>
      <c r="AW13" s="67" t="n"/>
      <c r="AX13" s="66" t="n"/>
      <c r="AY13" s="67" t="n"/>
      <c r="AZ13" s="67" t="n"/>
      <c r="BA13" s="66" t="inlineStr">
        <is>
          <t>悅</t>
        </is>
      </c>
      <c r="BB13" s="67" t="inlineStr">
        <is>
          <t>悅</t>
        </is>
      </c>
      <c r="BC13" s="67" t="inlineStr">
        <is>
          <t>休</t>
        </is>
      </c>
      <c r="BD13" s="66" t="inlineStr">
        <is>
          <t>休</t>
        </is>
      </c>
      <c r="BE13" s="67" t="inlineStr">
        <is>
          <t>休</t>
        </is>
      </c>
      <c r="BF13" s="67" t="inlineStr">
        <is>
          <t>休</t>
        </is>
      </c>
      <c r="BG13" s="66" t="n"/>
      <c r="BH13" s="67" t="n"/>
      <c r="BI13" s="67" t="n"/>
      <c r="BJ13" s="66" t="inlineStr">
        <is>
          <t>悅</t>
        </is>
      </c>
      <c r="BK13" s="67" t="inlineStr">
        <is>
          <t>悅</t>
        </is>
      </c>
      <c r="BL13" s="67" t="inlineStr">
        <is>
          <t>悅</t>
        </is>
      </c>
      <c r="BM13" s="66" t="n"/>
      <c r="BN13" s="67" t="n"/>
      <c r="BO13" s="67" t="n"/>
      <c r="BP13" s="66" t="n"/>
      <c r="BQ13" s="67" t="n"/>
      <c r="BR13" s="67" t="n"/>
      <c r="BS13" s="66" t="n"/>
      <c r="BT13" s="67" t="n"/>
      <c r="BU13" s="67" t="n"/>
      <c r="BV13" s="66" t="inlineStr">
        <is>
          <t>悅</t>
        </is>
      </c>
      <c r="BW13" s="67" t="inlineStr">
        <is>
          <t>悅</t>
        </is>
      </c>
      <c r="BX13" s="67" t="inlineStr">
        <is>
          <t>休</t>
        </is>
      </c>
      <c r="BY13" s="66" t="inlineStr">
        <is>
          <t>國</t>
        </is>
      </c>
      <c r="BZ13" s="67" t="inlineStr">
        <is>
          <t>國</t>
        </is>
      </c>
      <c r="CA13" s="67" t="inlineStr">
        <is>
          <t>國</t>
        </is>
      </c>
      <c r="CB13" s="66" t="inlineStr">
        <is>
          <t>國</t>
        </is>
      </c>
      <c r="CC13" s="67" t="inlineStr">
        <is>
          <t>國</t>
        </is>
      </c>
      <c r="CD13" s="67" t="inlineStr">
        <is>
          <t>國</t>
        </is>
      </c>
      <c r="CE13" s="66" t="inlineStr">
        <is>
          <t>悅</t>
        </is>
      </c>
      <c r="CF13" s="67" t="inlineStr">
        <is>
          <t>悅</t>
        </is>
      </c>
      <c r="CG13" s="67" t="inlineStr">
        <is>
          <t>悅</t>
        </is>
      </c>
      <c r="CH13" s="66" t="n"/>
      <c r="CI13" s="67" t="n"/>
      <c r="CJ13" s="67" t="n"/>
      <c r="CK13" s="66" t="n"/>
      <c r="CL13" s="67" t="n"/>
      <c r="CM13" s="67" t="n"/>
      <c r="CN13" s="66" t="n"/>
      <c r="CO13" s="67" t="n"/>
      <c r="CP13" s="67" t="n"/>
      <c r="CQ13" s="66" t="inlineStr">
        <is>
          <t>悅</t>
        </is>
      </c>
      <c r="CR13" s="67" t="inlineStr">
        <is>
          <t>悅</t>
        </is>
      </c>
      <c r="CS13" s="67" t="inlineStr">
        <is>
          <t>休</t>
        </is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5" t="inlineStr">
        <is>
          <t>美學植牙專科</t>
        </is>
      </c>
      <c r="D14" s="16" t="inlineStr">
        <is>
          <t>晶匯院長</t>
        </is>
      </c>
      <c r="E14" s="66" t="n"/>
      <c r="F14" s="67" t="inlineStr">
        <is>
          <t>寶</t>
        </is>
      </c>
      <c r="G14" s="67" t="inlineStr">
        <is>
          <t>寶</t>
        </is>
      </c>
      <c r="H14" s="66" t="inlineStr">
        <is>
          <t>匯</t>
        </is>
      </c>
      <c r="I14" s="67" t="inlineStr">
        <is>
          <t>匯</t>
        </is>
      </c>
      <c r="J14" s="67" t="inlineStr">
        <is>
          <t>匯</t>
        </is>
      </c>
      <c r="K14" s="66" t="inlineStr">
        <is>
          <t>悅</t>
        </is>
      </c>
      <c r="L14" s="67" t="inlineStr">
        <is>
          <t>悅</t>
        </is>
      </c>
      <c r="M14" s="67" t="inlineStr">
        <is>
          <t>休</t>
        </is>
      </c>
      <c r="N14" s="66" t="inlineStr">
        <is>
          <t>休</t>
        </is>
      </c>
      <c r="O14" s="67" t="inlineStr">
        <is>
          <t>休</t>
        </is>
      </c>
      <c r="P14" s="67" t="inlineStr">
        <is>
          <t>休</t>
        </is>
      </c>
      <c r="Q14" s="66" t="n"/>
      <c r="R14" s="67" t="n"/>
      <c r="S14" s="67" t="n"/>
      <c r="T14" s="66" t="n"/>
      <c r="U14" s="67" t="n"/>
      <c r="V14" s="67" t="n"/>
      <c r="W14" s="66" t="inlineStr">
        <is>
          <t>悅</t>
        </is>
      </c>
      <c r="X14" s="67" t="inlineStr">
        <is>
          <t>悅</t>
        </is>
      </c>
      <c r="Y14" s="67" t="inlineStr">
        <is>
          <t>悅</t>
        </is>
      </c>
      <c r="Z14" s="66" t="n"/>
      <c r="AA14" s="67" t="inlineStr">
        <is>
          <t>寶</t>
        </is>
      </c>
      <c r="AB14" s="67" t="inlineStr">
        <is>
          <t>寶</t>
        </is>
      </c>
      <c r="AC14" s="66" t="inlineStr">
        <is>
          <t>國</t>
        </is>
      </c>
      <c r="AD14" s="67" t="inlineStr">
        <is>
          <t>國</t>
        </is>
      </c>
      <c r="AE14" s="67" t="inlineStr">
        <is>
          <t>國</t>
        </is>
      </c>
      <c r="AF14" s="66" t="inlineStr">
        <is>
          <t>國</t>
        </is>
      </c>
      <c r="AG14" s="67" t="inlineStr">
        <is>
          <t>國</t>
        </is>
      </c>
      <c r="AH14" s="67" t="inlineStr">
        <is>
          <t>國</t>
        </is>
      </c>
      <c r="AI14" s="66" t="inlineStr">
        <is>
          <t>休</t>
        </is>
      </c>
      <c r="AJ14" s="67" t="inlineStr">
        <is>
          <t>休</t>
        </is>
      </c>
      <c r="AK14" s="67" t="inlineStr">
        <is>
          <t>休</t>
        </is>
      </c>
      <c r="AL14" s="66" t="n"/>
      <c r="AM14" s="67" t="n"/>
      <c r="AN14" s="67" t="n"/>
      <c r="AO14" s="66" t="n"/>
      <c r="AP14" s="67" t="n"/>
      <c r="AQ14" s="67" t="n"/>
      <c r="AR14" s="66" t="inlineStr">
        <is>
          <t>悅</t>
        </is>
      </c>
      <c r="AS14" s="67" t="inlineStr">
        <is>
          <t>悅</t>
        </is>
      </c>
      <c r="AT14" s="67" t="inlineStr">
        <is>
          <t>悅</t>
        </is>
      </c>
      <c r="AU14" s="66" t="n"/>
      <c r="AV14" s="67" t="inlineStr">
        <is>
          <t>寶</t>
        </is>
      </c>
      <c r="AW14" s="67" t="inlineStr">
        <is>
          <t>寶</t>
        </is>
      </c>
      <c r="AX14" s="66" t="inlineStr">
        <is>
          <t>匯</t>
        </is>
      </c>
      <c r="AY14" s="67" t="inlineStr">
        <is>
          <t>匯</t>
        </is>
      </c>
      <c r="AZ14" s="67" t="inlineStr">
        <is>
          <t>匯</t>
        </is>
      </c>
      <c r="BA14" s="66" t="inlineStr">
        <is>
          <t>悅</t>
        </is>
      </c>
      <c r="BB14" s="67" t="inlineStr">
        <is>
          <t>悅</t>
        </is>
      </c>
      <c r="BC14" s="67" t="inlineStr">
        <is>
          <t>休</t>
        </is>
      </c>
      <c r="BD14" s="66" t="inlineStr">
        <is>
          <t>休</t>
        </is>
      </c>
      <c r="BE14" s="67" t="inlineStr">
        <is>
          <t>休</t>
        </is>
      </c>
      <c r="BF14" s="67" t="inlineStr">
        <is>
          <t>休</t>
        </is>
      </c>
      <c r="BG14" s="66" t="n"/>
      <c r="BH14" s="67" t="n"/>
      <c r="BI14" s="67" t="n"/>
      <c r="BJ14" s="66" t="n"/>
      <c r="BK14" s="67" t="n"/>
      <c r="BL14" s="67" t="n"/>
      <c r="BM14" s="66" t="inlineStr">
        <is>
          <t>悅</t>
        </is>
      </c>
      <c r="BN14" s="67" t="inlineStr">
        <is>
          <t>悅</t>
        </is>
      </c>
      <c r="BO14" s="67" t="inlineStr">
        <is>
          <t>悅</t>
        </is>
      </c>
      <c r="BP14" s="66" t="n"/>
      <c r="BQ14" s="67" t="inlineStr">
        <is>
          <t>寶</t>
        </is>
      </c>
      <c r="BR14" s="67" t="inlineStr">
        <is>
          <t>寶</t>
        </is>
      </c>
      <c r="BS14" s="66" t="inlineStr">
        <is>
          <t>匯</t>
        </is>
      </c>
      <c r="BT14" s="67" t="inlineStr">
        <is>
          <t>匯</t>
        </is>
      </c>
      <c r="BU14" s="67" t="inlineStr">
        <is>
          <t>匯</t>
        </is>
      </c>
      <c r="BV14" s="66" t="inlineStr">
        <is>
          <t>匯</t>
        </is>
      </c>
      <c r="BW14" s="67" t="inlineStr">
        <is>
          <t>匯</t>
        </is>
      </c>
      <c r="BX14" s="67" t="inlineStr">
        <is>
          <t>休</t>
        </is>
      </c>
      <c r="BY14" s="66" t="inlineStr">
        <is>
          <t>國</t>
        </is>
      </c>
      <c r="BZ14" s="67" t="inlineStr">
        <is>
          <t>國</t>
        </is>
      </c>
      <c r="CA14" s="67" t="inlineStr">
        <is>
          <t>國</t>
        </is>
      </c>
      <c r="CB14" s="66" t="inlineStr">
        <is>
          <t>國</t>
        </is>
      </c>
      <c r="CC14" s="67" t="inlineStr">
        <is>
          <t>國</t>
        </is>
      </c>
      <c r="CD14" s="67" t="inlineStr">
        <is>
          <t>國</t>
        </is>
      </c>
      <c r="CE14" s="66" t="n"/>
      <c r="CF14" s="67" t="n"/>
      <c r="CG14" s="67" t="n"/>
      <c r="CH14" s="66" t="inlineStr">
        <is>
          <t>悅</t>
        </is>
      </c>
      <c r="CI14" s="67" t="inlineStr">
        <is>
          <t>悅</t>
        </is>
      </c>
      <c r="CJ14" s="67" t="inlineStr">
        <is>
          <t>悅</t>
        </is>
      </c>
      <c r="CK14" s="66" t="n"/>
      <c r="CL14" s="67" t="inlineStr">
        <is>
          <t>寶</t>
        </is>
      </c>
      <c r="CM14" s="67" t="inlineStr">
        <is>
          <t>寶</t>
        </is>
      </c>
      <c r="CN14" s="66" t="inlineStr">
        <is>
          <t>匯</t>
        </is>
      </c>
      <c r="CO14" s="67" t="inlineStr">
        <is>
          <t>匯</t>
        </is>
      </c>
      <c r="CP14" s="67" t="inlineStr">
        <is>
          <t>匯</t>
        </is>
      </c>
      <c r="CQ14" s="66" t="inlineStr">
        <is>
          <t>悅</t>
        </is>
      </c>
      <c r="CR14" s="67" t="inlineStr">
        <is>
          <t>悅</t>
        </is>
      </c>
      <c r="CS14" s="67" t="inlineStr">
        <is>
          <t>休</t>
        </is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5" t="inlineStr"/>
      <c r="D15" s="16" t="inlineStr"/>
      <c r="E15" s="66" t="n"/>
      <c r="F15" s="67" t="n"/>
      <c r="G15" s="67" t="n"/>
      <c r="H15" s="66" t="inlineStr">
        <is>
          <t>悅</t>
        </is>
      </c>
      <c r="I15" s="67" t="inlineStr">
        <is>
          <t>悅</t>
        </is>
      </c>
      <c r="J15" s="67" t="inlineStr">
        <is>
          <t>悅</t>
        </is>
      </c>
      <c r="K15" s="66" t="n"/>
      <c r="L15" s="67" t="n"/>
      <c r="M15" s="67" t="inlineStr">
        <is>
          <t>休</t>
        </is>
      </c>
      <c r="N15" s="66" t="inlineStr">
        <is>
          <t>休</t>
        </is>
      </c>
      <c r="O15" s="67" t="inlineStr">
        <is>
          <t>休</t>
        </is>
      </c>
      <c r="P15" s="67" t="inlineStr">
        <is>
          <t>休</t>
        </is>
      </c>
      <c r="Q15" s="66" t="inlineStr">
        <is>
          <t>悅</t>
        </is>
      </c>
      <c r="R15" s="67" t="inlineStr">
        <is>
          <t>悅</t>
        </is>
      </c>
      <c r="S15" s="67" t="inlineStr">
        <is>
          <t>悅</t>
        </is>
      </c>
      <c r="T15" s="66" t="n"/>
      <c r="U15" s="67" t="inlineStr">
        <is>
          <t>悅</t>
        </is>
      </c>
      <c r="V15" s="67" t="inlineStr">
        <is>
          <t>悅</t>
        </is>
      </c>
      <c r="W15" s="66" t="inlineStr">
        <is>
          <t>悅</t>
        </is>
      </c>
      <c r="X15" s="67" t="inlineStr">
        <is>
          <t>悅</t>
        </is>
      </c>
      <c r="Y15" s="67" t="n"/>
      <c r="Z15" s="66" t="n"/>
      <c r="AA15" s="67" t="n"/>
      <c r="AB15" s="67" t="n"/>
      <c r="AC15" s="66" t="inlineStr">
        <is>
          <t>國</t>
        </is>
      </c>
      <c r="AD15" s="67" t="inlineStr">
        <is>
          <t>國</t>
        </is>
      </c>
      <c r="AE15" s="67" t="inlineStr">
        <is>
          <t>國</t>
        </is>
      </c>
      <c r="AF15" s="66" t="inlineStr">
        <is>
          <t>國</t>
        </is>
      </c>
      <c r="AG15" s="67" t="inlineStr">
        <is>
          <t>國</t>
        </is>
      </c>
      <c r="AH15" s="67" t="inlineStr">
        <is>
          <t>國</t>
        </is>
      </c>
      <c r="AI15" s="66" t="inlineStr">
        <is>
          <t>休</t>
        </is>
      </c>
      <c r="AJ15" s="67" t="inlineStr">
        <is>
          <t>休</t>
        </is>
      </c>
      <c r="AK15" s="67" t="inlineStr">
        <is>
          <t>休</t>
        </is>
      </c>
      <c r="AL15" s="66" t="inlineStr">
        <is>
          <t>悅</t>
        </is>
      </c>
      <c r="AM15" s="67" t="inlineStr">
        <is>
          <t>悅</t>
        </is>
      </c>
      <c r="AN15" s="67" t="inlineStr">
        <is>
          <t>悅</t>
        </is>
      </c>
      <c r="AO15" s="66" t="n"/>
      <c r="AP15" s="67" t="inlineStr">
        <is>
          <t>悅</t>
        </is>
      </c>
      <c r="AQ15" s="67" t="inlineStr">
        <is>
          <t>悅</t>
        </is>
      </c>
      <c r="AR15" s="66" t="inlineStr">
        <is>
          <t>悅</t>
        </is>
      </c>
      <c r="AS15" s="67" t="inlineStr">
        <is>
          <t>悅</t>
        </is>
      </c>
      <c r="AT15" s="67" t="n"/>
      <c r="AU15" s="66" t="n"/>
      <c r="AV15" s="67" t="n"/>
      <c r="AW15" s="67" t="n"/>
      <c r="AX15" s="66" t="inlineStr">
        <is>
          <t>悅</t>
        </is>
      </c>
      <c r="AY15" s="67" t="inlineStr">
        <is>
          <t>悅</t>
        </is>
      </c>
      <c r="AZ15" s="67" t="inlineStr">
        <is>
          <t>悅</t>
        </is>
      </c>
      <c r="BA15" s="66" t="n"/>
      <c r="BB15" s="67" t="n"/>
      <c r="BC15" s="67" t="inlineStr">
        <is>
          <t>休</t>
        </is>
      </c>
      <c r="BD15" s="66" t="inlineStr">
        <is>
          <t>休</t>
        </is>
      </c>
      <c r="BE15" s="67" t="inlineStr">
        <is>
          <t>休</t>
        </is>
      </c>
      <c r="BF15" s="67" t="inlineStr">
        <is>
          <t>休</t>
        </is>
      </c>
      <c r="BG15" s="66" t="inlineStr">
        <is>
          <t>悅</t>
        </is>
      </c>
      <c r="BH15" s="67" t="inlineStr">
        <is>
          <t>悅</t>
        </is>
      </c>
      <c r="BI15" s="67" t="inlineStr">
        <is>
          <t>悅</t>
        </is>
      </c>
      <c r="BJ15" s="66" t="n"/>
      <c r="BK15" s="67" t="inlineStr">
        <is>
          <t>悅</t>
        </is>
      </c>
      <c r="BL15" s="67" t="inlineStr">
        <is>
          <t>悅</t>
        </is>
      </c>
      <c r="BM15" s="66" t="inlineStr">
        <is>
          <t>悅</t>
        </is>
      </c>
      <c r="BN15" s="67" t="inlineStr">
        <is>
          <t>悅</t>
        </is>
      </c>
      <c r="BO15" s="67" t="n"/>
      <c r="BP15" s="66" t="n"/>
      <c r="BQ15" s="67" t="n"/>
      <c r="BR15" s="67" t="n"/>
      <c r="BS15" s="66" t="inlineStr">
        <is>
          <t>悅</t>
        </is>
      </c>
      <c r="BT15" s="67" t="inlineStr">
        <is>
          <t>悅</t>
        </is>
      </c>
      <c r="BU15" s="67" t="inlineStr">
        <is>
          <t>悅</t>
        </is>
      </c>
      <c r="BV15" s="66" t="n"/>
      <c r="BW15" s="67" t="n"/>
      <c r="BX15" s="67" t="inlineStr">
        <is>
          <t>休</t>
        </is>
      </c>
      <c r="BY15" s="66" t="inlineStr">
        <is>
          <t>國</t>
        </is>
      </c>
      <c r="BZ15" s="67" t="inlineStr">
        <is>
          <t>國</t>
        </is>
      </c>
      <c r="CA15" s="67" t="inlineStr">
        <is>
          <t>國</t>
        </is>
      </c>
      <c r="CB15" s="66" t="inlineStr">
        <is>
          <t>國</t>
        </is>
      </c>
      <c r="CC15" s="67" t="inlineStr">
        <is>
          <t>國</t>
        </is>
      </c>
      <c r="CD15" s="67" t="inlineStr">
        <is>
          <t>國</t>
        </is>
      </c>
      <c r="CE15" s="66" t="n"/>
      <c r="CF15" s="67" t="inlineStr">
        <is>
          <t>悅</t>
        </is>
      </c>
      <c r="CG15" s="67" t="inlineStr">
        <is>
          <t>悅</t>
        </is>
      </c>
      <c r="CH15" s="66" t="inlineStr">
        <is>
          <t>悅</t>
        </is>
      </c>
      <c r="CI15" s="67" t="inlineStr">
        <is>
          <t>悅</t>
        </is>
      </c>
      <c r="CJ15" s="67" t="n"/>
      <c r="CK15" s="66" t="n"/>
      <c r="CL15" s="67" t="n"/>
      <c r="CM15" s="67" t="n"/>
      <c r="CN15" s="66" t="inlineStr">
        <is>
          <t>悅</t>
        </is>
      </c>
      <c r="CO15" s="67" t="inlineStr">
        <is>
          <t>悅</t>
        </is>
      </c>
      <c r="CP15" s="67" t="inlineStr">
        <is>
          <t>悅</t>
        </is>
      </c>
      <c r="CQ15" s="66" t="n"/>
      <c r="CR15" s="67" t="n"/>
      <c r="CS15" s="67" t="inlineStr">
        <is>
          <t>休</t>
        </is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5" t="inlineStr"/>
      <c r="D16" s="16" t="inlineStr">
        <is>
          <t>晶睿院長</t>
        </is>
      </c>
      <c r="E16" s="66" t="inlineStr">
        <is>
          <t>睿</t>
        </is>
      </c>
      <c r="F16" s="67" t="inlineStr">
        <is>
          <t>睿</t>
        </is>
      </c>
      <c r="G16" s="67" t="inlineStr">
        <is>
          <t>睿</t>
        </is>
      </c>
      <c r="H16" s="66" t="n"/>
      <c r="I16" s="67" t="n"/>
      <c r="J16" s="67" t="n"/>
      <c r="K16" s="66" t="inlineStr">
        <is>
          <t>睿</t>
        </is>
      </c>
      <c r="L16" s="67" t="inlineStr">
        <is>
          <t>睿</t>
        </is>
      </c>
      <c r="M16" s="67" t="inlineStr">
        <is>
          <t>休</t>
        </is>
      </c>
      <c r="N16" s="66" t="inlineStr">
        <is>
          <t>休</t>
        </is>
      </c>
      <c r="O16" s="67" t="inlineStr">
        <is>
          <t>休</t>
        </is>
      </c>
      <c r="P16" s="67" t="inlineStr">
        <is>
          <t>休</t>
        </is>
      </c>
      <c r="Q16" s="66" t="n"/>
      <c r="R16" s="67" t="inlineStr">
        <is>
          <t>匯</t>
        </is>
      </c>
      <c r="S16" s="67" t="inlineStr">
        <is>
          <t>匯</t>
        </is>
      </c>
      <c r="T16" s="66" t="inlineStr">
        <is>
          <t>睿</t>
        </is>
      </c>
      <c r="U16" s="67" t="inlineStr">
        <is>
          <t>睿</t>
        </is>
      </c>
      <c r="V16" s="67" t="inlineStr">
        <is>
          <t>睿</t>
        </is>
      </c>
      <c r="W16" s="66" t="n"/>
      <c r="X16" s="67" t="inlineStr">
        <is>
          <t>匯</t>
        </is>
      </c>
      <c r="Y16" s="67" t="inlineStr">
        <is>
          <t>匯</t>
        </is>
      </c>
      <c r="Z16" s="66" t="inlineStr">
        <is>
          <t>睿</t>
        </is>
      </c>
      <c r="AA16" s="67" t="inlineStr">
        <is>
          <t>睿</t>
        </is>
      </c>
      <c r="AB16" s="67" t="inlineStr">
        <is>
          <t>睿</t>
        </is>
      </c>
      <c r="AC16" s="66" t="inlineStr">
        <is>
          <t>國</t>
        </is>
      </c>
      <c r="AD16" s="67" t="inlineStr">
        <is>
          <t>國</t>
        </is>
      </c>
      <c r="AE16" s="67" t="inlineStr">
        <is>
          <t>國</t>
        </is>
      </c>
      <c r="AF16" s="66" t="inlineStr">
        <is>
          <t>國</t>
        </is>
      </c>
      <c r="AG16" s="67" t="inlineStr">
        <is>
          <t>國</t>
        </is>
      </c>
      <c r="AH16" s="67" t="inlineStr">
        <is>
          <t>國</t>
        </is>
      </c>
      <c r="AI16" s="66" t="inlineStr">
        <is>
          <t>休</t>
        </is>
      </c>
      <c r="AJ16" s="67" t="inlineStr">
        <is>
          <t>休</t>
        </is>
      </c>
      <c r="AK16" s="67" t="inlineStr">
        <is>
          <t>休</t>
        </is>
      </c>
      <c r="AL16" s="66" t="n"/>
      <c r="AM16" s="67" t="inlineStr">
        <is>
          <t>匯</t>
        </is>
      </c>
      <c r="AN16" s="67" t="inlineStr">
        <is>
          <t>匯</t>
        </is>
      </c>
      <c r="AO16" s="66" t="inlineStr">
        <is>
          <t>睿</t>
        </is>
      </c>
      <c r="AP16" s="67" t="inlineStr">
        <is>
          <t>睿</t>
        </is>
      </c>
      <c r="AQ16" s="67" t="inlineStr">
        <is>
          <t>睿</t>
        </is>
      </c>
      <c r="AR16" s="66" t="n"/>
      <c r="AS16" s="67" t="inlineStr">
        <is>
          <t>匯</t>
        </is>
      </c>
      <c r="AT16" s="67" t="inlineStr">
        <is>
          <t>匯</t>
        </is>
      </c>
      <c r="AU16" s="66" t="inlineStr">
        <is>
          <t>睿</t>
        </is>
      </c>
      <c r="AV16" s="67" t="inlineStr">
        <is>
          <t>睿</t>
        </is>
      </c>
      <c r="AW16" s="67" t="inlineStr">
        <is>
          <t>睿</t>
        </is>
      </c>
      <c r="AX16" s="66" t="n"/>
      <c r="AY16" s="67" t="n"/>
      <c r="AZ16" s="67" t="n"/>
      <c r="BA16" s="66" t="inlineStr">
        <is>
          <t>睿</t>
        </is>
      </c>
      <c r="BB16" s="67" t="inlineStr">
        <is>
          <t>睿</t>
        </is>
      </c>
      <c r="BC16" s="67" t="inlineStr">
        <is>
          <t>休</t>
        </is>
      </c>
      <c r="BD16" s="66" t="inlineStr">
        <is>
          <t>休</t>
        </is>
      </c>
      <c r="BE16" s="67" t="inlineStr">
        <is>
          <t>休</t>
        </is>
      </c>
      <c r="BF16" s="67" t="inlineStr">
        <is>
          <t>休</t>
        </is>
      </c>
      <c r="BG16" s="66" t="n"/>
      <c r="BH16" s="67" t="inlineStr">
        <is>
          <t>匯</t>
        </is>
      </c>
      <c r="BI16" s="67" t="inlineStr">
        <is>
          <t>匯</t>
        </is>
      </c>
      <c r="BJ16" s="66" t="inlineStr">
        <is>
          <t>睿</t>
        </is>
      </c>
      <c r="BK16" s="67" t="inlineStr">
        <is>
          <t>睿</t>
        </is>
      </c>
      <c r="BL16" s="67" t="inlineStr">
        <is>
          <t>睿</t>
        </is>
      </c>
      <c r="BM16" s="66" t="n"/>
      <c r="BN16" s="67" t="inlineStr">
        <is>
          <t>匯</t>
        </is>
      </c>
      <c r="BO16" s="67" t="inlineStr">
        <is>
          <t>匯</t>
        </is>
      </c>
      <c r="BP16" s="66" t="inlineStr">
        <is>
          <t>睿</t>
        </is>
      </c>
      <c r="BQ16" s="67" t="inlineStr">
        <is>
          <t>睿</t>
        </is>
      </c>
      <c r="BR16" s="67" t="inlineStr">
        <is>
          <t>睿</t>
        </is>
      </c>
      <c r="BS16" s="66" t="n"/>
      <c r="BT16" s="67" t="n"/>
      <c r="BU16" s="67" t="n"/>
      <c r="BV16" s="66" t="n"/>
      <c r="BW16" s="67" t="n"/>
      <c r="BX16" s="67" t="inlineStr">
        <is>
          <t>休</t>
        </is>
      </c>
      <c r="BY16" s="66" t="inlineStr">
        <is>
          <t>國</t>
        </is>
      </c>
      <c r="BZ16" s="67" t="inlineStr">
        <is>
          <t>國</t>
        </is>
      </c>
      <c r="CA16" s="67" t="inlineStr">
        <is>
          <t>國</t>
        </is>
      </c>
      <c r="CB16" s="66" t="inlineStr">
        <is>
          <t>國</t>
        </is>
      </c>
      <c r="CC16" s="67" t="inlineStr">
        <is>
          <t>國</t>
        </is>
      </c>
      <c r="CD16" s="67" t="inlineStr">
        <is>
          <t>國</t>
        </is>
      </c>
      <c r="CE16" s="66" t="inlineStr">
        <is>
          <t>睿</t>
        </is>
      </c>
      <c r="CF16" s="67" t="inlineStr">
        <is>
          <t>睿</t>
        </is>
      </c>
      <c r="CG16" s="67" t="inlineStr">
        <is>
          <t>睿</t>
        </is>
      </c>
      <c r="CH16" s="66" t="n"/>
      <c r="CI16" s="67" t="inlineStr">
        <is>
          <t>匯</t>
        </is>
      </c>
      <c r="CJ16" s="67" t="inlineStr">
        <is>
          <t>匯</t>
        </is>
      </c>
      <c r="CK16" s="66" t="inlineStr">
        <is>
          <t>睿</t>
        </is>
      </c>
      <c r="CL16" s="67" t="inlineStr">
        <is>
          <t>睿</t>
        </is>
      </c>
      <c r="CM16" s="67" t="inlineStr">
        <is>
          <t>睿</t>
        </is>
      </c>
      <c r="CN16" s="66" t="n"/>
      <c r="CO16" s="67" t="n"/>
      <c r="CP16" s="67" t="n"/>
      <c r="CQ16" s="66" t="inlineStr">
        <is>
          <t>睿</t>
        </is>
      </c>
      <c r="CR16" s="67" t="inlineStr">
        <is>
          <t>睿</t>
        </is>
      </c>
      <c r="CS16" s="67" t="inlineStr">
        <is>
          <t>休</t>
        </is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5" t="inlineStr"/>
      <c r="D17" s="16" t="inlineStr"/>
      <c r="E17" s="66" t="inlineStr">
        <is>
          <t>匯</t>
        </is>
      </c>
      <c r="F17" s="67" t="inlineStr">
        <is>
          <t>匯</t>
        </is>
      </c>
      <c r="G17" s="67" t="inlineStr">
        <is>
          <t>匯</t>
        </is>
      </c>
      <c r="H17" s="66" t="inlineStr">
        <is>
          <t>曜</t>
        </is>
      </c>
      <c r="I17" s="67" t="inlineStr">
        <is>
          <t>曜</t>
        </is>
      </c>
      <c r="J17" s="67" t="inlineStr">
        <is>
          <t>曜</t>
        </is>
      </c>
      <c r="K17" s="66" t="inlineStr">
        <is>
          <t>曜</t>
        </is>
      </c>
      <c r="L17" s="67" t="inlineStr">
        <is>
          <t>曜</t>
        </is>
      </c>
      <c r="M17" s="67" t="inlineStr">
        <is>
          <t>休</t>
        </is>
      </c>
      <c r="N17" s="66" t="inlineStr">
        <is>
          <t>休</t>
        </is>
      </c>
      <c r="O17" s="67" t="inlineStr">
        <is>
          <t>休</t>
        </is>
      </c>
      <c r="P17" s="67" t="inlineStr">
        <is>
          <t>休</t>
        </is>
      </c>
      <c r="Q17" s="66" t="n"/>
      <c r="R17" s="67" t="inlineStr">
        <is>
          <t>睿</t>
        </is>
      </c>
      <c r="S17" s="67" t="inlineStr">
        <is>
          <t>睿</t>
        </is>
      </c>
      <c r="T17" s="66" t="inlineStr">
        <is>
          <t>匯</t>
        </is>
      </c>
      <c r="U17" s="67" t="inlineStr">
        <is>
          <t>曜</t>
        </is>
      </c>
      <c r="V17" s="67" t="inlineStr">
        <is>
          <t>曜</t>
        </is>
      </c>
      <c r="W17" s="66" t="n"/>
      <c r="X17" s="67" t="inlineStr">
        <is>
          <t>睿</t>
        </is>
      </c>
      <c r="Y17" s="67" t="inlineStr">
        <is>
          <t>睿</t>
        </is>
      </c>
      <c r="Z17" s="66" t="inlineStr">
        <is>
          <t>匯</t>
        </is>
      </c>
      <c r="AA17" s="67" t="inlineStr">
        <is>
          <t>匯</t>
        </is>
      </c>
      <c r="AB17" s="67" t="inlineStr">
        <is>
          <t>匯</t>
        </is>
      </c>
      <c r="AC17" s="66" t="inlineStr">
        <is>
          <t>國</t>
        </is>
      </c>
      <c r="AD17" s="67" t="inlineStr">
        <is>
          <t>國</t>
        </is>
      </c>
      <c r="AE17" s="67" t="inlineStr">
        <is>
          <t>國</t>
        </is>
      </c>
      <c r="AF17" s="66" t="inlineStr">
        <is>
          <t>國</t>
        </is>
      </c>
      <c r="AG17" s="67" t="inlineStr">
        <is>
          <t>國</t>
        </is>
      </c>
      <c r="AH17" s="67" t="inlineStr">
        <is>
          <t>國</t>
        </is>
      </c>
      <c r="AI17" s="66" t="inlineStr">
        <is>
          <t>休</t>
        </is>
      </c>
      <c r="AJ17" s="67" t="inlineStr">
        <is>
          <t>休</t>
        </is>
      </c>
      <c r="AK17" s="67" t="inlineStr">
        <is>
          <t>休</t>
        </is>
      </c>
      <c r="AL17" s="66" t="n"/>
      <c r="AM17" s="67" t="inlineStr">
        <is>
          <t>睿</t>
        </is>
      </c>
      <c r="AN17" s="67" t="inlineStr">
        <is>
          <t>睿</t>
        </is>
      </c>
      <c r="AO17" s="66" t="inlineStr">
        <is>
          <t>匯</t>
        </is>
      </c>
      <c r="AP17" s="67" t="inlineStr">
        <is>
          <t>曜</t>
        </is>
      </c>
      <c r="AQ17" s="67" t="inlineStr">
        <is>
          <t>曜</t>
        </is>
      </c>
      <c r="AR17" s="66" t="n"/>
      <c r="AS17" s="67" t="inlineStr">
        <is>
          <t>睿</t>
        </is>
      </c>
      <c r="AT17" s="67" t="inlineStr">
        <is>
          <t>睿</t>
        </is>
      </c>
      <c r="AU17" s="66" t="inlineStr">
        <is>
          <t>匯</t>
        </is>
      </c>
      <c r="AV17" s="67" t="inlineStr">
        <is>
          <t>匯</t>
        </is>
      </c>
      <c r="AW17" s="67" t="inlineStr">
        <is>
          <t>匯</t>
        </is>
      </c>
      <c r="AX17" s="66" t="inlineStr">
        <is>
          <t>曜</t>
        </is>
      </c>
      <c r="AY17" s="67" t="inlineStr">
        <is>
          <t>曜</t>
        </is>
      </c>
      <c r="AZ17" s="67" t="inlineStr">
        <is>
          <t>曜</t>
        </is>
      </c>
      <c r="BA17" s="66" t="inlineStr">
        <is>
          <t>曜</t>
        </is>
      </c>
      <c r="BB17" s="67" t="inlineStr">
        <is>
          <t>曜</t>
        </is>
      </c>
      <c r="BC17" s="67" t="inlineStr">
        <is>
          <t>休</t>
        </is>
      </c>
      <c r="BD17" s="66" t="inlineStr">
        <is>
          <t>休</t>
        </is>
      </c>
      <c r="BE17" s="67" t="inlineStr">
        <is>
          <t>休</t>
        </is>
      </c>
      <c r="BF17" s="67" t="inlineStr">
        <is>
          <t>休</t>
        </is>
      </c>
      <c r="BG17" s="66" t="n"/>
      <c r="BH17" s="67" t="inlineStr">
        <is>
          <t>睿</t>
        </is>
      </c>
      <c r="BI17" s="67" t="inlineStr">
        <is>
          <t>睿</t>
        </is>
      </c>
      <c r="BJ17" s="66" t="inlineStr">
        <is>
          <t>匯</t>
        </is>
      </c>
      <c r="BK17" s="67" t="inlineStr">
        <is>
          <t>曜</t>
        </is>
      </c>
      <c r="BL17" s="67" t="inlineStr">
        <is>
          <t>曜</t>
        </is>
      </c>
      <c r="BM17" s="66" t="n"/>
      <c r="BN17" s="67" t="inlineStr">
        <is>
          <t>睿</t>
        </is>
      </c>
      <c r="BO17" s="67" t="inlineStr">
        <is>
          <t>睿</t>
        </is>
      </c>
      <c r="BP17" s="66" t="inlineStr">
        <is>
          <t>匯</t>
        </is>
      </c>
      <c r="BQ17" s="67" t="inlineStr">
        <is>
          <t>匯</t>
        </is>
      </c>
      <c r="BR17" s="67" t="inlineStr">
        <is>
          <t>匯</t>
        </is>
      </c>
      <c r="BS17" s="66" t="inlineStr">
        <is>
          <t>曜</t>
        </is>
      </c>
      <c r="BT17" s="67" t="inlineStr">
        <is>
          <t>曜</t>
        </is>
      </c>
      <c r="BU17" s="67" t="inlineStr">
        <is>
          <t>曜</t>
        </is>
      </c>
      <c r="BV17" s="66" t="n"/>
      <c r="BW17" s="67" t="n"/>
      <c r="BX17" s="67" t="inlineStr">
        <is>
          <t>休</t>
        </is>
      </c>
      <c r="BY17" s="66" t="inlineStr">
        <is>
          <t>國</t>
        </is>
      </c>
      <c r="BZ17" s="67" t="inlineStr">
        <is>
          <t>國</t>
        </is>
      </c>
      <c r="CA17" s="67" t="inlineStr">
        <is>
          <t>國</t>
        </is>
      </c>
      <c r="CB17" s="66" t="inlineStr">
        <is>
          <t>國</t>
        </is>
      </c>
      <c r="CC17" s="67" t="inlineStr">
        <is>
          <t>國</t>
        </is>
      </c>
      <c r="CD17" s="67" t="inlineStr">
        <is>
          <t>國</t>
        </is>
      </c>
      <c r="CE17" s="66" t="inlineStr">
        <is>
          <t>匯</t>
        </is>
      </c>
      <c r="CF17" s="67" t="inlineStr">
        <is>
          <t>曜</t>
        </is>
      </c>
      <c r="CG17" s="67" t="inlineStr">
        <is>
          <t>曜</t>
        </is>
      </c>
      <c r="CH17" s="66" t="n"/>
      <c r="CI17" s="67" t="inlineStr">
        <is>
          <t>睿</t>
        </is>
      </c>
      <c r="CJ17" s="67" t="inlineStr">
        <is>
          <t>睿</t>
        </is>
      </c>
      <c r="CK17" s="66" t="inlineStr">
        <is>
          <t>匯</t>
        </is>
      </c>
      <c r="CL17" s="67" t="inlineStr">
        <is>
          <t>匯</t>
        </is>
      </c>
      <c r="CM17" s="67" t="inlineStr">
        <is>
          <t>匯</t>
        </is>
      </c>
      <c r="CN17" s="66" t="inlineStr">
        <is>
          <t>曜</t>
        </is>
      </c>
      <c r="CO17" s="67" t="inlineStr">
        <is>
          <t>曜</t>
        </is>
      </c>
      <c r="CP17" s="67" t="inlineStr">
        <is>
          <t>曜</t>
        </is>
      </c>
      <c r="CQ17" s="66" t="inlineStr">
        <is>
          <t>曜</t>
        </is>
      </c>
      <c r="CR17" s="67" t="inlineStr">
        <is>
          <t>曜</t>
        </is>
      </c>
      <c r="CS17" s="67" t="inlineStr">
        <is>
          <t>休</t>
        </is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5" t="inlineStr"/>
      <c r="D18" s="16" t="inlineStr"/>
      <c r="E18" s="66" t="n"/>
      <c r="F18" s="67" t="inlineStr">
        <is>
          <t>寶</t>
        </is>
      </c>
      <c r="G18" s="67" t="inlineStr">
        <is>
          <t>寶</t>
        </is>
      </c>
      <c r="H18" s="66" t="inlineStr">
        <is>
          <t>悅</t>
        </is>
      </c>
      <c r="I18" s="67" t="inlineStr">
        <is>
          <t>悅</t>
        </is>
      </c>
      <c r="J18" s="67" t="inlineStr">
        <is>
          <t>悅</t>
        </is>
      </c>
      <c r="K18" s="66" t="inlineStr">
        <is>
          <t>悅</t>
        </is>
      </c>
      <c r="L18" s="67" t="inlineStr">
        <is>
          <t>悅</t>
        </is>
      </c>
      <c r="M18" s="67" t="inlineStr">
        <is>
          <t>休</t>
        </is>
      </c>
      <c r="N18" s="66" t="inlineStr">
        <is>
          <t>休</t>
        </is>
      </c>
      <c r="O18" s="67" t="inlineStr">
        <is>
          <t>休</t>
        </is>
      </c>
      <c r="P18" s="67" t="inlineStr">
        <is>
          <t>休</t>
        </is>
      </c>
      <c r="Q18" s="66" t="inlineStr">
        <is>
          <t>悅</t>
        </is>
      </c>
      <c r="R18" s="67" t="inlineStr">
        <is>
          <t>悅</t>
        </is>
      </c>
      <c r="S18" s="67" t="inlineStr">
        <is>
          <t>悅</t>
        </is>
      </c>
      <c r="T18" s="66" t="n"/>
      <c r="U18" s="67" t="n"/>
      <c r="V18" s="67" t="n"/>
      <c r="W18" s="66" t="inlineStr">
        <is>
          <t>匯</t>
        </is>
      </c>
      <c r="X18" s="67" t="inlineStr">
        <is>
          <t>匯</t>
        </is>
      </c>
      <c r="Y18" s="67" t="inlineStr">
        <is>
          <t>匯</t>
        </is>
      </c>
      <c r="Z18" s="66" t="n"/>
      <c r="AA18" s="67" t="inlineStr">
        <is>
          <t>寶</t>
        </is>
      </c>
      <c r="AB18" s="67" t="inlineStr">
        <is>
          <t>寶</t>
        </is>
      </c>
      <c r="AC18" s="66" t="inlineStr">
        <is>
          <t>國</t>
        </is>
      </c>
      <c r="AD18" s="67" t="inlineStr">
        <is>
          <t>國</t>
        </is>
      </c>
      <c r="AE18" s="67" t="inlineStr">
        <is>
          <t>國</t>
        </is>
      </c>
      <c r="AF18" s="66" t="inlineStr">
        <is>
          <t>國</t>
        </is>
      </c>
      <c r="AG18" s="67" t="inlineStr">
        <is>
          <t>國</t>
        </is>
      </c>
      <c r="AH18" s="67" t="inlineStr">
        <is>
          <t>國</t>
        </is>
      </c>
      <c r="AI18" s="66" t="inlineStr">
        <is>
          <t>休</t>
        </is>
      </c>
      <c r="AJ18" s="67" t="inlineStr">
        <is>
          <t>休</t>
        </is>
      </c>
      <c r="AK18" s="67" t="inlineStr">
        <is>
          <t>休</t>
        </is>
      </c>
      <c r="AL18" s="66" t="inlineStr">
        <is>
          <t>悅</t>
        </is>
      </c>
      <c r="AM18" s="67" t="inlineStr">
        <is>
          <t>悅</t>
        </is>
      </c>
      <c r="AN18" s="67" t="inlineStr">
        <is>
          <t>悅</t>
        </is>
      </c>
      <c r="AO18" s="66" t="n"/>
      <c r="AP18" s="67" t="n"/>
      <c r="AQ18" s="67" t="n"/>
      <c r="AR18" s="66" t="inlineStr">
        <is>
          <t>匯</t>
        </is>
      </c>
      <c r="AS18" s="67" t="inlineStr">
        <is>
          <t>匯</t>
        </is>
      </c>
      <c r="AT18" s="67" t="inlineStr">
        <is>
          <t>匯</t>
        </is>
      </c>
      <c r="AU18" s="66" t="n"/>
      <c r="AV18" s="67" t="inlineStr">
        <is>
          <t>寶</t>
        </is>
      </c>
      <c r="AW18" s="67" t="inlineStr">
        <is>
          <t>寶</t>
        </is>
      </c>
      <c r="AX18" s="66" t="inlineStr">
        <is>
          <t>悅</t>
        </is>
      </c>
      <c r="AY18" s="67" t="inlineStr">
        <is>
          <t>悅</t>
        </is>
      </c>
      <c r="AZ18" s="67" t="inlineStr">
        <is>
          <t>悅</t>
        </is>
      </c>
      <c r="BA18" s="66" t="inlineStr">
        <is>
          <t>悅</t>
        </is>
      </c>
      <c r="BB18" s="67" t="inlineStr">
        <is>
          <t>悅</t>
        </is>
      </c>
      <c r="BC18" s="67" t="inlineStr">
        <is>
          <t>休</t>
        </is>
      </c>
      <c r="BD18" s="66" t="inlineStr">
        <is>
          <t>休</t>
        </is>
      </c>
      <c r="BE18" s="67" t="inlineStr">
        <is>
          <t>休</t>
        </is>
      </c>
      <c r="BF18" s="67" t="inlineStr">
        <is>
          <t>休</t>
        </is>
      </c>
      <c r="BG18" s="66" t="inlineStr">
        <is>
          <t>悅</t>
        </is>
      </c>
      <c r="BH18" s="67" t="inlineStr">
        <is>
          <t>悅</t>
        </is>
      </c>
      <c r="BI18" s="67" t="inlineStr">
        <is>
          <t>悅</t>
        </is>
      </c>
      <c r="BJ18" s="66" t="n"/>
      <c r="BK18" s="67" t="n"/>
      <c r="BL18" s="67" t="n"/>
      <c r="BM18" s="66" t="inlineStr">
        <is>
          <t>匯</t>
        </is>
      </c>
      <c r="BN18" s="67" t="inlineStr">
        <is>
          <t>匯</t>
        </is>
      </c>
      <c r="BO18" s="67" t="inlineStr">
        <is>
          <t>匯</t>
        </is>
      </c>
      <c r="BP18" s="66" t="n"/>
      <c r="BQ18" s="67" t="inlineStr">
        <is>
          <t>寶</t>
        </is>
      </c>
      <c r="BR18" s="67" t="inlineStr">
        <is>
          <t>寶</t>
        </is>
      </c>
      <c r="BS18" s="66" t="inlineStr">
        <is>
          <t>悅</t>
        </is>
      </c>
      <c r="BT18" s="67" t="inlineStr">
        <is>
          <t>悅</t>
        </is>
      </c>
      <c r="BU18" s="67" t="inlineStr">
        <is>
          <t>悅</t>
        </is>
      </c>
      <c r="BV18" s="66" t="inlineStr">
        <is>
          <t>匯</t>
        </is>
      </c>
      <c r="BW18" s="67" t="inlineStr">
        <is>
          <t>匯</t>
        </is>
      </c>
      <c r="BX18" s="67" t="inlineStr">
        <is>
          <t>休</t>
        </is>
      </c>
      <c r="BY18" s="66" t="inlineStr">
        <is>
          <t>國</t>
        </is>
      </c>
      <c r="BZ18" s="67" t="inlineStr">
        <is>
          <t>國</t>
        </is>
      </c>
      <c r="CA18" s="67" t="inlineStr">
        <is>
          <t>國</t>
        </is>
      </c>
      <c r="CB18" s="66" t="inlineStr">
        <is>
          <t>國</t>
        </is>
      </c>
      <c r="CC18" s="67" t="inlineStr">
        <is>
          <t>國</t>
        </is>
      </c>
      <c r="CD18" s="67" t="inlineStr">
        <is>
          <t>國</t>
        </is>
      </c>
      <c r="CE18" s="66" t="n"/>
      <c r="CF18" s="67" t="n"/>
      <c r="CG18" s="67" t="n"/>
      <c r="CH18" s="66" t="inlineStr">
        <is>
          <t>匯</t>
        </is>
      </c>
      <c r="CI18" s="67" t="inlineStr">
        <is>
          <t>匯</t>
        </is>
      </c>
      <c r="CJ18" s="67" t="inlineStr">
        <is>
          <t>匯</t>
        </is>
      </c>
      <c r="CK18" s="66" t="n"/>
      <c r="CL18" s="67" t="inlineStr">
        <is>
          <t>寶</t>
        </is>
      </c>
      <c r="CM18" s="67" t="inlineStr">
        <is>
          <t>寶</t>
        </is>
      </c>
      <c r="CN18" s="66" t="inlineStr">
        <is>
          <t>悅</t>
        </is>
      </c>
      <c r="CO18" s="67" t="inlineStr">
        <is>
          <t>悅</t>
        </is>
      </c>
      <c r="CP18" s="67" t="inlineStr">
        <is>
          <t>悅</t>
        </is>
      </c>
      <c r="CQ18" s="66" t="inlineStr">
        <is>
          <t>悅</t>
        </is>
      </c>
      <c r="CR18" s="67" t="inlineStr">
        <is>
          <t>悅</t>
        </is>
      </c>
      <c r="CS18" s="67" t="inlineStr">
        <is>
          <t>休</t>
        </is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5" t="inlineStr"/>
      <c r="D19" s="16" t="inlineStr"/>
      <c r="E19" s="66" t="inlineStr">
        <is>
          <t>悅</t>
        </is>
      </c>
      <c r="F19" s="67" t="inlineStr">
        <is>
          <t>悅</t>
        </is>
      </c>
      <c r="G19" s="67" t="n"/>
      <c r="H19" s="66" t="inlineStr">
        <is>
          <t>匯</t>
        </is>
      </c>
      <c r="I19" s="67" t="inlineStr">
        <is>
          <t>匯</t>
        </is>
      </c>
      <c r="J19" s="67" t="inlineStr">
        <is>
          <t>匯</t>
        </is>
      </c>
      <c r="K19" s="66" t="inlineStr">
        <is>
          <t>悅</t>
        </is>
      </c>
      <c r="L19" s="67" t="inlineStr">
        <is>
          <t>悅</t>
        </is>
      </c>
      <c r="M19" s="67" t="inlineStr">
        <is>
          <t>休</t>
        </is>
      </c>
      <c r="N19" s="66" t="inlineStr">
        <is>
          <t>休</t>
        </is>
      </c>
      <c r="O19" s="67" t="inlineStr">
        <is>
          <t>休</t>
        </is>
      </c>
      <c r="P19" s="67" t="inlineStr">
        <is>
          <t>休</t>
        </is>
      </c>
      <c r="Q19" s="66" t="inlineStr">
        <is>
          <t>悅</t>
        </is>
      </c>
      <c r="R19" s="67" t="inlineStr">
        <is>
          <t>悅</t>
        </is>
      </c>
      <c r="S19" s="67" t="inlineStr">
        <is>
          <t>悅</t>
        </is>
      </c>
      <c r="T19" s="66" t="inlineStr">
        <is>
          <t>匯</t>
        </is>
      </c>
      <c r="U19" s="67" t="inlineStr">
        <is>
          <t>匯</t>
        </is>
      </c>
      <c r="V19" s="67" t="inlineStr">
        <is>
          <t>匯</t>
        </is>
      </c>
      <c r="W19" s="66" t="n"/>
      <c r="X19" s="67" t="n"/>
      <c r="Y19" s="67" t="n"/>
      <c r="Z19" s="66" t="inlineStr">
        <is>
          <t>悅</t>
        </is>
      </c>
      <c r="AA19" s="67" t="inlineStr">
        <is>
          <t>悅</t>
        </is>
      </c>
      <c r="AB19" s="67" t="n"/>
      <c r="AC19" s="66" t="inlineStr">
        <is>
          <t>國</t>
        </is>
      </c>
      <c r="AD19" s="67" t="inlineStr">
        <is>
          <t>國</t>
        </is>
      </c>
      <c r="AE19" s="67" t="inlineStr">
        <is>
          <t>國</t>
        </is>
      </c>
      <c r="AF19" s="66" t="inlineStr">
        <is>
          <t>國</t>
        </is>
      </c>
      <c r="AG19" s="67" t="inlineStr">
        <is>
          <t>國</t>
        </is>
      </c>
      <c r="AH19" s="67" t="inlineStr">
        <is>
          <t>國</t>
        </is>
      </c>
      <c r="AI19" s="66" t="inlineStr">
        <is>
          <t>休</t>
        </is>
      </c>
      <c r="AJ19" s="67" t="inlineStr">
        <is>
          <t>休</t>
        </is>
      </c>
      <c r="AK19" s="67" t="inlineStr">
        <is>
          <t>休</t>
        </is>
      </c>
      <c r="AL19" s="66" t="inlineStr">
        <is>
          <t>悅</t>
        </is>
      </c>
      <c r="AM19" s="67" t="inlineStr">
        <is>
          <t>悅</t>
        </is>
      </c>
      <c r="AN19" s="67" t="inlineStr">
        <is>
          <t>悅</t>
        </is>
      </c>
      <c r="AO19" s="66" t="inlineStr">
        <is>
          <t>匯</t>
        </is>
      </c>
      <c r="AP19" s="67" t="inlineStr">
        <is>
          <t>匯</t>
        </is>
      </c>
      <c r="AQ19" s="67" t="inlineStr">
        <is>
          <t>匯</t>
        </is>
      </c>
      <c r="AR19" s="66" t="n"/>
      <c r="AS19" s="67" t="n"/>
      <c r="AT19" s="67" t="n"/>
      <c r="AU19" s="66" t="inlineStr">
        <is>
          <t>悅</t>
        </is>
      </c>
      <c r="AV19" s="67" t="inlineStr">
        <is>
          <t>悅</t>
        </is>
      </c>
      <c r="AW19" s="67" t="n"/>
      <c r="AX19" s="66" t="inlineStr">
        <is>
          <t>匯</t>
        </is>
      </c>
      <c r="AY19" s="67" t="inlineStr">
        <is>
          <t>匯</t>
        </is>
      </c>
      <c r="AZ19" s="67" t="inlineStr">
        <is>
          <t>匯</t>
        </is>
      </c>
      <c r="BA19" s="66" t="inlineStr">
        <is>
          <t>悅</t>
        </is>
      </c>
      <c r="BB19" s="67" t="inlineStr">
        <is>
          <t>悅</t>
        </is>
      </c>
      <c r="BC19" s="67" t="inlineStr">
        <is>
          <t>休</t>
        </is>
      </c>
      <c r="BD19" s="66" t="inlineStr">
        <is>
          <t>休</t>
        </is>
      </c>
      <c r="BE19" s="67" t="inlineStr">
        <is>
          <t>休</t>
        </is>
      </c>
      <c r="BF19" s="67" t="inlineStr">
        <is>
          <t>休</t>
        </is>
      </c>
      <c r="BG19" s="66" t="inlineStr">
        <is>
          <t>悅</t>
        </is>
      </c>
      <c r="BH19" s="67" t="inlineStr">
        <is>
          <t>悅</t>
        </is>
      </c>
      <c r="BI19" s="67" t="inlineStr">
        <is>
          <t>悅</t>
        </is>
      </c>
      <c r="BJ19" s="66" t="inlineStr">
        <is>
          <t>匯</t>
        </is>
      </c>
      <c r="BK19" s="67" t="inlineStr">
        <is>
          <t>匯</t>
        </is>
      </c>
      <c r="BL19" s="67" t="inlineStr">
        <is>
          <t>匯</t>
        </is>
      </c>
      <c r="BM19" s="66" t="n"/>
      <c r="BN19" s="67" t="n"/>
      <c r="BO19" s="67" t="n"/>
      <c r="BP19" s="66" t="inlineStr">
        <is>
          <t>悅</t>
        </is>
      </c>
      <c r="BQ19" s="67" t="inlineStr">
        <is>
          <t>悅</t>
        </is>
      </c>
      <c r="BR19" s="67" t="n"/>
      <c r="BS19" s="66" t="inlineStr">
        <is>
          <t>匯</t>
        </is>
      </c>
      <c r="BT19" s="67" t="inlineStr">
        <is>
          <t>匯</t>
        </is>
      </c>
      <c r="BU19" s="67" t="inlineStr">
        <is>
          <t>匯</t>
        </is>
      </c>
      <c r="BV19" s="66" t="inlineStr">
        <is>
          <t>悅</t>
        </is>
      </c>
      <c r="BW19" s="67" t="inlineStr">
        <is>
          <t>悅</t>
        </is>
      </c>
      <c r="BX19" s="67" t="inlineStr">
        <is>
          <t>休</t>
        </is>
      </c>
      <c r="BY19" s="66" t="inlineStr">
        <is>
          <t>國</t>
        </is>
      </c>
      <c r="BZ19" s="67" t="inlineStr">
        <is>
          <t>國</t>
        </is>
      </c>
      <c r="CA19" s="67" t="inlineStr">
        <is>
          <t>國</t>
        </is>
      </c>
      <c r="CB19" s="66" t="inlineStr">
        <is>
          <t>國</t>
        </is>
      </c>
      <c r="CC19" s="67" t="inlineStr">
        <is>
          <t>國</t>
        </is>
      </c>
      <c r="CD19" s="67" t="inlineStr">
        <is>
          <t>國</t>
        </is>
      </c>
      <c r="CE19" s="66" t="inlineStr">
        <is>
          <t>匯</t>
        </is>
      </c>
      <c r="CF19" s="67" t="inlineStr">
        <is>
          <t>匯</t>
        </is>
      </c>
      <c r="CG19" s="67" t="inlineStr">
        <is>
          <t>匯</t>
        </is>
      </c>
      <c r="CH19" s="66" t="n"/>
      <c r="CI19" s="67" t="n"/>
      <c r="CJ19" s="67" t="n"/>
      <c r="CK19" s="66" t="inlineStr">
        <is>
          <t>悅</t>
        </is>
      </c>
      <c r="CL19" s="67" t="inlineStr">
        <is>
          <t>悅</t>
        </is>
      </c>
      <c r="CM19" s="67" t="n"/>
      <c r="CN19" s="66" t="inlineStr">
        <is>
          <t>匯</t>
        </is>
      </c>
      <c r="CO19" s="67" t="inlineStr">
        <is>
          <t>匯</t>
        </is>
      </c>
      <c r="CP19" s="67" t="inlineStr">
        <is>
          <t>匯</t>
        </is>
      </c>
      <c r="CQ19" s="66" t="inlineStr">
        <is>
          <t>悅</t>
        </is>
      </c>
      <c r="CR19" s="67" t="inlineStr">
        <is>
          <t>悅</t>
        </is>
      </c>
      <c r="CS19" s="67" t="inlineStr">
        <is>
          <t>休</t>
        </is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5" t="inlineStr"/>
      <c r="D20" s="16" t="inlineStr"/>
      <c r="E20" s="66" t="n"/>
      <c r="F20" s="67" t="inlineStr">
        <is>
          <t>悅</t>
        </is>
      </c>
      <c r="G20" s="67" t="inlineStr">
        <is>
          <t>悅</t>
        </is>
      </c>
      <c r="H20" s="66" t="n"/>
      <c r="I20" s="67" t="inlineStr">
        <is>
          <t>曜</t>
        </is>
      </c>
      <c r="J20" s="67" t="inlineStr">
        <is>
          <t>曜</t>
        </is>
      </c>
      <c r="K20" s="66" t="inlineStr">
        <is>
          <t>曜</t>
        </is>
      </c>
      <c r="L20" s="67" t="inlineStr">
        <is>
          <t>曜</t>
        </is>
      </c>
      <c r="M20" s="67" t="inlineStr">
        <is>
          <t>休</t>
        </is>
      </c>
      <c r="N20" s="66" t="inlineStr">
        <is>
          <t>休</t>
        </is>
      </c>
      <c r="O20" s="67" t="inlineStr">
        <is>
          <t>休</t>
        </is>
      </c>
      <c r="P20" s="67" t="inlineStr">
        <is>
          <t>休</t>
        </is>
      </c>
      <c r="Q20" s="66" t="n"/>
      <c r="R20" s="67" t="inlineStr">
        <is>
          <t>曜</t>
        </is>
      </c>
      <c r="S20" s="67" t="inlineStr">
        <is>
          <t>曜</t>
        </is>
      </c>
      <c r="T20" s="66" t="n"/>
      <c r="U20" s="67" t="inlineStr">
        <is>
          <t>悅</t>
        </is>
      </c>
      <c r="V20" s="67" t="inlineStr">
        <is>
          <t>悅</t>
        </is>
      </c>
      <c r="W20" s="66" t="n"/>
      <c r="X20" s="67" t="inlineStr">
        <is>
          <t>曜</t>
        </is>
      </c>
      <c r="Y20" s="67" t="inlineStr">
        <is>
          <t>曜</t>
        </is>
      </c>
      <c r="Z20" s="66" t="n"/>
      <c r="AA20" s="67" t="inlineStr">
        <is>
          <t>悅</t>
        </is>
      </c>
      <c r="AB20" s="67" t="inlineStr">
        <is>
          <t>悅</t>
        </is>
      </c>
      <c r="AC20" s="66" t="inlineStr">
        <is>
          <t>國</t>
        </is>
      </c>
      <c r="AD20" s="67" t="inlineStr">
        <is>
          <t>國</t>
        </is>
      </c>
      <c r="AE20" s="67" t="inlineStr">
        <is>
          <t>國</t>
        </is>
      </c>
      <c r="AF20" s="66" t="inlineStr">
        <is>
          <t>國</t>
        </is>
      </c>
      <c r="AG20" s="67" t="inlineStr">
        <is>
          <t>國</t>
        </is>
      </c>
      <c r="AH20" s="67" t="inlineStr">
        <is>
          <t>國</t>
        </is>
      </c>
      <c r="AI20" s="66" t="inlineStr">
        <is>
          <t>休</t>
        </is>
      </c>
      <c r="AJ20" s="67" t="inlineStr">
        <is>
          <t>休</t>
        </is>
      </c>
      <c r="AK20" s="67" t="inlineStr">
        <is>
          <t>休</t>
        </is>
      </c>
      <c r="AL20" s="66" t="n"/>
      <c r="AM20" s="67" t="inlineStr">
        <is>
          <t>曜</t>
        </is>
      </c>
      <c r="AN20" s="67" t="inlineStr">
        <is>
          <t>曜</t>
        </is>
      </c>
      <c r="AO20" s="66" t="n"/>
      <c r="AP20" s="67" t="inlineStr">
        <is>
          <t>悅</t>
        </is>
      </c>
      <c r="AQ20" s="67" t="inlineStr">
        <is>
          <t>悅</t>
        </is>
      </c>
      <c r="AR20" s="66" t="n"/>
      <c r="AS20" s="67" t="inlineStr">
        <is>
          <t>曜</t>
        </is>
      </c>
      <c r="AT20" s="67" t="inlineStr">
        <is>
          <t>曜</t>
        </is>
      </c>
      <c r="AU20" s="66" t="n"/>
      <c r="AV20" s="67" t="inlineStr">
        <is>
          <t>悅</t>
        </is>
      </c>
      <c r="AW20" s="67" t="inlineStr">
        <is>
          <t>悅</t>
        </is>
      </c>
      <c r="AX20" s="66" t="n"/>
      <c r="AY20" s="67" t="inlineStr">
        <is>
          <t>曜</t>
        </is>
      </c>
      <c r="AZ20" s="67" t="inlineStr">
        <is>
          <t>曜</t>
        </is>
      </c>
      <c r="BA20" s="66" t="inlineStr">
        <is>
          <t>曜</t>
        </is>
      </c>
      <c r="BB20" s="67" t="inlineStr">
        <is>
          <t>曜</t>
        </is>
      </c>
      <c r="BC20" s="67" t="inlineStr">
        <is>
          <t>休</t>
        </is>
      </c>
      <c r="BD20" s="66" t="inlineStr">
        <is>
          <t>休</t>
        </is>
      </c>
      <c r="BE20" s="67" t="inlineStr">
        <is>
          <t>休</t>
        </is>
      </c>
      <c r="BF20" s="67" t="inlineStr">
        <is>
          <t>休</t>
        </is>
      </c>
      <c r="BG20" s="66" t="n"/>
      <c r="BH20" s="67" t="inlineStr">
        <is>
          <t>曜</t>
        </is>
      </c>
      <c r="BI20" s="67" t="inlineStr">
        <is>
          <t>曜</t>
        </is>
      </c>
      <c r="BJ20" s="66" t="n"/>
      <c r="BK20" s="67" t="inlineStr">
        <is>
          <t>悅</t>
        </is>
      </c>
      <c r="BL20" s="67" t="inlineStr">
        <is>
          <t>悅</t>
        </is>
      </c>
      <c r="BM20" s="66" t="n"/>
      <c r="BN20" s="67" t="inlineStr">
        <is>
          <t>曜</t>
        </is>
      </c>
      <c r="BO20" s="67" t="inlineStr">
        <is>
          <t>曜</t>
        </is>
      </c>
      <c r="BP20" s="66" t="n"/>
      <c r="BQ20" s="67" t="inlineStr">
        <is>
          <t>悅</t>
        </is>
      </c>
      <c r="BR20" s="67" t="inlineStr">
        <is>
          <t>悅</t>
        </is>
      </c>
      <c r="BS20" s="66" t="n"/>
      <c r="BT20" s="67" t="inlineStr">
        <is>
          <t>曜</t>
        </is>
      </c>
      <c r="BU20" s="67" t="inlineStr">
        <is>
          <t>曜</t>
        </is>
      </c>
      <c r="BV20" s="66" t="n"/>
      <c r="BW20" s="67" t="n"/>
      <c r="BX20" s="67" t="inlineStr">
        <is>
          <t>休</t>
        </is>
      </c>
      <c r="BY20" s="66" t="inlineStr">
        <is>
          <t>國</t>
        </is>
      </c>
      <c r="BZ20" s="67" t="inlineStr">
        <is>
          <t>國</t>
        </is>
      </c>
      <c r="CA20" s="67" t="inlineStr">
        <is>
          <t>國</t>
        </is>
      </c>
      <c r="CB20" s="66" t="inlineStr">
        <is>
          <t>國</t>
        </is>
      </c>
      <c r="CC20" s="67" t="inlineStr">
        <is>
          <t>國</t>
        </is>
      </c>
      <c r="CD20" s="67" t="inlineStr">
        <is>
          <t>國</t>
        </is>
      </c>
      <c r="CE20" s="66" t="n"/>
      <c r="CF20" s="67" t="inlineStr">
        <is>
          <t>悅</t>
        </is>
      </c>
      <c r="CG20" s="67" t="inlineStr">
        <is>
          <t>悅</t>
        </is>
      </c>
      <c r="CH20" s="66" t="n"/>
      <c r="CI20" s="67" t="inlineStr">
        <is>
          <t>曜</t>
        </is>
      </c>
      <c r="CJ20" s="67" t="inlineStr">
        <is>
          <t>曜</t>
        </is>
      </c>
      <c r="CK20" s="66" t="n"/>
      <c r="CL20" s="67" t="inlineStr">
        <is>
          <t>悅</t>
        </is>
      </c>
      <c r="CM20" s="67" t="inlineStr">
        <is>
          <t>悅</t>
        </is>
      </c>
      <c r="CN20" s="66" t="n"/>
      <c r="CO20" s="67" t="inlineStr">
        <is>
          <t>曜</t>
        </is>
      </c>
      <c r="CP20" s="67" t="inlineStr">
        <is>
          <t>曜</t>
        </is>
      </c>
      <c r="CQ20" s="66" t="inlineStr">
        <is>
          <t>曜</t>
        </is>
      </c>
      <c r="CR20" s="67" t="inlineStr">
        <is>
          <t>曜</t>
        </is>
      </c>
      <c r="CS20" s="67" t="inlineStr">
        <is>
          <t>休</t>
        </is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5" t="inlineStr"/>
      <c r="D21" s="16" t="inlineStr"/>
      <c r="E21" s="66" t="inlineStr">
        <is>
          <t>睿</t>
        </is>
      </c>
      <c r="F21" s="67" t="n"/>
      <c r="G21" s="67" t="n"/>
      <c r="H21" s="66" t="n"/>
      <c r="I21" s="67" t="n"/>
      <c r="J21" s="67" t="n"/>
      <c r="K21" s="66" t="n"/>
      <c r="L21" s="67" t="n"/>
      <c r="M21" s="67" t="inlineStr">
        <is>
          <t>休</t>
        </is>
      </c>
      <c r="N21" s="66" t="inlineStr">
        <is>
          <t>休</t>
        </is>
      </c>
      <c r="O21" s="67" t="inlineStr">
        <is>
          <t>休</t>
        </is>
      </c>
      <c r="P21" s="67" t="inlineStr">
        <is>
          <t>休</t>
        </is>
      </c>
      <c r="Q21" s="66" t="inlineStr">
        <is>
          <t>睿</t>
        </is>
      </c>
      <c r="R21" s="67" t="inlineStr">
        <is>
          <t>睿</t>
        </is>
      </c>
      <c r="S21" s="67" t="inlineStr">
        <is>
          <t>睿</t>
        </is>
      </c>
      <c r="T21" s="66" t="n"/>
      <c r="U21" s="67" t="n"/>
      <c r="V21" s="67" t="n"/>
      <c r="W21" s="66" t="n"/>
      <c r="X21" s="67" t="n"/>
      <c r="Y21" s="67" t="n"/>
      <c r="Z21" s="66" t="inlineStr">
        <is>
          <t>睿</t>
        </is>
      </c>
      <c r="AA21" s="67" t="n"/>
      <c r="AB21" s="67" t="n"/>
      <c r="AC21" s="66" t="inlineStr">
        <is>
          <t>國</t>
        </is>
      </c>
      <c r="AD21" s="67" t="inlineStr">
        <is>
          <t>國</t>
        </is>
      </c>
      <c r="AE21" s="67" t="inlineStr">
        <is>
          <t>國</t>
        </is>
      </c>
      <c r="AF21" s="66" t="inlineStr">
        <is>
          <t>國</t>
        </is>
      </c>
      <c r="AG21" s="67" t="inlineStr">
        <is>
          <t>國</t>
        </is>
      </c>
      <c r="AH21" s="67" t="inlineStr">
        <is>
          <t>國</t>
        </is>
      </c>
      <c r="AI21" s="66" t="inlineStr">
        <is>
          <t>休</t>
        </is>
      </c>
      <c r="AJ21" s="67" t="inlineStr">
        <is>
          <t>休</t>
        </is>
      </c>
      <c r="AK21" s="67" t="inlineStr">
        <is>
          <t>休</t>
        </is>
      </c>
      <c r="AL21" s="66" t="inlineStr">
        <is>
          <t>睿</t>
        </is>
      </c>
      <c r="AM21" s="67" t="inlineStr">
        <is>
          <t>睿</t>
        </is>
      </c>
      <c r="AN21" s="67" t="inlineStr">
        <is>
          <t>睿</t>
        </is>
      </c>
      <c r="AO21" s="66" t="n"/>
      <c r="AP21" s="67" t="n"/>
      <c r="AQ21" s="67" t="n"/>
      <c r="AR21" s="66" t="n"/>
      <c r="AS21" s="67" t="n"/>
      <c r="AT21" s="67" t="n"/>
      <c r="AU21" s="66" t="inlineStr">
        <is>
          <t>睿</t>
        </is>
      </c>
      <c r="AV21" s="67" t="n"/>
      <c r="AW21" s="67" t="n"/>
      <c r="AX21" s="66" t="n"/>
      <c r="AY21" s="67" t="n"/>
      <c r="AZ21" s="67" t="n"/>
      <c r="BA21" s="66" t="n"/>
      <c r="BB21" s="67" t="n"/>
      <c r="BC21" s="67" t="inlineStr">
        <is>
          <t>休</t>
        </is>
      </c>
      <c r="BD21" s="66" t="inlineStr">
        <is>
          <t>休</t>
        </is>
      </c>
      <c r="BE21" s="67" t="inlineStr">
        <is>
          <t>休</t>
        </is>
      </c>
      <c r="BF21" s="67" t="inlineStr">
        <is>
          <t>休</t>
        </is>
      </c>
      <c r="BG21" s="66" t="inlineStr">
        <is>
          <t>睿</t>
        </is>
      </c>
      <c r="BH21" s="67" t="inlineStr">
        <is>
          <t>睿</t>
        </is>
      </c>
      <c r="BI21" s="67" t="inlineStr">
        <is>
          <t>睿</t>
        </is>
      </c>
      <c r="BJ21" s="66" t="n"/>
      <c r="BK21" s="67" t="n"/>
      <c r="BL21" s="67" t="n"/>
      <c r="BM21" s="66" t="n"/>
      <c r="BN21" s="67" t="n"/>
      <c r="BO21" s="67" t="n"/>
      <c r="BP21" s="66" t="inlineStr">
        <is>
          <t>睿</t>
        </is>
      </c>
      <c r="BQ21" s="67" t="n"/>
      <c r="BR21" s="67" t="n"/>
      <c r="BS21" s="66" t="n"/>
      <c r="BT21" s="67" t="n"/>
      <c r="BU21" s="67" t="n"/>
      <c r="BV21" s="66" t="n"/>
      <c r="BW21" s="67" t="n"/>
      <c r="BX21" s="67" t="inlineStr">
        <is>
          <t>休</t>
        </is>
      </c>
      <c r="BY21" s="66" t="inlineStr">
        <is>
          <t>國</t>
        </is>
      </c>
      <c r="BZ21" s="67" t="inlineStr">
        <is>
          <t>國</t>
        </is>
      </c>
      <c r="CA21" s="67" t="inlineStr">
        <is>
          <t>國</t>
        </is>
      </c>
      <c r="CB21" s="66" t="inlineStr">
        <is>
          <t>國</t>
        </is>
      </c>
      <c r="CC21" s="67" t="inlineStr">
        <is>
          <t>國</t>
        </is>
      </c>
      <c r="CD21" s="67" t="inlineStr">
        <is>
          <t>國</t>
        </is>
      </c>
      <c r="CE21" s="66" t="n"/>
      <c r="CF21" s="67" t="n"/>
      <c r="CG21" s="67" t="n"/>
      <c r="CH21" s="66" t="n"/>
      <c r="CI21" s="67" t="n"/>
      <c r="CJ21" s="67" t="n"/>
      <c r="CK21" s="66" t="inlineStr">
        <is>
          <t>睿</t>
        </is>
      </c>
      <c r="CL21" s="67" t="n"/>
      <c r="CM21" s="67" t="n"/>
      <c r="CN21" s="66" t="n"/>
      <c r="CO21" s="67" t="n"/>
      <c r="CP21" s="67" t="n"/>
      <c r="CQ21" s="66" t="n"/>
      <c r="CR21" s="67" t="n"/>
      <c r="CS21" s="67" t="inlineStr">
        <is>
          <t>休</t>
        </is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5" t="inlineStr"/>
      <c r="D22" s="16" t="inlineStr"/>
      <c r="E22" s="66" t="inlineStr">
        <is>
          <t>睿</t>
        </is>
      </c>
      <c r="F22" s="67" t="inlineStr">
        <is>
          <t>睿</t>
        </is>
      </c>
      <c r="G22" s="67" t="inlineStr">
        <is>
          <t>睿</t>
        </is>
      </c>
      <c r="H22" s="66" t="n"/>
      <c r="I22" s="67" t="inlineStr">
        <is>
          <t>曜</t>
        </is>
      </c>
      <c r="J22" s="67" t="inlineStr">
        <is>
          <t>曜</t>
        </is>
      </c>
      <c r="K22" s="66" t="inlineStr">
        <is>
          <t>睿</t>
        </is>
      </c>
      <c r="L22" s="67" t="inlineStr">
        <is>
          <t>睿</t>
        </is>
      </c>
      <c r="M22" s="67" t="inlineStr">
        <is>
          <t>休</t>
        </is>
      </c>
      <c r="N22" s="66" t="inlineStr">
        <is>
          <t>休</t>
        </is>
      </c>
      <c r="O22" s="67" t="inlineStr">
        <is>
          <t>休</t>
        </is>
      </c>
      <c r="P22" s="67" t="inlineStr">
        <is>
          <t>休</t>
        </is>
      </c>
      <c r="Q22" s="66" t="inlineStr">
        <is>
          <t>曜</t>
        </is>
      </c>
      <c r="R22" s="67" t="inlineStr">
        <is>
          <t>曜</t>
        </is>
      </c>
      <c r="S22" s="67" t="inlineStr">
        <is>
          <t>曜</t>
        </is>
      </c>
      <c r="T22" s="66" t="n"/>
      <c r="U22" s="67" t="n"/>
      <c r="V22" s="67" t="n"/>
      <c r="W22" s="66" t="inlineStr">
        <is>
          <t>曜</t>
        </is>
      </c>
      <c r="X22" s="67" t="inlineStr">
        <is>
          <t>曜</t>
        </is>
      </c>
      <c r="Y22" s="67" t="inlineStr">
        <is>
          <t>曜</t>
        </is>
      </c>
      <c r="Z22" s="66" t="inlineStr">
        <is>
          <t>睿</t>
        </is>
      </c>
      <c r="AA22" s="67" t="inlineStr">
        <is>
          <t>睿</t>
        </is>
      </c>
      <c r="AB22" s="67" t="inlineStr">
        <is>
          <t>睿</t>
        </is>
      </c>
      <c r="AC22" s="66" t="inlineStr">
        <is>
          <t>國</t>
        </is>
      </c>
      <c r="AD22" s="67" t="inlineStr">
        <is>
          <t>國</t>
        </is>
      </c>
      <c r="AE22" s="67" t="inlineStr">
        <is>
          <t>國</t>
        </is>
      </c>
      <c r="AF22" s="66" t="inlineStr">
        <is>
          <t>國</t>
        </is>
      </c>
      <c r="AG22" s="67" t="inlineStr">
        <is>
          <t>國</t>
        </is>
      </c>
      <c r="AH22" s="67" t="inlineStr">
        <is>
          <t>國</t>
        </is>
      </c>
      <c r="AI22" s="66" t="inlineStr">
        <is>
          <t>休</t>
        </is>
      </c>
      <c r="AJ22" s="67" t="inlineStr">
        <is>
          <t>休</t>
        </is>
      </c>
      <c r="AK22" s="67" t="inlineStr">
        <is>
          <t>休</t>
        </is>
      </c>
      <c r="AL22" s="66" t="inlineStr">
        <is>
          <t>曜</t>
        </is>
      </c>
      <c r="AM22" s="67" t="inlineStr">
        <is>
          <t>曜</t>
        </is>
      </c>
      <c r="AN22" s="67" t="inlineStr">
        <is>
          <t>曜</t>
        </is>
      </c>
      <c r="AO22" s="66" t="n"/>
      <c r="AP22" s="67" t="n"/>
      <c r="AQ22" s="67" t="n"/>
      <c r="AR22" s="66" t="inlineStr">
        <is>
          <t>曜</t>
        </is>
      </c>
      <c r="AS22" s="67" t="inlineStr">
        <is>
          <t>曜</t>
        </is>
      </c>
      <c r="AT22" s="67" t="inlineStr">
        <is>
          <t>曜</t>
        </is>
      </c>
      <c r="AU22" s="66" t="inlineStr">
        <is>
          <t>睿</t>
        </is>
      </c>
      <c r="AV22" s="67" t="inlineStr">
        <is>
          <t>睿</t>
        </is>
      </c>
      <c r="AW22" s="67" t="inlineStr">
        <is>
          <t>睿</t>
        </is>
      </c>
      <c r="AX22" s="66" t="n"/>
      <c r="AY22" s="67" t="inlineStr">
        <is>
          <t>曜</t>
        </is>
      </c>
      <c r="AZ22" s="67" t="inlineStr">
        <is>
          <t>曜</t>
        </is>
      </c>
      <c r="BA22" s="66" t="inlineStr">
        <is>
          <t>睿</t>
        </is>
      </c>
      <c r="BB22" s="67" t="inlineStr">
        <is>
          <t>睿</t>
        </is>
      </c>
      <c r="BC22" s="67" t="inlineStr">
        <is>
          <t>休</t>
        </is>
      </c>
      <c r="BD22" s="66" t="inlineStr">
        <is>
          <t>休</t>
        </is>
      </c>
      <c r="BE22" s="67" t="inlineStr">
        <is>
          <t>休</t>
        </is>
      </c>
      <c r="BF22" s="67" t="inlineStr">
        <is>
          <t>休</t>
        </is>
      </c>
      <c r="BG22" s="66" t="inlineStr">
        <is>
          <t>曜</t>
        </is>
      </c>
      <c r="BH22" s="67" t="inlineStr">
        <is>
          <t>曜</t>
        </is>
      </c>
      <c r="BI22" s="67" t="inlineStr">
        <is>
          <t>曜</t>
        </is>
      </c>
      <c r="BJ22" s="66" t="n"/>
      <c r="BK22" s="67" t="n"/>
      <c r="BL22" s="67" t="n"/>
      <c r="BM22" s="66" t="inlineStr">
        <is>
          <t>曜</t>
        </is>
      </c>
      <c r="BN22" s="67" t="inlineStr">
        <is>
          <t>曜</t>
        </is>
      </c>
      <c r="BO22" s="67" t="inlineStr">
        <is>
          <t>曜</t>
        </is>
      </c>
      <c r="BP22" s="66" t="inlineStr">
        <is>
          <t>睿</t>
        </is>
      </c>
      <c r="BQ22" s="67" t="inlineStr">
        <is>
          <t>睿</t>
        </is>
      </c>
      <c r="BR22" s="67" t="inlineStr">
        <is>
          <t>睿</t>
        </is>
      </c>
      <c r="BS22" s="66" t="n"/>
      <c r="BT22" s="67" t="inlineStr">
        <is>
          <t>曜</t>
        </is>
      </c>
      <c r="BU22" s="67" t="inlineStr">
        <is>
          <t>曜</t>
        </is>
      </c>
      <c r="BV22" s="66" t="inlineStr">
        <is>
          <t>睿</t>
        </is>
      </c>
      <c r="BW22" s="67" t="inlineStr">
        <is>
          <t>睿</t>
        </is>
      </c>
      <c r="BX22" s="67" t="inlineStr">
        <is>
          <t>休</t>
        </is>
      </c>
      <c r="BY22" s="66" t="inlineStr">
        <is>
          <t>國</t>
        </is>
      </c>
      <c r="BZ22" s="67" t="inlineStr">
        <is>
          <t>國</t>
        </is>
      </c>
      <c r="CA22" s="67" t="inlineStr">
        <is>
          <t>國</t>
        </is>
      </c>
      <c r="CB22" s="66" t="inlineStr">
        <is>
          <t>國</t>
        </is>
      </c>
      <c r="CC22" s="67" t="inlineStr">
        <is>
          <t>國</t>
        </is>
      </c>
      <c r="CD22" s="67" t="inlineStr">
        <is>
          <t>國</t>
        </is>
      </c>
      <c r="CE22" s="66" t="n"/>
      <c r="CF22" s="67" t="n"/>
      <c r="CG22" s="67" t="n"/>
      <c r="CH22" s="66" t="inlineStr">
        <is>
          <t>曜</t>
        </is>
      </c>
      <c r="CI22" s="67" t="inlineStr">
        <is>
          <t>曜</t>
        </is>
      </c>
      <c r="CJ22" s="67" t="inlineStr">
        <is>
          <t>曜</t>
        </is>
      </c>
      <c r="CK22" s="66" t="inlineStr">
        <is>
          <t>睿</t>
        </is>
      </c>
      <c r="CL22" s="67" t="inlineStr">
        <is>
          <t>睿</t>
        </is>
      </c>
      <c r="CM22" s="67" t="inlineStr">
        <is>
          <t>睿</t>
        </is>
      </c>
      <c r="CN22" s="66" t="n"/>
      <c r="CO22" s="67" t="inlineStr">
        <is>
          <t>曜</t>
        </is>
      </c>
      <c r="CP22" s="67" t="inlineStr">
        <is>
          <t>曜</t>
        </is>
      </c>
      <c r="CQ22" s="66" t="inlineStr">
        <is>
          <t>睿</t>
        </is>
      </c>
      <c r="CR22" s="67" t="inlineStr">
        <is>
          <t>睿</t>
        </is>
      </c>
      <c r="CS22" s="67" t="inlineStr">
        <is>
          <t>休</t>
        </is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5" t="inlineStr"/>
      <c r="D23" s="16" t="inlineStr"/>
      <c r="E23" s="66" t="inlineStr">
        <is>
          <t>曜</t>
        </is>
      </c>
      <c r="F23" s="67" t="inlineStr">
        <is>
          <t>曜</t>
        </is>
      </c>
      <c r="G23" s="67" t="inlineStr">
        <is>
          <t>曜</t>
        </is>
      </c>
      <c r="H23" s="66" t="n"/>
      <c r="I23" s="67" t="inlineStr">
        <is>
          <t>睿</t>
        </is>
      </c>
      <c r="J23" s="67" t="inlineStr">
        <is>
          <t>睿</t>
        </is>
      </c>
      <c r="K23" s="66" t="inlineStr">
        <is>
          <t>曜</t>
        </is>
      </c>
      <c r="L23" s="67" t="inlineStr">
        <is>
          <t>曜</t>
        </is>
      </c>
      <c r="M23" s="67" t="inlineStr">
        <is>
          <t>休</t>
        </is>
      </c>
      <c r="N23" s="66" t="inlineStr">
        <is>
          <t>休</t>
        </is>
      </c>
      <c r="O23" s="67" t="inlineStr">
        <is>
          <t>休</t>
        </is>
      </c>
      <c r="P23" s="67" t="inlineStr">
        <is>
          <t>休</t>
        </is>
      </c>
      <c r="Q23" s="66" t="inlineStr">
        <is>
          <t>睿</t>
        </is>
      </c>
      <c r="R23" s="67" t="inlineStr">
        <is>
          <t>睿</t>
        </is>
      </c>
      <c r="S23" s="67" t="inlineStr">
        <is>
          <t>睿</t>
        </is>
      </c>
      <c r="T23" s="66" t="inlineStr">
        <is>
          <t>曜</t>
        </is>
      </c>
      <c r="U23" s="67" t="inlineStr">
        <is>
          <t>曜</t>
        </is>
      </c>
      <c r="V23" s="67" t="inlineStr">
        <is>
          <t>曜</t>
        </is>
      </c>
      <c r="W23" s="66" t="n"/>
      <c r="X23" s="67" t="n"/>
      <c r="Y23" s="67" t="n"/>
      <c r="Z23" s="66" t="inlineStr">
        <is>
          <t>曜</t>
        </is>
      </c>
      <c r="AA23" s="67" t="inlineStr">
        <is>
          <t>曜</t>
        </is>
      </c>
      <c r="AB23" s="67" t="inlineStr">
        <is>
          <t>曜</t>
        </is>
      </c>
      <c r="AC23" s="66" t="inlineStr">
        <is>
          <t>國</t>
        </is>
      </c>
      <c r="AD23" s="67" t="inlineStr">
        <is>
          <t>國</t>
        </is>
      </c>
      <c r="AE23" s="67" t="inlineStr">
        <is>
          <t>國</t>
        </is>
      </c>
      <c r="AF23" s="66" t="inlineStr">
        <is>
          <t>國</t>
        </is>
      </c>
      <c r="AG23" s="67" t="inlineStr">
        <is>
          <t>國</t>
        </is>
      </c>
      <c r="AH23" s="67" t="inlineStr">
        <is>
          <t>國</t>
        </is>
      </c>
      <c r="AI23" s="66" t="inlineStr">
        <is>
          <t>休</t>
        </is>
      </c>
      <c r="AJ23" s="67" t="inlineStr">
        <is>
          <t>休</t>
        </is>
      </c>
      <c r="AK23" s="67" t="inlineStr">
        <is>
          <t>休</t>
        </is>
      </c>
      <c r="AL23" s="66" t="inlineStr">
        <is>
          <t>睿</t>
        </is>
      </c>
      <c r="AM23" s="67" t="inlineStr">
        <is>
          <t>睿</t>
        </is>
      </c>
      <c r="AN23" s="67" t="inlineStr">
        <is>
          <t>睿</t>
        </is>
      </c>
      <c r="AO23" s="66" t="inlineStr">
        <is>
          <t>曜</t>
        </is>
      </c>
      <c r="AP23" s="67" t="inlineStr">
        <is>
          <t>曜</t>
        </is>
      </c>
      <c r="AQ23" s="67" t="inlineStr">
        <is>
          <t>曜</t>
        </is>
      </c>
      <c r="AR23" s="66" t="n"/>
      <c r="AS23" s="67" t="n"/>
      <c r="AT23" s="67" t="n"/>
      <c r="AU23" s="66" t="inlineStr">
        <is>
          <t>曜</t>
        </is>
      </c>
      <c r="AV23" s="67" t="inlineStr">
        <is>
          <t>曜</t>
        </is>
      </c>
      <c r="AW23" s="67" t="inlineStr">
        <is>
          <t>曜</t>
        </is>
      </c>
      <c r="AX23" s="66" t="n"/>
      <c r="AY23" s="67" t="inlineStr">
        <is>
          <t>睿</t>
        </is>
      </c>
      <c r="AZ23" s="67" t="inlineStr">
        <is>
          <t>睿</t>
        </is>
      </c>
      <c r="BA23" s="66" t="inlineStr">
        <is>
          <t>曜</t>
        </is>
      </c>
      <c r="BB23" s="67" t="inlineStr">
        <is>
          <t>曜</t>
        </is>
      </c>
      <c r="BC23" s="67" t="inlineStr">
        <is>
          <t>休</t>
        </is>
      </c>
      <c r="BD23" s="66" t="inlineStr">
        <is>
          <t>休</t>
        </is>
      </c>
      <c r="BE23" s="67" t="inlineStr">
        <is>
          <t>休</t>
        </is>
      </c>
      <c r="BF23" s="67" t="inlineStr">
        <is>
          <t>休</t>
        </is>
      </c>
      <c r="BG23" s="66" t="inlineStr">
        <is>
          <t>睿</t>
        </is>
      </c>
      <c r="BH23" s="67" t="inlineStr">
        <is>
          <t>睿</t>
        </is>
      </c>
      <c r="BI23" s="67" t="inlineStr">
        <is>
          <t>睿</t>
        </is>
      </c>
      <c r="BJ23" s="66" t="inlineStr">
        <is>
          <t>曜</t>
        </is>
      </c>
      <c r="BK23" s="67" t="inlineStr">
        <is>
          <t>曜</t>
        </is>
      </c>
      <c r="BL23" s="67" t="inlineStr">
        <is>
          <t>曜</t>
        </is>
      </c>
      <c r="BM23" s="66" t="n"/>
      <c r="BN23" s="67" t="n"/>
      <c r="BO23" s="67" t="n"/>
      <c r="BP23" s="66" t="inlineStr">
        <is>
          <t>曜</t>
        </is>
      </c>
      <c r="BQ23" s="67" t="inlineStr">
        <is>
          <t>曜</t>
        </is>
      </c>
      <c r="BR23" s="67" t="inlineStr">
        <is>
          <t>曜</t>
        </is>
      </c>
      <c r="BS23" s="66" t="n"/>
      <c r="BT23" s="67" t="inlineStr">
        <is>
          <t>睿</t>
        </is>
      </c>
      <c r="BU23" s="67" t="inlineStr">
        <is>
          <t>睿</t>
        </is>
      </c>
      <c r="BV23" s="66" t="inlineStr">
        <is>
          <t>曜</t>
        </is>
      </c>
      <c r="BW23" s="67" t="inlineStr">
        <is>
          <t>曜</t>
        </is>
      </c>
      <c r="BX23" s="67" t="inlineStr">
        <is>
          <t>休</t>
        </is>
      </c>
      <c r="BY23" s="66" t="inlineStr">
        <is>
          <t>國</t>
        </is>
      </c>
      <c r="BZ23" s="67" t="inlineStr">
        <is>
          <t>國</t>
        </is>
      </c>
      <c r="CA23" s="67" t="inlineStr">
        <is>
          <t>國</t>
        </is>
      </c>
      <c r="CB23" s="66" t="inlineStr">
        <is>
          <t>國</t>
        </is>
      </c>
      <c r="CC23" s="67" t="inlineStr">
        <is>
          <t>國</t>
        </is>
      </c>
      <c r="CD23" s="67" t="inlineStr">
        <is>
          <t>國</t>
        </is>
      </c>
      <c r="CE23" s="66" t="inlineStr">
        <is>
          <t>曜</t>
        </is>
      </c>
      <c r="CF23" s="67" t="inlineStr">
        <is>
          <t>曜</t>
        </is>
      </c>
      <c r="CG23" s="67" t="inlineStr">
        <is>
          <t>曜</t>
        </is>
      </c>
      <c r="CH23" s="66" t="n"/>
      <c r="CI23" s="67" t="n"/>
      <c r="CJ23" s="67" t="n"/>
      <c r="CK23" s="66" t="inlineStr">
        <is>
          <t>曜</t>
        </is>
      </c>
      <c r="CL23" s="67" t="inlineStr">
        <is>
          <t>曜</t>
        </is>
      </c>
      <c r="CM23" s="67" t="inlineStr">
        <is>
          <t>曜</t>
        </is>
      </c>
      <c r="CN23" s="66" t="n"/>
      <c r="CO23" s="67" t="inlineStr">
        <is>
          <t>睿</t>
        </is>
      </c>
      <c r="CP23" s="67" t="inlineStr">
        <is>
          <t>睿</t>
        </is>
      </c>
      <c r="CQ23" s="66" t="inlineStr">
        <is>
          <t>曜</t>
        </is>
      </c>
      <c r="CR23" s="67" t="inlineStr">
        <is>
          <t>曜</t>
        </is>
      </c>
      <c r="CS23" s="67" t="inlineStr">
        <is>
          <t>休</t>
        </is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5" t="inlineStr"/>
      <c r="D24" s="16" t="inlineStr"/>
      <c r="E24" s="66" t="n"/>
      <c r="F24" s="67" t="n"/>
      <c r="G24" s="67" t="n"/>
      <c r="H24" s="66" t="n"/>
      <c r="I24" s="67" t="inlineStr">
        <is>
          <t>悅</t>
        </is>
      </c>
      <c r="J24" s="67" t="inlineStr">
        <is>
          <t>悅</t>
        </is>
      </c>
      <c r="K24" s="66" t="n"/>
      <c r="L24" s="67" t="n"/>
      <c r="M24" s="67" t="inlineStr">
        <is>
          <t>休</t>
        </is>
      </c>
      <c r="N24" s="66" t="inlineStr">
        <is>
          <t>休</t>
        </is>
      </c>
      <c r="O24" s="67" t="inlineStr">
        <is>
          <t>休</t>
        </is>
      </c>
      <c r="P24" s="67" t="inlineStr">
        <is>
          <t>休</t>
        </is>
      </c>
      <c r="Q24" s="66" t="n"/>
      <c r="R24" s="67" t="n"/>
      <c r="S24" s="67" t="n"/>
      <c r="T24" s="66" t="n"/>
      <c r="U24" s="67" t="n"/>
      <c r="V24" s="67" t="n"/>
      <c r="W24" s="66" t="n"/>
      <c r="X24" s="67" t="n"/>
      <c r="Y24" s="67" t="n"/>
      <c r="Z24" s="66" t="n"/>
      <c r="AA24" s="67" t="n"/>
      <c r="AB24" s="67" t="n"/>
      <c r="AC24" s="66" t="inlineStr">
        <is>
          <t>國</t>
        </is>
      </c>
      <c r="AD24" s="67" t="inlineStr">
        <is>
          <t>國</t>
        </is>
      </c>
      <c r="AE24" s="67" t="inlineStr">
        <is>
          <t>國</t>
        </is>
      </c>
      <c r="AF24" s="66" t="inlineStr">
        <is>
          <t>國</t>
        </is>
      </c>
      <c r="AG24" s="67" t="inlineStr">
        <is>
          <t>國</t>
        </is>
      </c>
      <c r="AH24" s="67" t="inlineStr">
        <is>
          <t>國</t>
        </is>
      </c>
      <c r="AI24" s="66" t="inlineStr">
        <is>
          <t>休</t>
        </is>
      </c>
      <c r="AJ24" s="67" t="inlineStr">
        <is>
          <t>休</t>
        </is>
      </c>
      <c r="AK24" s="67" t="inlineStr">
        <is>
          <t>休</t>
        </is>
      </c>
      <c r="AL24" s="66" t="n"/>
      <c r="AM24" s="67" t="n"/>
      <c r="AN24" s="67" t="n"/>
      <c r="AO24" s="66" t="n"/>
      <c r="AP24" s="67" t="n"/>
      <c r="AQ24" s="67" t="n"/>
      <c r="AR24" s="66" t="n"/>
      <c r="AS24" s="67" t="n"/>
      <c r="AT24" s="67" t="n"/>
      <c r="AU24" s="66" t="n"/>
      <c r="AV24" s="67" t="n"/>
      <c r="AW24" s="67" t="n"/>
      <c r="AX24" s="66" t="n"/>
      <c r="AY24" s="67" t="inlineStr">
        <is>
          <t>悅</t>
        </is>
      </c>
      <c r="AZ24" s="67" t="inlineStr">
        <is>
          <t>悅</t>
        </is>
      </c>
      <c r="BA24" s="66" t="n"/>
      <c r="BB24" s="67" t="n"/>
      <c r="BC24" s="67" t="inlineStr">
        <is>
          <t>休</t>
        </is>
      </c>
      <c r="BD24" s="66" t="inlineStr">
        <is>
          <t>休</t>
        </is>
      </c>
      <c r="BE24" s="67" t="inlineStr">
        <is>
          <t>休</t>
        </is>
      </c>
      <c r="BF24" s="67" t="inlineStr">
        <is>
          <t>休</t>
        </is>
      </c>
      <c r="BG24" s="66" t="n"/>
      <c r="BH24" s="67" t="n"/>
      <c r="BI24" s="67" t="n"/>
      <c r="BJ24" s="66" t="n"/>
      <c r="BK24" s="67" t="n"/>
      <c r="BL24" s="67" t="n"/>
      <c r="BM24" s="66" t="n"/>
      <c r="BN24" s="67" t="n"/>
      <c r="BO24" s="67" t="n"/>
      <c r="BP24" s="66" t="n"/>
      <c r="BQ24" s="67" t="n"/>
      <c r="BR24" s="67" t="n"/>
      <c r="BS24" s="66" t="n"/>
      <c r="BT24" s="67" t="inlineStr">
        <is>
          <t>悅</t>
        </is>
      </c>
      <c r="BU24" s="67" t="inlineStr">
        <is>
          <t>悅</t>
        </is>
      </c>
      <c r="BV24" s="66" t="n"/>
      <c r="BW24" s="67" t="n"/>
      <c r="BX24" s="67" t="inlineStr">
        <is>
          <t>休</t>
        </is>
      </c>
      <c r="BY24" s="66" t="inlineStr">
        <is>
          <t>國</t>
        </is>
      </c>
      <c r="BZ24" s="67" t="inlineStr">
        <is>
          <t>國</t>
        </is>
      </c>
      <c r="CA24" s="67" t="inlineStr">
        <is>
          <t>國</t>
        </is>
      </c>
      <c r="CB24" s="66" t="inlineStr">
        <is>
          <t>國</t>
        </is>
      </c>
      <c r="CC24" s="67" t="inlineStr">
        <is>
          <t>國</t>
        </is>
      </c>
      <c r="CD24" s="67" t="inlineStr">
        <is>
          <t>國</t>
        </is>
      </c>
      <c r="CE24" s="66" t="n"/>
      <c r="CF24" s="67" t="n"/>
      <c r="CG24" s="67" t="n"/>
      <c r="CH24" s="66" t="n"/>
      <c r="CI24" s="67" t="n"/>
      <c r="CJ24" s="67" t="n"/>
      <c r="CK24" s="66" t="n"/>
      <c r="CL24" s="67" t="n"/>
      <c r="CM24" s="67" t="n"/>
      <c r="CN24" s="66" t="n"/>
      <c r="CO24" s="67" t="inlineStr">
        <is>
          <t>悅</t>
        </is>
      </c>
      <c r="CP24" s="67" t="inlineStr">
        <is>
          <t>悅</t>
        </is>
      </c>
      <c r="CQ24" s="66" t="n"/>
      <c r="CR24" s="67" t="n"/>
      <c r="CS24" s="67" t="inlineStr">
        <is>
          <t>休</t>
        </is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5" t="inlineStr"/>
      <c r="D25" s="16" t="inlineStr"/>
      <c r="E25" s="66" t="n"/>
      <c r="F25" s="67" t="n"/>
      <c r="G25" s="67" t="n"/>
      <c r="H25" s="66" t="inlineStr">
        <is>
          <t>睿</t>
        </is>
      </c>
      <c r="I25" s="67" t="inlineStr">
        <is>
          <t>寶</t>
        </is>
      </c>
      <c r="J25" s="67" t="inlineStr">
        <is>
          <t>寶</t>
        </is>
      </c>
      <c r="K25" s="66" t="inlineStr">
        <is>
          <t>睿</t>
        </is>
      </c>
      <c r="L25" s="67" t="inlineStr">
        <is>
          <t>睿</t>
        </is>
      </c>
      <c r="M25" s="67" t="inlineStr">
        <is>
          <t>休</t>
        </is>
      </c>
      <c r="N25" s="66" t="inlineStr">
        <is>
          <t>休</t>
        </is>
      </c>
      <c r="O25" s="67" t="inlineStr">
        <is>
          <t>休</t>
        </is>
      </c>
      <c r="P25" s="67" t="inlineStr">
        <is>
          <t>休</t>
        </is>
      </c>
      <c r="Q25" s="66" t="n"/>
      <c r="R25" s="67" t="n"/>
      <c r="S25" s="67" t="n"/>
      <c r="T25" s="66" t="inlineStr">
        <is>
          <t>睿</t>
        </is>
      </c>
      <c r="U25" s="67" t="inlineStr">
        <is>
          <t>睿</t>
        </is>
      </c>
      <c r="V25" s="67" t="inlineStr">
        <is>
          <t>睿</t>
        </is>
      </c>
      <c r="W25" s="66" t="inlineStr">
        <is>
          <t>睿</t>
        </is>
      </c>
      <c r="X25" s="67" t="inlineStr">
        <is>
          <t>睿</t>
        </is>
      </c>
      <c r="Y25" s="67" t="inlineStr">
        <is>
          <t>睿</t>
        </is>
      </c>
      <c r="Z25" s="66" t="n"/>
      <c r="AA25" s="67" t="n"/>
      <c r="AB25" s="67" t="n"/>
      <c r="AC25" s="66" t="inlineStr">
        <is>
          <t>國</t>
        </is>
      </c>
      <c r="AD25" s="67" t="inlineStr">
        <is>
          <t>國</t>
        </is>
      </c>
      <c r="AE25" s="67" t="inlineStr">
        <is>
          <t>國</t>
        </is>
      </c>
      <c r="AF25" s="66" t="inlineStr">
        <is>
          <t>國</t>
        </is>
      </c>
      <c r="AG25" s="67" t="inlineStr">
        <is>
          <t>國</t>
        </is>
      </c>
      <c r="AH25" s="67" t="inlineStr">
        <is>
          <t>國</t>
        </is>
      </c>
      <c r="AI25" s="66" t="inlineStr">
        <is>
          <t>休</t>
        </is>
      </c>
      <c r="AJ25" s="67" t="inlineStr">
        <is>
          <t>休</t>
        </is>
      </c>
      <c r="AK25" s="67" t="inlineStr">
        <is>
          <t>休</t>
        </is>
      </c>
      <c r="AL25" s="66" t="n"/>
      <c r="AM25" s="67" t="n"/>
      <c r="AN25" s="67" t="n"/>
      <c r="AO25" s="66" t="inlineStr">
        <is>
          <t>睿</t>
        </is>
      </c>
      <c r="AP25" s="67" t="inlineStr">
        <is>
          <t>睿</t>
        </is>
      </c>
      <c r="AQ25" s="67" t="inlineStr">
        <is>
          <t>睿</t>
        </is>
      </c>
      <c r="AR25" s="66" t="inlineStr">
        <is>
          <t>睿</t>
        </is>
      </c>
      <c r="AS25" s="67" t="inlineStr">
        <is>
          <t>睿</t>
        </is>
      </c>
      <c r="AT25" s="67" t="inlineStr">
        <is>
          <t>睿</t>
        </is>
      </c>
      <c r="AU25" s="66" t="n"/>
      <c r="AV25" s="67" t="n"/>
      <c r="AW25" s="67" t="n"/>
      <c r="AX25" s="66" t="inlineStr">
        <is>
          <t>睿</t>
        </is>
      </c>
      <c r="AY25" s="67" t="inlineStr">
        <is>
          <t>寶</t>
        </is>
      </c>
      <c r="AZ25" s="67" t="inlineStr">
        <is>
          <t>寶</t>
        </is>
      </c>
      <c r="BA25" s="66" t="inlineStr">
        <is>
          <t>睿</t>
        </is>
      </c>
      <c r="BB25" s="67" t="inlineStr">
        <is>
          <t>睿</t>
        </is>
      </c>
      <c r="BC25" s="67" t="inlineStr">
        <is>
          <t>休</t>
        </is>
      </c>
      <c r="BD25" s="66" t="inlineStr">
        <is>
          <t>休</t>
        </is>
      </c>
      <c r="BE25" s="67" t="inlineStr">
        <is>
          <t>休</t>
        </is>
      </c>
      <c r="BF25" s="67" t="inlineStr">
        <is>
          <t>休</t>
        </is>
      </c>
      <c r="BG25" s="66" t="n"/>
      <c r="BH25" s="67" t="n"/>
      <c r="BI25" s="67" t="n"/>
      <c r="BJ25" s="66" t="inlineStr">
        <is>
          <t>睿</t>
        </is>
      </c>
      <c r="BK25" s="67" t="inlineStr">
        <is>
          <t>睿</t>
        </is>
      </c>
      <c r="BL25" s="67" t="inlineStr">
        <is>
          <t>睿</t>
        </is>
      </c>
      <c r="BM25" s="66" t="inlineStr">
        <is>
          <t>睿</t>
        </is>
      </c>
      <c r="BN25" s="67" t="inlineStr">
        <is>
          <t>睿</t>
        </is>
      </c>
      <c r="BO25" s="67" t="inlineStr">
        <is>
          <t>睿</t>
        </is>
      </c>
      <c r="BP25" s="66" t="n"/>
      <c r="BQ25" s="67" t="n"/>
      <c r="BR25" s="67" t="n"/>
      <c r="BS25" s="66" t="inlineStr">
        <is>
          <t>睿</t>
        </is>
      </c>
      <c r="BT25" s="67" t="inlineStr">
        <is>
          <t>寶</t>
        </is>
      </c>
      <c r="BU25" s="67" t="inlineStr">
        <is>
          <t>寶</t>
        </is>
      </c>
      <c r="BV25" s="66" t="inlineStr">
        <is>
          <t>睿</t>
        </is>
      </c>
      <c r="BW25" s="67" t="inlineStr">
        <is>
          <t>睿</t>
        </is>
      </c>
      <c r="BX25" s="67" t="inlineStr">
        <is>
          <t>休</t>
        </is>
      </c>
      <c r="BY25" s="66" t="inlineStr">
        <is>
          <t>國</t>
        </is>
      </c>
      <c r="BZ25" s="67" t="inlineStr">
        <is>
          <t>國</t>
        </is>
      </c>
      <c r="CA25" s="67" t="inlineStr">
        <is>
          <t>國</t>
        </is>
      </c>
      <c r="CB25" s="66" t="inlineStr">
        <is>
          <t>國</t>
        </is>
      </c>
      <c r="CC25" s="67" t="inlineStr">
        <is>
          <t>國</t>
        </is>
      </c>
      <c r="CD25" s="67" t="inlineStr">
        <is>
          <t>國</t>
        </is>
      </c>
      <c r="CE25" s="66" t="inlineStr">
        <is>
          <t>睿</t>
        </is>
      </c>
      <c r="CF25" s="67" t="inlineStr">
        <is>
          <t>睿</t>
        </is>
      </c>
      <c r="CG25" s="67" t="inlineStr">
        <is>
          <t>睿</t>
        </is>
      </c>
      <c r="CH25" s="66" t="inlineStr">
        <is>
          <t>睿</t>
        </is>
      </c>
      <c r="CI25" s="67" t="inlineStr">
        <is>
          <t>睿</t>
        </is>
      </c>
      <c r="CJ25" s="67" t="inlineStr">
        <is>
          <t>睿</t>
        </is>
      </c>
      <c r="CK25" s="66" t="n"/>
      <c r="CL25" s="67" t="n"/>
      <c r="CM25" s="67" t="n"/>
      <c r="CN25" s="66" t="inlineStr">
        <is>
          <t>睿</t>
        </is>
      </c>
      <c r="CO25" s="67" t="inlineStr">
        <is>
          <t>寶</t>
        </is>
      </c>
      <c r="CP25" s="67" t="inlineStr">
        <is>
          <t>寶</t>
        </is>
      </c>
      <c r="CQ25" s="66" t="inlineStr">
        <is>
          <t>睿</t>
        </is>
      </c>
      <c r="CR25" s="67" t="inlineStr">
        <is>
          <t>睿</t>
        </is>
      </c>
      <c r="CS25" s="67" t="inlineStr">
        <is>
          <t>休</t>
        </is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5" t="inlineStr"/>
      <c r="D26" s="16" t="inlineStr"/>
      <c r="E26" s="66" t="inlineStr">
        <is>
          <t>悅</t>
        </is>
      </c>
      <c r="F26" s="67" t="inlineStr">
        <is>
          <t>悅</t>
        </is>
      </c>
      <c r="G26" s="67" t="inlineStr">
        <is>
          <t>悅</t>
        </is>
      </c>
      <c r="H26" s="66" t="n"/>
      <c r="I26" s="67" t="inlineStr">
        <is>
          <t>悅</t>
        </is>
      </c>
      <c r="J26" s="67" t="inlineStr">
        <is>
          <t>悅</t>
        </is>
      </c>
      <c r="K26" s="66" t="inlineStr">
        <is>
          <t>悅</t>
        </is>
      </c>
      <c r="L26" s="67" t="inlineStr">
        <is>
          <t>悅</t>
        </is>
      </c>
      <c r="M26" s="67" t="inlineStr">
        <is>
          <t>休</t>
        </is>
      </c>
      <c r="N26" s="66" t="inlineStr">
        <is>
          <t>休</t>
        </is>
      </c>
      <c r="O26" s="67" t="inlineStr">
        <is>
          <t>休</t>
        </is>
      </c>
      <c r="P26" s="67" t="inlineStr">
        <is>
          <t>休</t>
        </is>
      </c>
      <c r="Q26" s="66" t="n"/>
      <c r="R26" s="67" t="n"/>
      <c r="S26" s="67" t="n"/>
      <c r="T26" s="66" t="n"/>
      <c r="U26" s="67" t="inlineStr">
        <is>
          <t>悅</t>
        </is>
      </c>
      <c r="V26" s="67" t="inlineStr">
        <is>
          <t>悅</t>
        </is>
      </c>
      <c r="W26" s="66" t="inlineStr">
        <is>
          <t>悅</t>
        </is>
      </c>
      <c r="X26" s="67" t="inlineStr">
        <is>
          <t>悅</t>
        </is>
      </c>
      <c r="Y26" s="67" t="inlineStr">
        <is>
          <t>悅</t>
        </is>
      </c>
      <c r="Z26" s="66" t="inlineStr">
        <is>
          <t>悅</t>
        </is>
      </c>
      <c r="AA26" s="67" t="inlineStr">
        <is>
          <t>悅</t>
        </is>
      </c>
      <c r="AB26" s="67" t="inlineStr">
        <is>
          <t>悅</t>
        </is>
      </c>
      <c r="AC26" s="66" t="inlineStr">
        <is>
          <t>國</t>
        </is>
      </c>
      <c r="AD26" s="67" t="inlineStr">
        <is>
          <t>國</t>
        </is>
      </c>
      <c r="AE26" s="67" t="inlineStr">
        <is>
          <t>國</t>
        </is>
      </c>
      <c r="AF26" s="66" t="inlineStr">
        <is>
          <t>國</t>
        </is>
      </c>
      <c r="AG26" s="67" t="inlineStr">
        <is>
          <t>國</t>
        </is>
      </c>
      <c r="AH26" s="67" t="inlineStr">
        <is>
          <t>國</t>
        </is>
      </c>
      <c r="AI26" s="66" t="inlineStr">
        <is>
          <t>休</t>
        </is>
      </c>
      <c r="AJ26" s="67" t="inlineStr">
        <is>
          <t>休</t>
        </is>
      </c>
      <c r="AK26" s="67" t="inlineStr">
        <is>
          <t>休</t>
        </is>
      </c>
      <c r="AL26" s="66" t="n"/>
      <c r="AM26" s="67" t="n"/>
      <c r="AN26" s="67" t="n"/>
      <c r="AO26" s="66" t="n"/>
      <c r="AP26" s="67" t="inlineStr">
        <is>
          <t>悅</t>
        </is>
      </c>
      <c r="AQ26" s="67" t="inlineStr">
        <is>
          <t>悅</t>
        </is>
      </c>
      <c r="AR26" s="66" t="inlineStr">
        <is>
          <t>悅</t>
        </is>
      </c>
      <c r="AS26" s="67" t="inlineStr">
        <is>
          <t>悅</t>
        </is>
      </c>
      <c r="AT26" s="67" t="inlineStr">
        <is>
          <t>悅</t>
        </is>
      </c>
      <c r="AU26" s="66" t="inlineStr">
        <is>
          <t>悅</t>
        </is>
      </c>
      <c r="AV26" s="67" t="inlineStr">
        <is>
          <t>悅</t>
        </is>
      </c>
      <c r="AW26" s="67" t="inlineStr">
        <is>
          <t>悅</t>
        </is>
      </c>
      <c r="AX26" s="66" t="n"/>
      <c r="AY26" s="67" t="inlineStr">
        <is>
          <t>悅</t>
        </is>
      </c>
      <c r="AZ26" s="67" t="inlineStr">
        <is>
          <t>悅</t>
        </is>
      </c>
      <c r="BA26" s="66" t="inlineStr">
        <is>
          <t>悅</t>
        </is>
      </c>
      <c r="BB26" s="67" t="inlineStr">
        <is>
          <t>悅</t>
        </is>
      </c>
      <c r="BC26" s="67" t="inlineStr">
        <is>
          <t>休</t>
        </is>
      </c>
      <c r="BD26" s="66" t="inlineStr">
        <is>
          <t>休</t>
        </is>
      </c>
      <c r="BE26" s="67" t="inlineStr">
        <is>
          <t>休</t>
        </is>
      </c>
      <c r="BF26" s="67" t="inlineStr">
        <is>
          <t>休</t>
        </is>
      </c>
      <c r="BG26" s="66" t="n"/>
      <c r="BH26" s="67" t="n"/>
      <c r="BI26" s="67" t="n"/>
      <c r="BJ26" s="66" t="n"/>
      <c r="BK26" s="67" t="inlineStr">
        <is>
          <t>悅</t>
        </is>
      </c>
      <c r="BL26" s="67" t="inlineStr">
        <is>
          <t>悅</t>
        </is>
      </c>
      <c r="BM26" s="66" t="inlineStr">
        <is>
          <t>悅</t>
        </is>
      </c>
      <c r="BN26" s="67" t="inlineStr">
        <is>
          <t>悅</t>
        </is>
      </c>
      <c r="BO26" s="67" t="inlineStr">
        <is>
          <t>悅</t>
        </is>
      </c>
      <c r="BP26" s="66" t="inlineStr">
        <is>
          <t>悅</t>
        </is>
      </c>
      <c r="BQ26" s="67" t="inlineStr">
        <is>
          <t>悅</t>
        </is>
      </c>
      <c r="BR26" s="67" t="inlineStr">
        <is>
          <t>悅</t>
        </is>
      </c>
      <c r="BS26" s="66" t="n"/>
      <c r="BT26" s="67" t="inlineStr">
        <is>
          <t>悅</t>
        </is>
      </c>
      <c r="BU26" s="67" t="inlineStr">
        <is>
          <t>悅</t>
        </is>
      </c>
      <c r="BV26" s="66" t="inlineStr">
        <is>
          <t>悅</t>
        </is>
      </c>
      <c r="BW26" s="67" t="inlineStr">
        <is>
          <t>悅</t>
        </is>
      </c>
      <c r="BX26" s="67" t="inlineStr">
        <is>
          <t>休</t>
        </is>
      </c>
      <c r="BY26" s="66" t="inlineStr">
        <is>
          <t>國</t>
        </is>
      </c>
      <c r="BZ26" s="67" t="inlineStr">
        <is>
          <t>國</t>
        </is>
      </c>
      <c r="CA26" s="67" t="inlineStr">
        <is>
          <t>國</t>
        </is>
      </c>
      <c r="CB26" s="66" t="inlineStr">
        <is>
          <t>國</t>
        </is>
      </c>
      <c r="CC26" s="67" t="inlineStr">
        <is>
          <t>國</t>
        </is>
      </c>
      <c r="CD26" s="67" t="inlineStr">
        <is>
          <t>國</t>
        </is>
      </c>
      <c r="CE26" s="66" t="n"/>
      <c r="CF26" s="67" t="inlineStr">
        <is>
          <t>悅</t>
        </is>
      </c>
      <c r="CG26" s="67" t="inlineStr">
        <is>
          <t>悅</t>
        </is>
      </c>
      <c r="CH26" s="66" t="inlineStr">
        <is>
          <t>悅</t>
        </is>
      </c>
      <c r="CI26" s="67" t="inlineStr">
        <is>
          <t>悅</t>
        </is>
      </c>
      <c r="CJ26" s="67" t="inlineStr">
        <is>
          <t>悅</t>
        </is>
      </c>
      <c r="CK26" s="66" t="inlineStr">
        <is>
          <t>悅</t>
        </is>
      </c>
      <c r="CL26" s="67" t="inlineStr">
        <is>
          <t>悅</t>
        </is>
      </c>
      <c r="CM26" s="67" t="inlineStr">
        <is>
          <t>悅</t>
        </is>
      </c>
      <c r="CN26" s="66" t="n"/>
      <c r="CO26" s="67" t="inlineStr">
        <is>
          <t>悅</t>
        </is>
      </c>
      <c r="CP26" s="67" t="inlineStr">
        <is>
          <t>悅</t>
        </is>
      </c>
      <c r="CQ26" s="66" t="inlineStr">
        <is>
          <t>悅</t>
        </is>
      </c>
      <c r="CR26" s="67" t="inlineStr">
        <is>
          <t>悅</t>
        </is>
      </c>
      <c r="CS26" s="67" t="inlineStr">
        <is>
          <t>休</t>
        </is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5" t="inlineStr">
        <is>
          <t>兒童</t>
        </is>
      </c>
      <c r="D27" s="16" t="inlineStr">
        <is>
          <t>寶貝牙院長</t>
        </is>
      </c>
      <c r="E27" s="66" t="n"/>
      <c r="F27" s="67" t="n"/>
      <c r="G27" s="67" t="n"/>
      <c r="H27" s="66" t="n"/>
      <c r="I27" s="67" t="n"/>
      <c r="J27" s="67" t="n"/>
      <c r="K27" s="66" t="inlineStr">
        <is>
          <t>寶</t>
        </is>
      </c>
      <c r="L27" s="67" t="inlineStr">
        <is>
          <t>寶</t>
        </is>
      </c>
      <c r="M27" s="67" t="inlineStr">
        <is>
          <t>休</t>
        </is>
      </c>
      <c r="N27" s="66" t="inlineStr">
        <is>
          <t>休</t>
        </is>
      </c>
      <c r="O27" s="67" t="inlineStr">
        <is>
          <t>休</t>
        </is>
      </c>
      <c r="P27" s="67" t="inlineStr">
        <is>
          <t>休</t>
        </is>
      </c>
      <c r="Q27" s="66" t="n"/>
      <c r="R27" s="67" t="n"/>
      <c r="S27" s="67" t="n"/>
      <c r="T27" s="66" t="n"/>
      <c r="U27" s="67" t="n"/>
      <c r="V27" s="67" t="n"/>
      <c r="W27" s="66" t="n"/>
      <c r="X27" s="67" t="inlineStr">
        <is>
          <t>寶</t>
        </is>
      </c>
      <c r="Y27" s="67" t="inlineStr">
        <is>
          <t>寶</t>
        </is>
      </c>
      <c r="Z27" s="66" t="n"/>
      <c r="AA27" s="67" t="n"/>
      <c r="AB27" s="67" t="n"/>
      <c r="AC27" s="66" t="inlineStr">
        <is>
          <t>國</t>
        </is>
      </c>
      <c r="AD27" s="67" t="inlineStr">
        <is>
          <t>國</t>
        </is>
      </c>
      <c r="AE27" s="67" t="inlineStr">
        <is>
          <t>國</t>
        </is>
      </c>
      <c r="AF27" s="66" t="inlineStr">
        <is>
          <t>國</t>
        </is>
      </c>
      <c r="AG27" s="67" t="inlineStr">
        <is>
          <t>國</t>
        </is>
      </c>
      <c r="AH27" s="67" t="inlineStr">
        <is>
          <t>國</t>
        </is>
      </c>
      <c r="AI27" s="66" t="inlineStr">
        <is>
          <t>休</t>
        </is>
      </c>
      <c r="AJ27" s="67" t="inlineStr">
        <is>
          <t>休</t>
        </is>
      </c>
      <c r="AK27" s="67" t="inlineStr">
        <is>
          <t>休</t>
        </is>
      </c>
      <c r="AL27" s="66" t="n"/>
      <c r="AM27" s="67" t="n"/>
      <c r="AN27" s="67" t="n"/>
      <c r="AO27" s="66" t="n"/>
      <c r="AP27" s="67" t="n"/>
      <c r="AQ27" s="67" t="n"/>
      <c r="AR27" s="66" t="n"/>
      <c r="AS27" s="67" t="inlineStr">
        <is>
          <t>寶</t>
        </is>
      </c>
      <c r="AT27" s="67" t="inlineStr">
        <is>
          <t>寶</t>
        </is>
      </c>
      <c r="AU27" s="66" t="n"/>
      <c r="AV27" s="67" t="n"/>
      <c r="AW27" s="67" t="n"/>
      <c r="AX27" s="66" t="n"/>
      <c r="AY27" s="67" t="n"/>
      <c r="AZ27" s="67" t="n"/>
      <c r="BA27" s="66" t="inlineStr">
        <is>
          <t>寶</t>
        </is>
      </c>
      <c r="BB27" s="67" t="inlineStr">
        <is>
          <t>寶</t>
        </is>
      </c>
      <c r="BC27" s="67" t="inlineStr">
        <is>
          <t>休</t>
        </is>
      </c>
      <c r="BD27" s="66" t="inlineStr">
        <is>
          <t>休</t>
        </is>
      </c>
      <c r="BE27" s="67" t="inlineStr">
        <is>
          <t>休</t>
        </is>
      </c>
      <c r="BF27" s="67" t="inlineStr">
        <is>
          <t>休</t>
        </is>
      </c>
      <c r="BG27" s="66" t="n"/>
      <c r="BH27" s="67" t="n"/>
      <c r="BI27" s="67" t="n"/>
      <c r="BJ27" s="66" t="n"/>
      <c r="BK27" s="67" t="n"/>
      <c r="BL27" s="67" t="n"/>
      <c r="BM27" s="66" t="n"/>
      <c r="BN27" s="67" t="inlineStr">
        <is>
          <t>寶</t>
        </is>
      </c>
      <c r="BO27" s="67" t="inlineStr">
        <is>
          <t>寶</t>
        </is>
      </c>
      <c r="BP27" s="66" t="n"/>
      <c r="BQ27" s="67" t="n"/>
      <c r="BR27" s="67" t="n"/>
      <c r="BS27" s="66" t="n"/>
      <c r="BT27" s="67" t="n"/>
      <c r="BU27" s="67" t="n"/>
      <c r="BV27" s="66" t="inlineStr">
        <is>
          <t>寶</t>
        </is>
      </c>
      <c r="BW27" s="67" t="inlineStr">
        <is>
          <t>寶</t>
        </is>
      </c>
      <c r="BX27" s="67" t="inlineStr">
        <is>
          <t>休</t>
        </is>
      </c>
      <c r="BY27" s="66" t="inlineStr">
        <is>
          <t>國</t>
        </is>
      </c>
      <c r="BZ27" s="67" t="inlineStr">
        <is>
          <t>國</t>
        </is>
      </c>
      <c r="CA27" s="67" t="inlineStr">
        <is>
          <t>國</t>
        </is>
      </c>
      <c r="CB27" s="66" t="inlineStr">
        <is>
          <t>國</t>
        </is>
      </c>
      <c r="CC27" s="67" t="inlineStr">
        <is>
          <t>國</t>
        </is>
      </c>
      <c r="CD27" s="67" t="inlineStr">
        <is>
          <t>國</t>
        </is>
      </c>
      <c r="CE27" s="66" t="n"/>
      <c r="CF27" s="67" t="n"/>
      <c r="CG27" s="67" t="n"/>
      <c r="CH27" s="66" t="n"/>
      <c r="CI27" s="67" t="inlineStr">
        <is>
          <t>寶</t>
        </is>
      </c>
      <c r="CJ27" s="67" t="inlineStr">
        <is>
          <t>寶</t>
        </is>
      </c>
      <c r="CK27" s="66" t="n"/>
      <c r="CL27" s="67" t="n"/>
      <c r="CM27" s="67" t="n"/>
      <c r="CN27" s="66" t="n"/>
      <c r="CO27" s="67" t="n"/>
      <c r="CP27" s="67" t="n"/>
      <c r="CQ27" s="66" t="inlineStr">
        <is>
          <t>寶</t>
        </is>
      </c>
      <c r="CR27" s="67" t="inlineStr">
        <is>
          <t>寶</t>
        </is>
      </c>
      <c r="CS27" s="67" t="inlineStr">
        <is>
          <t>休</t>
        </is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5" t="inlineStr">
        <is>
          <t>口外</t>
        </is>
      </c>
      <c r="D28" s="16" t="inlineStr"/>
      <c r="E28" s="66" t="n"/>
      <c r="F28" s="67" t="n"/>
      <c r="G28" s="67" t="n"/>
      <c r="H28" s="66" t="n"/>
      <c r="I28" s="67" t="n"/>
      <c r="J28" s="67" t="n"/>
      <c r="K28" s="66" t="inlineStr">
        <is>
          <t>寶</t>
        </is>
      </c>
      <c r="L28" s="67" t="inlineStr">
        <is>
          <t>寶</t>
        </is>
      </c>
      <c r="M28" s="67" t="inlineStr">
        <is>
          <t>休</t>
        </is>
      </c>
      <c r="N28" s="66" t="inlineStr">
        <is>
          <t>休</t>
        </is>
      </c>
      <c r="O28" s="67" t="inlineStr">
        <is>
          <t>休</t>
        </is>
      </c>
      <c r="P28" s="67" t="inlineStr">
        <is>
          <t>休</t>
        </is>
      </c>
      <c r="Q28" s="66" t="n"/>
      <c r="R28" s="67" t="n"/>
      <c r="S28" s="67" t="n"/>
      <c r="T28" s="66" t="n"/>
      <c r="U28" s="67" t="n"/>
      <c r="V28" s="67" t="n"/>
      <c r="W28" s="66" t="n"/>
      <c r="X28" s="67" t="n"/>
      <c r="Y28" s="67" t="n"/>
      <c r="Z28" s="66" t="n"/>
      <c r="AA28" s="67" t="n"/>
      <c r="AB28" s="67" t="n"/>
      <c r="AC28" s="66" t="inlineStr">
        <is>
          <t>國</t>
        </is>
      </c>
      <c r="AD28" s="67" t="inlineStr">
        <is>
          <t>國</t>
        </is>
      </c>
      <c r="AE28" s="67" t="inlineStr">
        <is>
          <t>國</t>
        </is>
      </c>
      <c r="AF28" s="66" t="inlineStr">
        <is>
          <t>國</t>
        </is>
      </c>
      <c r="AG28" s="67" t="inlineStr">
        <is>
          <t>國</t>
        </is>
      </c>
      <c r="AH28" s="67" t="inlineStr">
        <is>
          <t>國</t>
        </is>
      </c>
      <c r="AI28" s="66" t="inlineStr">
        <is>
          <t>休</t>
        </is>
      </c>
      <c r="AJ28" s="67" t="inlineStr">
        <is>
          <t>休</t>
        </is>
      </c>
      <c r="AK28" s="67" t="inlineStr">
        <is>
          <t>休</t>
        </is>
      </c>
      <c r="AL28" s="66" t="n"/>
      <c r="AM28" s="67" t="n"/>
      <c r="AN28" s="67" t="n"/>
      <c r="AO28" s="66" t="n"/>
      <c r="AP28" s="67" t="n"/>
      <c r="AQ28" s="67" t="n"/>
      <c r="AR28" s="66" t="n"/>
      <c r="AS28" s="67" t="n"/>
      <c r="AT28" s="67" t="n"/>
      <c r="AU28" s="66" t="n"/>
      <c r="AV28" s="67" t="n"/>
      <c r="AW28" s="67" t="n"/>
      <c r="AX28" s="66" t="n"/>
      <c r="AY28" s="67" t="n"/>
      <c r="AZ28" s="67" t="n"/>
      <c r="BA28" s="66" t="inlineStr">
        <is>
          <t>寶</t>
        </is>
      </c>
      <c r="BB28" s="67" t="inlineStr">
        <is>
          <t>寶</t>
        </is>
      </c>
      <c r="BC28" s="67" t="inlineStr">
        <is>
          <t>休</t>
        </is>
      </c>
      <c r="BD28" s="66" t="inlineStr">
        <is>
          <t>休</t>
        </is>
      </c>
      <c r="BE28" s="67" t="inlineStr">
        <is>
          <t>休</t>
        </is>
      </c>
      <c r="BF28" s="67" t="inlineStr">
        <is>
          <t>休</t>
        </is>
      </c>
      <c r="BG28" s="66" t="n"/>
      <c r="BH28" s="67" t="n"/>
      <c r="BI28" s="67" t="n"/>
      <c r="BJ28" s="66" t="n"/>
      <c r="BK28" s="67" t="n"/>
      <c r="BL28" s="67" t="n"/>
      <c r="BM28" s="66" t="n"/>
      <c r="BN28" s="67" t="n"/>
      <c r="BO28" s="67" t="n"/>
      <c r="BP28" s="66" t="n"/>
      <c r="BQ28" s="67" t="n"/>
      <c r="BR28" s="67" t="n"/>
      <c r="BS28" s="66" t="n"/>
      <c r="BT28" s="67" t="n"/>
      <c r="BU28" s="67" t="n"/>
      <c r="BV28" s="66" t="inlineStr">
        <is>
          <t>寶</t>
        </is>
      </c>
      <c r="BW28" s="67" t="inlineStr">
        <is>
          <t>寶</t>
        </is>
      </c>
      <c r="BX28" s="67" t="inlineStr">
        <is>
          <t>休</t>
        </is>
      </c>
      <c r="BY28" s="66" t="inlineStr">
        <is>
          <t>國</t>
        </is>
      </c>
      <c r="BZ28" s="67" t="inlineStr">
        <is>
          <t>國</t>
        </is>
      </c>
      <c r="CA28" s="67" t="inlineStr">
        <is>
          <t>國</t>
        </is>
      </c>
      <c r="CB28" s="66" t="inlineStr">
        <is>
          <t>國</t>
        </is>
      </c>
      <c r="CC28" s="67" t="inlineStr">
        <is>
          <t>國</t>
        </is>
      </c>
      <c r="CD28" s="67" t="inlineStr">
        <is>
          <t>國</t>
        </is>
      </c>
      <c r="CE28" s="66" t="n"/>
      <c r="CF28" s="67" t="n"/>
      <c r="CG28" s="67" t="n"/>
      <c r="CH28" s="66" t="n"/>
      <c r="CI28" s="67" t="n"/>
      <c r="CJ28" s="67" t="n"/>
      <c r="CK28" s="66" t="n"/>
      <c r="CL28" s="67" t="n"/>
      <c r="CM28" s="67" t="n"/>
      <c r="CN28" s="66" t="n"/>
      <c r="CO28" s="67" t="n"/>
      <c r="CP28" s="67" t="n"/>
      <c r="CQ28" s="66" t="inlineStr">
        <is>
          <t>寶</t>
        </is>
      </c>
      <c r="CR28" s="67" t="inlineStr">
        <is>
          <t>寶</t>
        </is>
      </c>
      <c r="CS28" s="67" t="inlineStr">
        <is>
          <t>休</t>
        </is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5" t="inlineStr">
        <is>
          <t>兒童</t>
        </is>
      </c>
      <c r="D29" s="16" t="inlineStr"/>
      <c r="E29" s="66" t="n"/>
      <c r="F29" s="67" t="n"/>
      <c r="G29" s="67" t="n"/>
      <c r="H29" s="66" t="n"/>
      <c r="I29" s="67" t="inlineStr">
        <is>
          <t>寶</t>
        </is>
      </c>
      <c r="J29" s="67" t="inlineStr">
        <is>
          <t>寶</t>
        </is>
      </c>
      <c r="K29" s="66" t="n"/>
      <c r="L29" s="67" t="n"/>
      <c r="M29" s="67" t="inlineStr">
        <is>
          <t>休</t>
        </is>
      </c>
      <c r="N29" s="66" t="inlineStr">
        <is>
          <t>休</t>
        </is>
      </c>
      <c r="O29" s="67" t="inlineStr">
        <is>
          <t>休</t>
        </is>
      </c>
      <c r="P29" s="67" t="inlineStr">
        <is>
          <t>休</t>
        </is>
      </c>
      <c r="Q29" s="66" t="n"/>
      <c r="R29" s="67" t="inlineStr">
        <is>
          <t>寶</t>
        </is>
      </c>
      <c r="S29" s="67" t="inlineStr">
        <is>
          <t>寶</t>
        </is>
      </c>
      <c r="T29" s="66" t="n"/>
      <c r="U29" s="67" t="n"/>
      <c r="V29" s="67" t="n"/>
      <c r="W29" s="66" t="n"/>
      <c r="X29" s="67" t="n"/>
      <c r="Y29" s="67" t="n"/>
      <c r="Z29" s="66" t="n"/>
      <c r="AA29" s="67" t="n"/>
      <c r="AB29" s="67" t="n"/>
      <c r="AC29" s="66" t="inlineStr">
        <is>
          <t>國</t>
        </is>
      </c>
      <c r="AD29" s="67" t="inlineStr">
        <is>
          <t>國</t>
        </is>
      </c>
      <c r="AE29" s="67" t="inlineStr">
        <is>
          <t>國</t>
        </is>
      </c>
      <c r="AF29" s="66" t="inlineStr">
        <is>
          <t>國</t>
        </is>
      </c>
      <c r="AG29" s="67" t="inlineStr">
        <is>
          <t>國</t>
        </is>
      </c>
      <c r="AH29" s="67" t="inlineStr">
        <is>
          <t>國</t>
        </is>
      </c>
      <c r="AI29" s="66" t="inlineStr">
        <is>
          <t>休</t>
        </is>
      </c>
      <c r="AJ29" s="67" t="inlineStr">
        <is>
          <t>休</t>
        </is>
      </c>
      <c r="AK29" s="67" t="inlineStr">
        <is>
          <t>休</t>
        </is>
      </c>
      <c r="AL29" s="66" t="n"/>
      <c r="AM29" s="67" t="inlineStr">
        <is>
          <t>寶</t>
        </is>
      </c>
      <c r="AN29" s="67" t="inlineStr">
        <is>
          <t>寶</t>
        </is>
      </c>
      <c r="AO29" s="66" t="n"/>
      <c r="AP29" s="67" t="n"/>
      <c r="AQ29" s="67" t="n"/>
      <c r="AR29" s="66" t="n"/>
      <c r="AS29" s="67" t="inlineStr">
        <is>
          <t>匯</t>
        </is>
      </c>
      <c r="AT29" s="67" t="inlineStr">
        <is>
          <t>匯</t>
        </is>
      </c>
      <c r="AU29" s="66" t="n"/>
      <c r="AV29" s="67" t="n"/>
      <c r="AW29" s="67" t="n"/>
      <c r="AX29" s="66" t="n"/>
      <c r="AY29" s="67" t="inlineStr">
        <is>
          <t>寶</t>
        </is>
      </c>
      <c r="AZ29" s="67" t="inlineStr">
        <is>
          <t>寶</t>
        </is>
      </c>
      <c r="BA29" s="66" t="n"/>
      <c r="BB29" s="67" t="n"/>
      <c r="BC29" s="67" t="inlineStr">
        <is>
          <t>休</t>
        </is>
      </c>
      <c r="BD29" s="66" t="inlineStr">
        <is>
          <t>休</t>
        </is>
      </c>
      <c r="BE29" s="67" t="inlineStr">
        <is>
          <t>休</t>
        </is>
      </c>
      <c r="BF29" s="67" t="inlineStr">
        <is>
          <t>休</t>
        </is>
      </c>
      <c r="BG29" s="66" t="n"/>
      <c r="BH29" s="67" t="inlineStr">
        <is>
          <t>寶</t>
        </is>
      </c>
      <c r="BI29" s="67" t="inlineStr">
        <is>
          <t>寶</t>
        </is>
      </c>
      <c r="BJ29" s="66" t="n"/>
      <c r="BK29" s="67" t="n"/>
      <c r="BL29" s="67" t="n"/>
      <c r="BM29" s="66" t="n"/>
      <c r="BN29" s="67" t="n"/>
      <c r="BO29" s="67" t="n"/>
      <c r="BP29" s="66" t="n"/>
      <c r="BQ29" s="67" t="n"/>
      <c r="BR29" s="67" t="n"/>
      <c r="BS29" s="66" t="n"/>
      <c r="BT29" s="67" t="inlineStr">
        <is>
          <t>寶</t>
        </is>
      </c>
      <c r="BU29" s="67" t="inlineStr">
        <is>
          <t>寶</t>
        </is>
      </c>
      <c r="BV29" s="66" t="n"/>
      <c r="BW29" s="67" t="n"/>
      <c r="BX29" s="67" t="inlineStr">
        <is>
          <t>休</t>
        </is>
      </c>
      <c r="BY29" s="66" t="inlineStr">
        <is>
          <t>國</t>
        </is>
      </c>
      <c r="BZ29" s="67" t="inlineStr">
        <is>
          <t>國</t>
        </is>
      </c>
      <c r="CA29" s="67" t="inlineStr">
        <is>
          <t>國</t>
        </is>
      </c>
      <c r="CB29" s="66" t="inlineStr">
        <is>
          <t>國</t>
        </is>
      </c>
      <c r="CC29" s="67" t="inlineStr">
        <is>
          <t>國</t>
        </is>
      </c>
      <c r="CD29" s="67" t="inlineStr">
        <is>
          <t>國</t>
        </is>
      </c>
      <c r="CE29" s="66" t="n"/>
      <c r="CF29" s="67" t="n"/>
      <c r="CG29" s="67" t="n"/>
      <c r="CH29" s="66" t="n"/>
      <c r="CI29" s="67" t="inlineStr">
        <is>
          <t>匯</t>
        </is>
      </c>
      <c r="CJ29" s="67" t="inlineStr">
        <is>
          <t>匯</t>
        </is>
      </c>
      <c r="CK29" s="66" t="n"/>
      <c r="CL29" s="67" t="n"/>
      <c r="CM29" s="67" t="n"/>
      <c r="CN29" s="66" t="n"/>
      <c r="CO29" s="67" t="inlineStr">
        <is>
          <t>寶</t>
        </is>
      </c>
      <c r="CP29" s="67" t="inlineStr">
        <is>
          <t>寶</t>
        </is>
      </c>
      <c r="CQ29" s="66" t="n"/>
      <c r="CR29" s="67" t="n"/>
      <c r="CS29" s="67" t="inlineStr">
        <is>
          <t>休</t>
        </is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5" t="inlineStr"/>
      <c r="D30" s="16" t="inlineStr"/>
      <c r="E30" s="66" t="n"/>
      <c r="F30" s="67" t="n"/>
      <c r="G30" s="67" t="n"/>
      <c r="H30" s="66" t="inlineStr">
        <is>
          <t>睿</t>
        </is>
      </c>
      <c r="I30" s="67" t="inlineStr">
        <is>
          <t>睿</t>
        </is>
      </c>
      <c r="J30" s="67" t="inlineStr">
        <is>
          <t>睿</t>
        </is>
      </c>
      <c r="K30" s="66" t="inlineStr">
        <is>
          <t>睿</t>
        </is>
      </c>
      <c r="L30" s="67" t="inlineStr">
        <is>
          <t>睿</t>
        </is>
      </c>
      <c r="M30" s="67" t="inlineStr">
        <is>
          <t>休</t>
        </is>
      </c>
      <c r="N30" s="66" t="inlineStr">
        <is>
          <t>休</t>
        </is>
      </c>
      <c r="O30" s="67" t="inlineStr">
        <is>
          <t>休</t>
        </is>
      </c>
      <c r="P30" s="67" t="inlineStr">
        <is>
          <t>休</t>
        </is>
      </c>
      <c r="Q30" s="66" t="inlineStr">
        <is>
          <t>睿</t>
        </is>
      </c>
      <c r="R30" s="67" t="n"/>
      <c r="S30" s="67" t="n"/>
      <c r="T30" s="66" t="n"/>
      <c r="U30" s="67" t="n"/>
      <c r="V30" s="67" t="n"/>
      <c r="W30" s="66" t="inlineStr">
        <is>
          <t>睿</t>
        </is>
      </c>
      <c r="X30" s="67" t="n"/>
      <c r="Y30" s="67" t="inlineStr">
        <is>
          <t>睿</t>
        </is>
      </c>
      <c r="Z30" s="66" t="n"/>
      <c r="AA30" s="67" t="n"/>
      <c r="AB30" s="67" t="n"/>
      <c r="AC30" s="66" t="inlineStr">
        <is>
          <t>國</t>
        </is>
      </c>
      <c r="AD30" s="67" t="inlineStr">
        <is>
          <t>國</t>
        </is>
      </c>
      <c r="AE30" s="67" t="inlineStr">
        <is>
          <t>國</t>
        </is>
      </c>
      <c r="AF30" s="66" t="inlineStr">
        <is>
          <t>國</t>
        </is>
      </c>
      <c r="AG30" s="67" t="inlineStr">
        <is>
          <t>國</t>
        </is>
      </c>
      <c r="AH30" s="67" t="inlineStr">
        <is>
          <t>國</t>
        </is>
      </c>
      <c r="AI30" s="66" t="inlineStr">
        <is>
          <t>休</t>
        </is>
      </c>
      <c r="AJ30" s="67" t="inlineStr">
        <is>
          <t>休</t>
        </is>
      </c>
      <c r="AK30" s="67" t="inlineStr">
        <is>
          <t>休</t>
        </is>
      </c>
      <c r="AL30" s="66" t="inlineStr">
        <is>
          <t>睿</t>
        </is>
      </c>
      <c r="AM30" s="67" t="n"/>
      <c r="AN30" s="67" t="n"/>
      <c r="AO30" s="66" t="n"/>
      <c r="AP30" s="67" t="n"/>
      <c r="AQ30" s="67" t="n"/>
      <c r="AR30" s="66" t="inlineStr">
        <is>
          <t>睿</t>
        </is>
      </c>
      <c r="AS30" s="67" t="n"/>
      <c r="AT30" s="67" t="inlineStr">
        <is>
          <t>睿</t>
        </is>
      </c>
      <c r="AU30" s="66" t="n"/>
      <c r="AV30" s="67" t="n"/>
      <c r="AW30" s="67" t="n"/>
      <c r="AX30" s="66" t="inlineStr">
        <is>
          <t>睿</t>
        </is>
      </c>
      <c r="AY30" s="67" t="inlineStr">
        <is>
          <t>睿</t>
        </is>
      </c>
      <c r="AZ30" s="67" t="inlineStr">
        <is>
          <t>睿</t>
        </is>
      </c>
      <c r="BA30" s="66" t="inlineStr">
        <is>
          <t>睿</t>
        </is>
      </c>
      <c r="BB30" s="67" t="inlineStr">
        <is>
          <t>睿</t>
        </is>
      </c>
      <c r="BC30" s="67" t="inlineStr">
        <is>
          <t>休</t>
        </is>
      </c>
      <c r="BD30" s="66" t="inlineStr">
        <is>
          <t>休</t>
        </is>
      </c>
      <c r="BE30" s="67" t="inlineStr">
        <is>
          <t>休</t>
        </is>
      </c>
      <c r="BF30" s="67" t="inlineStr">
        <is>
          <t>休</t>
        </is>
      </c>
      <c r="BG30" s="66" t="inlineStr">
        <is>
          <t>睿</t>
        </is>
      </c>
      <c r="BH30" s="67" t="n"/>
      <c r="BI30" s="67" t="n"/>
      <c r="BJ30" s="66" t="n"/>
      <c r="BK30" s="67" t="n"/>
      <c r="BL30" s="67" t="n"/>
      <c r="BM30" s="66" t="inlineStr">
        <is>
          <t>睿</t>
        </is>
      </c>
      <c r="BN30" s="67" t="n"/>
      <c r="BO30" s="67" t="inlineStr">
        <is>
          <t>睿</t>
        </is>
      </c>
      <c r="BP30" s="66" t="n"/>
      <c r="BQ30" s="67" t="n"/>
      <c r="BR30" s="67" t="n"/>
      <c r="BS30" s="66" t="inlineStr">
        <is>
          <t>睿</t>
        </is>
      </c>
      <c r="BT30" s="67" t="inlineStr">
        <is>
          <t>睿</t>
        </is>
      </c>
      <c r="BU30" s="67" t="inlineStr">
        <is>
          <t>睿</t>
        </is>
      </c>
      <c r="BV30" s="66" t="inlineStr">
        <is>
          <t>睿</t>
        </is>
      </c>
      <c r="BW30" s="67" t="inlineStr">
        <is>
          <t>睿</t>
        </is>
      </c>
      <c r="BX30" s="67" t="inlineStr">
        <is>
          <t>休</t>
        </is>
      </c>
      <c r="BY30" s="66" t="inlineStr">
        <is>
          <t>國</t>
        </is>
      </c>
      <c r="BZ30" s="67" t="inlineStr">
        <is>
          <t>國</t>
        </is>
      </c>
      <c r="CA30" s="67" t="inlineStr">
        <is>
          <t>國</t>
        </is>
      </c>
      <c r="CB30" s="66" t="inlineStr">
        <is>
          <t>國</t>
        </is>
      </c>
      <c r="CC30" s="67" t="inlineStr">
        <is>
          <t>國</t>
        </is>
      </c>
      <c r="CD30" s="67" t="inlineStr">
        <is>
          <t>國</t>
        </is>
      </c>
      <c r="CE30" s="66" t="n"/>
      <c r="CF30" s="67" t="n"/>
      <c r="CG30" s="67" t="n"/>
      <c r="CH30" s="66" t="inlineStr">
        <is>
          <t>睿</t>
        </is>
      </c>
      <c r="CI30" s="67" t="n"/>
      <c r="CJ30" s="67" t="inlineStr">
        <is>
          <t>睿</t>
        </is>
      </c>
      <c r="CK30" s="66" t="n"/>
      <c r="CL30" s="67" t="n"/>
      <c r="CM30" s="67" t="n"/>
      <c r="CN30" s="66" t="inlineStr">
        <is>
          <t>睿</t>
        </is>
      </c>
      <c r="CO30" s="67" t="inlineStr">
        <is>
          <t>睿</t>
        </is>
      </c>
      <c r="CP30" s="67" t="inlineStr">
        <is>
          <t>睿</t>
        </is>
      </c>
      <c r="CQ30" s="66" t="inlineStr">
        <is>
          <t>睿</t>
        </is>
      </c>
      <c r="CR30" s="67" t="inlineStr">
        <is>
          <t>睿</t>
        </is>
      </c>
      <c r="CS30" s="67" t="inlineStr">
        <is>
          <t>休</t>
        </is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5" t="inlineStr"/>
      <c r="D31" s="16" t="inlineStr"/>
      <c r="E31" s="66" t="inlineStr">
        <is>
          <t>匯</t>
        </is>
      </c>
      <c r="F31" s="67" t="inlineStr">
        <is>
          <t>匯</t>
        </is>
      </c>
      <c r="G31" s="67" t="inlineStr">
        <is>
          <t>匯</t>
        </is>
      </c>
      <c r="H31" s="66" t="n"/>
      <c r="I31" s="67" t="n"/>
      <c r="J31" s="67" t="n"/>
      <c r="K31" s="66" t="n"/>
      <c r="L31" s="67" t="n"/>
      <c r="M31" s="67" t="inlineStr">
        <is>
          <t>休</t>
        </is>
      </c>
      <c r="N31" s="66" t="inlineStr">
        <is>
          <t>休</t>
        </is>
      </c>
      <c r="O31" s="67" t="inlineStr">
        <is>
          <t>休</t>
        </is>
      </c>
      <c r="P31" s="67" t="inlineStr">
        <is>
          <t>休</t>
        </is>
      </c>
      <c r="Q31" s="66" t="inlineStr">
        <is>
          <t>匯</t>
        </is>
      </c>
      <c r="R31" s="67" t="inlineStr">
        <is>
          <t>匯</t>
        </is>
      </c>
      <c r="S31" s="67" t="inlineStr">
        <is>
          <t>匯</t>
        </is>
      </c>
      <c r="T31" s="66" t="n"/>
      <c r="U31" s="67" t="n"/>
      <c r="V31" s="67" t="n"/>
      <c r="W31" s="66" t="n"/>
      <c r="X31" s="67" t="n"/>
      <c r="Y31" s="67" t="n"/>
      <c r="Z31" s="66" t="inlineStr">
        <is>
          <t>匯</t>
        </is>
      </c>
      <c r="AA31" s="67" t="inlineStr">
        <is>
          <t>匯</t>
        </is>
      </c>
      <c r="AB31" s="67" t="inlineStr">
        <is>
          <t>匯</t>
        </is>
      </c>
      <c r="AC31" s="66" t="inlineStr">
        <is>
          <t>國</t>
        </is>
      </c>
      <c r="AD31" s="67" t="inlineStr">
        <is>
          <t>國</t>
        </is>
      </c>
      <c r="AE31" s="67" t="inlineStr">
        <is>
          <t>國</t>
        </is>
      </c>
      <c r="AF31" s="66" t="inlineStr">
        <is>
          <t>國</t>
        </is>
      </c>
      <c r="AG31" s="67" t="inlineStr">
        <is>
          <t>國</t>
        </is>
      </c>
      <c r="AH31" s="67" t="inlineStr">
        <is>
          <t>國</t>
        </is>
      </c>
      <c r="AI31" s="66" t="inlineStr">
        <is>
          <t>休</t>
        </is>
      </c>
      <c r="AJ31" s="67" t="inlineStr">
        <is>
          <t>休</t>
        </is>
      </c>
      <c r="AK31" s="67" t="inlineStr">
        <is>
          <t>休</t>
        </is>
      </c>
      <c r="AL31" s="66" t="inlineStr">
        <is>
          <t>匯</t>
        </is>
      </c>
      <c r="AM31" s="67" t="inlineStr">
        <is>
          <t>匯</t>
        </is>
      </c>
      <c r="AN31" s="67" t="inlineStr">
        <is>
          <t>匯</t>
        </is>
      </c>
      <c r="AO31" s="66" t="n"/>
      <c r="AP31" s="67" t="n"/>
      <c r="AQ31" s="67" t="n"/>
      <c r="AR31" s="66" t="n"/>
      <c r="AS31" s="67" t="n"/>
      <c r="AT31" s="67" t="n"/>
      <c r="AU31" s="66" t="inlineStr">
        <is>
          <t>匯</t>
        </is>
      </c>
      <c r="AV31" s="67" t="inlineStr">
        <is>
          <t>匯</t>
        </is>
      </c>
      <c r="AW31" s="67" t="inlineStr">
        <is>
          <t>匯</t>
        </is>
      </c>
      <c r="AX31" s="66" t="n"/>
      <c r="AY31" s="67" t="n"/>
      <c r="AZ31" s="67" t="n"/>
      <c r="BA31" s="66" t="n"/>
      <c r="BB31" s="67" t="n"/>
      <c r="BC31" s="67" t="inlineStr">
        <is>
          <t>休</t>
        </is>
      </c>
      <c r="BD31" s="66" t="inlineStr">
        <is>
          <t>休</t>
        </is>
      </c>
      <c r="BE31" s="67" t="inlineStr">
        <is>
          <t>休</t>
        </is>
      </c>
      <c r="BF31" s="67" t="inlineStr">
        <is>
          <t>休</t>
        </is>
      </c>
      <c r="BG31" s="66" t="inlineStr">
        <is>
          <t>匯</t>
        </is>
      </c>
      <c r="BH31" s="67" t="inlineStr">
        <is>
          <t>匯</t>
        </is>
      </c>
      <c r="BI31" s="67" t="inlineStr">
        <is>
          <t>匯</t>
        </is>
      </c>
      <c r="BJ31" s="66" t="n"/>
      <c r="BK31" s="67" t="n"/>
      <c r="BL31" s="67" t="n"/>
      <c r="BM31" s="66" t="n"/>
      <c r="BN31" s="67" t="n"/>
      <c r="BO31" s="67" t="n"/>
      <c r="BP31" s="66" t="inlineStr">
        <is>
          <t>匯</t>
        </is>
      </c>
      <c r="BQ31" s="67" t="inlineStr">
        <is>
          <t>匯</t>
        </is>
      </c>
      <c r="BR31" s="67" t="inlineStr">
        <is>
          <t>匯</t>
        </is>
      </c>
      <c r="BS31" s="66" t="n"/>
      <c r="BT31" s="67" t="n"/>
      <c r="BU31" s="67" t="n"/>
      <c r="BV31" s="66" t="n"/>
      <c r="BW31" s="67" t="n"/>
      <c r="BX31" s="67" t="inlineStr">
        <is>
          <t>休</t>
        </is>
      </c>
      <c r="BY31" s="66" t="inlineStr">
        <is>
          <t>國</t>
        </is>
      </c>
      <c r="BZ31" s="67" t="inlineStr">
        <is>
          <t>國</t>
        </is>
      </c>
      <c r="CA31" s="67" t="inlineStr">
        <is>
          <t>國</t>
        </is>
      </c>
      <c r="CB31" s="66" t="inlineStr">
        <is>
          <t>國</t>
        </is>
      </c>
      <c r="CC31" s="67" t="inlineStr">
        <is>
          <t>國</t>
        </is>
      </c>
      <c r="CD31" s="67" t="inlineStr">
        <is>
          <t>國</t>
        </is>
      </c>
      <c r="CE31" s="66" t="n"/>
      <c r="CF31" s="67" t="n"/>
      <c r="CG31" s="67" t="n"/>
      <c r="CH31" s="66" t="n"/>
      <c r="CI31" s="67" t="n"/>
      <c r="CJ31" s="67" t="n"/>
      <c r="CK31" s="66" t="inlineStr">
        <is>
          <t>匯</t>
        </is>
      </c>
      <c r="CL31" s="67" t="inlineStr">
        <is>
          <t>匯</t>
        </is>
      </c>
      <c r="CM31" s="67" t="inlineStr">
        <is>
          <t>匯</t>
        </is>
      </c>
      <c r="CN31" s="66" t="n"/>
      <c r="CO31" s="67" t="n"/>
      <c r="CP31" s="67" t="n"/>
      <c r="CQ31" s="66" t="n"/>
      <c r="CR31" s="67" t="n"/>
      <c r="CS31" s="67" t="inlineStr">
        <is>
          <t>休</t>
        </is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5" t="inlineStr"/>
      <c r="D32" s="16" t="inlineStr"/>
      <c r="E32" s="66" t="n"/>
      <c r="F32" s="67" t="n"/>
      <c r="G32" s="67" t="n"/>
      <c r="H32" s="66" t="n"/>
      <c r="I32" s="67" t="n"/>
      <c r="J32" s="67" t="n"/>
      <c r="K32" s="66" t="inlineStr">
        <is>
          <t>匯</t>
        </is>
      </c>
      <c r="L32" s="67" t="inlineStr">
        <is>
          <t>匯</t>
        </is>
      </c>
      <c r="M32" s="67" t="inlineStr">
        <is>
          <t>休</t>
        </is>
      </c>
      <c r="N32" s="66" t="inlineStr">
        <is>
          <t>休</t>
        </is>
      </c>
      <c r="O32" s="67" t="inlineStr">
        <is>
          <t>休</t>
        </is>
      </c>
      <c r="P32" s="67" t="inlineStr">
        <is>
          <t>休</t>
        </is>
      </c>
      <c r="Q32" s="66" t="n"/>
      <c r="R32" s="67" t="n"/>
      <c r="S32" s="67" t="n"/>
      <c r="T32" s="66" t="n"/>
      <c r="U32" s="67" t="n"/>
      <c r="V32" s="67" t="n"/>
      <c r="W32" s="66" t="n"/>
      <c r="X32" s="67" t="n"/>
      <c r="Y32" s="67" t="n"/>
      <c r="Z32" s="66" t="n"/>
      <c r="AA32" s="67" t="n"/>
      <c r="AB32" s="67" t="n"/>
      <c r="AC32" s="66" t="inlineStr">
        <is>
          <t>國</t>
        </is>
      </c>
      <c r="AD32" s="67" t="inlineStr">
        <is>
          <t>國</t>
        </is>
      </c>
      <c r="AE32" s="67" t="inlineStr">
        <is>
          <t>國</t>
        </is>
      </c>
      <c r="AF32" s="66" t="inlineStr">
        <is>
          <t>國</t>
        </is>
      </c>
      <c r="AG32" s="67" t="inlineStr">
        <is>
          <t>國</t>
        </is>
      </c>
      <c r="AH32" s="67" t="inlineStr">
        <is>
          <t>國</t>
        </is>
      </c>
      <c r="AI32" s="66" t="inlineStr">
        <is>
          <t>休</t>
        </is>
      </c>
      <c r="AJ32" s="67" t="inlineStr">
        <is>
          <t>休</t>
        </is>
      </c>
      <c r="AK32" s="67" t="inlineStr">
        <is>
          <t>休</t>
        </is>
      </c>
      <c r="AL32" s="66" t="n"/>
      <c r="AM32" s="67" t="inlineStr">
        <is>
          <t>匯</t>
        </is>
      </c>
      <c r="AN32" s="67" t="inlineStr">
        <is>
          <t>匯</t>
        </is>
      </c>
      <c r="AO32" s="66" t="n"/>
      <c r="AP32" s="67" t="n"/>
      <c r="AQ32" s="67" t="n"/>
      <c r="AR32" s="66" t="n"/>
      <c r="AS32" s="67" t="n"/>
      <c r="AT32" s="67" t="n"/>
      <c r="AU32" s="66" t="n"/>
      <c r="AV32" s="67" t="n"/>
      <c r="AW32" s="67" t="n"/>
      <c r="AX32" s="66" t="n"/>
      <c r="AY32" s="67" t="n"/>
      <c r="AZ32" s="67" t="n"/>
      <c r="BA32" s="66" t="inlineStr">
        <is>
          <t>匯</t>
        </is>
      </c>
      <c r="BB32" s="67" t="inlineStr">
        <is>
          <t>匯</t>
        </is>
      </c>
      <c r="BC32" s="67" t="inlineStr">
        <is>
          <t>休</t>
        </is>
      </c>
      <c r="BD32" s="66" t="inlineStr">
        <is>
          <t>休</t>
        </is>
      </c>
      <c r="BE32" s="67" t="inlineStr">
        <is>
          <t>休</t>
        </is>
      </c>
      <c r="BF32" s="67" t="inlineStr">
        <is>
          <t>休</t>
        </is>
      </c>
      <c r="BG32" s="66" t="n"/>
      <c r="BH32" s="67" t="n"/>
      <c r="BI32" s="67" t="n"/>
      <c r="BJ32" s="66" t="n"/>
      <c r="BK32" s="67" t="n"/>
      <c r="BL32" s="67" t="n"/>
      <c r="BM32" s="66" t="n"/>
      <c r="BN32" s="67" t="n"/>
      <c r="BO32" s="67" t="n"/>
      <c r="BP32" s="66" t="n"/>
      <c r="BQ32" s="67" t="n"/>
      <c r="BR32" s="67" t="n"/>
      <c r="BS32" s="66" t="n"/>
      <c r="BT32" s="67" t="n"/>
      <c r="BU32" s="67" t="n"/>
      <c r="BV32" s="66" t="n"/>
      <c r="BW32" s="67" t="n"/>
      <c r="BX32" s="67" t="inlineStr">
        <is>
          <t>休</t>
        </is>
      </c>
      <c r="BY32" s="66" t="inlineStr">
        <is>
          <t>國</t>
        </is>
      </c>
      <c r="BZ32" s="67" t="inlineStr">
        <is>
          <t>國</t>
        </is>
      </c>
      <c r="CA32" s="67" t="inlineStr">
        <is>
          <t>國</t>
        </is>
      </c>
      <c r="CB32" s="66" t="inlineStr">
        <is>
          <t>國</t>
        </is>
      </c>
      <c r="CC32" s="67" t="inlineStr">
        <is>
          <t>國</t>
        </is>
      </c>
      <c r="CD32" s="67" t="inlineStr">
        <is>
          <t>國</t>
        </is>
      </c>
      <c r="CE32" s="66" t="n"/>
      <c r="CF32" s="67" t="n"/>
      <c r="CG32" s="67" t="n"/>
      <c r="CH32" s="66" t="n"/>
      <c r="CI32" s="67" t="n"/>
      <c r="CJ32" s="67" t="n"/>
      <c r="CK32" s="66" t="n"/>
      <c r="CL32" s="67" t="n"/>
      <c r="CM32" s="67" t="n"/>
      <c r="CN32" s="66" t="n"/>
      <c r="CO32" s="67" t="n"/>
      <c r="CP32" s="67" t="n"/>
      <c r="CQ32" s="66" t="inlineStr">
        <is>
          <t>匯</t>
        </is>
      </c>
      <c r="CR32" s="67" t="inlineStr">
        <is>
          <t>匯</t>
        </is>
      </c>
      <c r="CS32" s="67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5">
        <f>IFERROR(INDEX(設定!$E$57:$E$196,MATCH($A33,設定!$B$57:$B$196,0)),"")</f>
        <v/>
      </c>
      <c r="D33" s="16">
        <f>IFERROR(INDEX(設定!$F$57:$F$196,MATCH($A33,設定!$B$57:$B$196,0)),"")</f>
        <v/>
      </c>
      <c r="E33" s="66" t="n"/>
      <c r="F33" s="67" t="n"/>
      <c r="G33" s="67" t="n"/>
      <c r="H33" s="66" t="n"/>
      <c r="I33" s="67" t="n"/>
      <c r="J33" s="67" t="n"/>
      <c r="K33" s="66" t="n"/>
      <c r="L33" s="67" t="n"/>
      <c r="M33" s="67" t="n"/>
      <c r="N33" s="66" t="n"/>
      <c r="O33" s="67" t="n"/>
      <c r="P33" s="67" t="n"/>
      <c r="Q33" s="66" t="n"/>
      <c r="R33" s="67" t="n"/>
      <c r="S33" s="67" t="n"/>
      <c r="T33" s="66" t="n"/>
      <c r="U33" s="67" t="n"/>
      <c r="V33" s="67" t="n"/>
      <c r="W33" s="66" t="n"/>
      <c r="X33" s="67" t="n"/>
      <c r="Y33" s="67" t="n"/>
      <c r="Z33" s="66" t="n"/>
      <c r="AA33" s="67" t="n"/>
      <c r="AB33" s="67" t="n"/>
      <c r="AC33" s="66" t="n"/>
      <c r="AD33" s="67" t="n"/>
      <c r="AE33" s="67" t="n"/>
      <c r="AF33" s="66" t="n"/>
      <c r="AG33" s="67" t="n"/>
      <c r="AH33" s="67" t="n"/>
      <c r="AI33" s="66" t="n"/>
      <c r="AJ33" s="67" t="n"/>
      <c r="AK33" s="67" t="n"/>
      <c r="AL33" s="66" t="n"/>
      <c r="AM33" s="67" t="n"/>
      <c r="AN33" s="67" t="n"/>
      <c r="AO33" s="66" t="n"/>
      <c r="AP33" s="67" t="n"/>
      <c r="AQ33" s="67" t="n"/>
      <c r="AR33" s="66" t="n"/>
      <c r="AS33" s="67" t="n"/>
      <c r="AT33" s="67" t="n"/>
      <c r="AU33" s="66" t="n"/>
      <c r="AV33" s="67" t="n"/>
      <c r="AW33" s="67" t="n"/>
      <c r="AX33" s="66" t="n"/>
      <c r="AY33" s="67" t="n"/>
      <c r="AZ33" s="67" t="n"/>
      <c r="BA33" s="66" t="n"/>
      <c r="BB33" s="67" t="n"/>
      <c r="BC33" s="67" t="n"/>
      <c r="BD33" s="66" t="n"/>
      <c r="BE33" s="67" t="n"/>
      <c r="BF33" s="67" t="n"/>
      <c r="BG33" s="66" t="n"/>
      <c r="BH33" s="67" t="n"/>
      <c r="BI33" s="67" t="n"/>
      <c r="BJ33" s="66" t="n"/>
      <c r="BK33" s="67" t="n"/>
      <c r="BL33" s="67" t="n"/>
      <c r="BM33" s="66" t="n"/>
      <c r="BN33" s="67" t="n"/>
      <c r="BO33" s="67" t="n"/>
      <c r="BP33" s="66" t="n"/>
      <c r="BQ33" s="67" t="n"/>
      <c r="BR33" s="67" t="n"/>
      <c r="BS33" s="66" t="n"/>
      <c r="BT33" s="67" t="n"/>
      <c r="BU33" s="67" t="n"/>
      <c r="BV33" s="66" t="n"/>
      <c r="BW33" s="67" t="n"/>
      <c r="BX33" s="67" t="n"/>
      <c r="BY33" s="66" t="n"/>
      <c r="BZ33" s="67" t="n"/>
      <c r="CA33" s="67" t="n"/>
      <c r="CB33" s="66" t="n"/>
      <c r="CC33" s="67" t="n"/>
      <c r="CD33" s="67" t="n"/>
      <c r="CE33" s="66" t="n"/>
      <c r="CF33" s="67" t="n"/>
      <c r="CG33" s="67" t="n"/>
      <c r="CH33" s="66" t="n"/>
      <c r="CI33" s="67" t="n"/>
      <c r="CJ33" s="67" t="n"/>
      <c r="CK33" s="66" t="n"/>
      <c r="CL33" s="67" t="n"/>
      <c r="CM33" s="67" t="n"/>
      <c r="CN33" s="66" t="n"/>
      <c r="CO33" s="67" t="n"/>
      <c r="CP33" s="67" t="n"/>
      <c r="CQ33" s="66" t="n"/>
      <c r="CR33" s="67" t="n"/>
      <c r="CS33" s="67" t="n"/>
    </row>
    <row r="34" ht="17" customHeight="1">
      <c r="A34" s="20" t="n"/>
      <c r="B34" s="16">
        <f>IFERROR(INDEX(設定!$C$57:$C$196,MATCH($A34,設定!$B$57:$B$196,0)),"")</f>
        <v/>
      </c>
      <c r="C34" s="65">
        <f>IFERROR(INDEX(設定!$E$57:$E$196,MATCH($A34,設定!$B$57:$B$196,0)),"")</f>
        <v/>
      </c>
      <c r="D34" s="16">
        <f>IFERROR(INDEX(設定!$F$57:$F$196,MATCH($A34,設定!$B$57:$B$196,0)),"")</f>
        <v/>
      </c>
      <c r="E34" s="66" t="n"/>
      <c r="F34" s="67" t="n"/>
      <c r="G34" s="67" t="n"/>
      <c r="H34" s="66" t="n"/>
      <c r="I34" s="67" t="n"/>
      <c r="J34" s="67" t="n"/>
      <c r="K34" s="66" t="n"/>
      <c r="L34" s="67" t="n"/>
      <c r="M34" s="67" t="n"/>
      <c r="N34" s="66" t="n"/>
      <c r="O34" s="67" t="n"/>
      <c r="P34" s="67" t="n"/>
      <c r="Q34" s="66" t="n"/>
      <c r="R34" s="67" t="n"/>
      <c r="S34" s="67" t="n"/>
      <c r="T34" s="66" t="n"/>
      <c r="U34" s="67" t="n"/>
      <c r="V34" s="67" t="n"/>
      <c r="W34" s="66" t="n"/>
      <c r="X34" s="67" t="n"/>
      <c r="Y34" s="67" t="n"/>
      <c r="Z34" s="66" t="n"/>
      <c r="AA34" s="67" t="n"/>
      <c r="AB34" s="67" t="n"/>
      <c r="AC34" s="66" t="n"/>
      <c r="AD34" s="67" t="n"/>
      <c r="AE34" s="67" t="n"/>
      <c r="AF34" s="66" t="n"/>
      <c r="AG34" s="67" t="n"/>
      <c r="AH34" s="67" t="n"/>
      <c r="AI34" s="66" t="n"/>
      <c r="AJ34" s="67" t="n"/>
      <c r="AK34" s="67" t="n"/>
      <c r="AL34" s="66" t="n"/>
      <c r="AM34" s="67" t="n"/>
      <c r="AN34" s="67" t="n"/>
      <c r="AO34" s="66" t="n"/>
      <c r="AP34" s="67" t="n"/>
      <c r="AQ34" s="67" t="n"/>
      <c r="AR34" s="66" t="n"/>
      <c r="AS34" s="67" t="n"/>
      <c r="AT34" s="67" t="n"/>
      <c r="AU34" s="66" t="n"/>
      <c r="AV34" s="67" t="n"/>
      <c r="AW34" s="67" t="n"/>
      <c r="AX34" s="66" t="n"/>
      <c r="AY34" s="67" t="n"/>
      <c r="AZ34" s="67" t="n"/>
      <c r="BA34" s="66" t="n"/>
      <c r="BB34" s="67" t="n"/>
      <c r="BC34" s="67" t="n"/>
      <c r="BD34" s="66" t="n"/>
      <c r="BE34" s="67" t="n"/>
      <c r="BF34" s="67" t="n"/>
      <c r="BG34" s="66" t="n"/>
      <c r="BH34" s="67" t="n"/>
      <c r="BI34" s="67" t="n"/>
      <c r="BJ34" s="66" t="n"/>
      <c r="BK34" s="67" t="n"/>
      <c r="BL34" s="67" t="n"/>
      <c r="BM34" s="66" t="n"/>
      <c r="BN34" s="67" t="n"/>
      <c r="BO34" s="67" t="n"/>
      <c r="BP34" s="66" t="n"/>
      <c r="BQ34" s="67" t="n"/>
      <c r="BR34" s="67" t="n"/>
      <c r="BS34" s="66" t="n"/>
      <c r="BT34" s="67" t="n"/>
      <c r="BU34" s="67" t="n"/>
      <c r="BV34" s="66" t="n"/>
      <c r="BW34" s="67" t="n"/>
      <c r="BX34" s="67" t="n"/>
      <c r="BY34" s="66" t="n"/>
      <c r="BZ34" s="67" t="n"/>
      <c r="CA34" s="67" t="n"/>
      <c r="CB34" s="66" t="n"/>
      <c r="CC34" s="67" t="n"/>
      <c r="CD34" s="67" t="n"/>
      <c r="CE34" s="66" t="n"/>
      <c r="CF34" s="67" t="n"/>
      <c r="CG34" s="67" t="n"/>
      <c r="CH34" s="66" t="n"/>
      <c r="CI34" s="67" t="n"/>
      <c r="CJ34" s="67" t="n"/>
      <c r="CK34" s="66" t="n"/>
      <c r="CL34" s="67" t="n"/>
      <c r="CM34" s="67" t="n"/>
      <c r="CN34" s="66" t="n"/>
      <c r="CO34" s="67" t="n"/>
      <c r="CP34" s="67" t="n"/>
      <c r="CQ34" s="66" t="n"/>
      <c r="CR34" s="67" t="n"/>
      <c r="CS34" s="67" t="n"/>
    </row>
    <row r="35" ht="17" customHeight="1">
      <c r="A35" s="20" t="n"/>
      <c r="B35" s="16">
        <f>IFERROR(INDEX(設定!$C$57:$C$196,MATCH($A35,設定!$B$57:$B$196,0)),"")</f>
        <v/>
      </c>
      <c r="C35" s="65">
        <f>IFERROR(INDEX(設定!$E$57:$E$196,MATCH($A35,設定!$B$57:$B$196,0)),"")</f>
        <v/>
      </c>
      <c r="D35" s="16">
        <f>IFERROR(INDEX(設定!$F$57:$F$196,MATCH($A35,設定!$B$57:$B$196,0)),"")</f>
        <v/>
      </c>
      <c r="E35" s="66" t="n"/>
      <c r="F35" s="67" t="n"/>
      <c r="G35" s="67" t="n"/>
      <c r="H35" s="66" t="n"/>
      <c r="I35" s="67" t="n"/>
      <c r="J35" s="67" t="n"/>
      <c r="K35" s="66" t="n"/>
      <c r="L35" s="67" t="n"/>
      <c r="M35" s="67" t="n"/>
      <c r="N35" s="66" t="n"/>
      <c r="O35" s="67" t="n"/>
      <c r="P35" s="67" t="n"/>
      <c r="Q35" s="66" t="n"/>
      <c r="R35" s="67" t="n"/>
      <c r="S35" s="67" t="n"/>
      <c r="T35" s="66" t="n"/>
      <c r="U35" s="67" t="n"/>
      <c r="V35" s="67" t="n"/>
      <c r="W35" s="66" t="n"/>
      <c r="X35" s="67" t="n"/>
      <c r="Y35" s="67" t="n"/>
      <c r="Z35" s="66" t="n"/>
      <c r="AA35" s="67" t="n"/>
      <c r="AB35" s="67" t="n"/>
      <c r="AC35" s="66" t="n"/>
      <c r="AD35" s="67" t="n"/>
      <c r="AE35" s="67" t="n"/>
      <c r="AF35" s="66" t="n"/>
      <c r="AG35" s="67" t="n"/>
      <c r="AH35" s="67" t="n"/>
      <c r="AI35" s="66" t="n"/>
      <c r="AJ35" s="67" t="n"/>
      <c r="AK35" s="67" t="n"/>
      <c r="AL35" s="66" t="n"/>
      <c r="AM35" s="67" t="n"/>
      <c r="AN35" s="67" t="n"/>
      <c r="AO35" s="66" t="n"/>
      <c r="AP35" s="67" t="n"/>
      <c r="AQ35" s="67" t="n"/>
      <c r="AR35" s="66" t="n"/>
      <c r="AS35" s="67" t="n"/>
      <c r="AT35" s="67" t="n"/>
      <c r="AU35" s="66" t="n"/>
      <c r="AV35" s="67" t="n"/>
      <c r="AW35" s="67" t="n"/>
      <c r="AX35" s="66" t="n"/>
      <c r="AY35" s="67" t="n"/>
      <c r="AZ35" s="67" t="n"/>
      <c r="BA35" s="66" t="n"/>
      <c r="BB35" s="67" t="n"/>
      <c r="BC35" s="67" t="n"/>
      <c r="BD35" s="66" t="n"/>
      <c r="BE35" s="67" t="n"/>
      <c r="BF35" s="67" t="n"/>
      <c r="BG35" s="66" t="n"/>
      <c r="BH35" s="67" t="n"/>
      <c r="BI35" s="67" t="n"/>
      <c r="BJ35" s="66" t="n"/>
      <c r="BK35" s="67" t="n"/>
      <c r="BL35" s="67" t="n"/>
      <c r="BM35" s="66" t="n"/>
      <c r="BN35" s="67" t="n"/>
      <c r="BO35" s="67" t="n"/>
      <c r="BP35" s="66" t="n"/>
      <c r="BQ35" s="67" t="n"/>
      <c r="BR35" s="67" t="n"/>
      <c r="BS35" s="66" t="n"/>
      <c r="BT35" s="67" t="n"/>
      <c r="BU35" s="67" t="n"/>
      <c r="BV35" s="66" t="n"/>
      <c r="BW35" s="67" t="n"/>
      <c r="BX35" s="67" t="n"/>
      <c r="BY35" s="66" t="n"/>
      <c r="BZ35" s="67" t="n"/>
      <c r="CA35" s="67" t="n"/>
      <c r="CB35" s="66" t="n"/>
      <c r="CC35" s="67" t="n"/>
      <c r="CD35" s="67" t="n"/>
      <c r="CE35" s="66" t="n"/>
      <c r="CF35" s="67" t="n"/>
      <c r="CG35" s="67" t="n"/>
      <c r="CH35" s="66" t="n"/>
      <c r="CI35" s="67" t="n"/>
      <c r="CJ35" s="67" t="n"/>
      <c r="CK35" s="66" t="n"/>
      <c r="CL35" s="67" t="n"/>
      <c r="CM35" s="67" t="n"/>
      <c r="CN35" s="66" t="n"/>
      <c r="CO35" s="67" t="n"/>
      <c r="CP35" s="67" t="n"/>
      <c r="CQ35" s="66" t="n"/>
      <c r="CR35" s="67" t="n"/>
      <c r="CS35" s="67" t="n"/>
    </row>
    <row r="36" ht="17" customHeight="1">
      <c r="A36" s="20" t="n"/>
      <c r="B36" s="16">
        <f>IFERROR(INDEX(設定!$C$57:$C$196,MATCH($A36,設定!$B$57:$B$196,0)),"")</f>
        <v/>
      </c>
      <c r="C36" s="65">
        <f>IFERROR(INDEX(設定!$E$57:$E$196,MATCH($A36,設定!$B$57:$B$196,0)),"")</f>
        <v/>
      </c>
      <c r="D36" s="16">
        <f>IFERROR(INDEX(設定!$F$57:$F$196,MATCH($A36,設定!$B$57:$B$196,0)),"")</f>
        <v/>
      </c>
      <c r="E36" s="66" t="n"/>
      <c r="F36" s="67" t="n"/>
      <c r="G36" s="67" t="n"/>
      <c r="H36" s="66" t="n"/>
      <c r="I36" s="67" t="n"/>
      <c r="J36" s="67" t="n"/>
      <c r="K36" s="66" t="n"/>
      <c r="L36" s="67" t="n"/>
      <c r="M36" s="67" t="n"/>
      <c r="N36" s="66" t="n"/>
      <c r="O36" s="67" t="n"/>
      <c r="P36" s="67" t="n"/>
      <c r="Q36" s="66" t="n"/>
      <c r="R36" s="67" t="n"/>
      <c r="S36" s="67" t="n"/>
      <c r="T36" s="66" t="n"/>
      <c r="U36" s="67" t="n"/>
      <c r="V36" s="67" t="n"/>
      <c r="W36" s="66" t="n"/>
      <c r="X36" s="67" t="n"/>
      <c r="Y36" s="67" t="n"/>
      <c r="Z36" s="66" t="n"/>
      <c r="AA36" s="67" t="n"/>
      <c r="AB36" s="67" t="n"/>
      <c r="AC36" s="66" t="n"/>
      <c r="AD36" s="67" t="n"/>
      <c r="AE36" s="67" t="n"/>
      <c r="AF36" s="66" t="n"/>
      <c r="AG36" s="67" t="n"/>
      <c r="AH36" s="67" t="n"/>
      <c r="AI36" s="66" t="n"/>
      <c r="AJ36" s="67" t="n"/>
      <c r="AK36" s="67" t="n"/>
      <c r="AL36" s="66" t="n"/>
      <c r="AM36" s="67" t="n"/>
      <c r="AN36" s="67" t="n"/>
      <c r="AO36" s="66" t="n"/>
      <c r="AP36" s="67" t="n"/>
      <c r="AQ36" s="67" t="n"/>
      <c r="AR36" s="66" t="n"/>
      <c r="AS36" s="67" t="n"/>
      <c r="AT36" s="67" t="n"/>
      <c r="AU36" s="66" t="n"/>
      <c r="AV36" s="67" t="n"/>
      <c r="AW36" s="67" t="n"/>
      <c r="AX36" s="66" t="n"/>
      <c r="AY36" s="67" t="n"/>
      <c r="AZ36" s="67" t="n"/>
      <c r="BA36" s="66" t="n"/>
      <c r="BB36" s="67" t="n"/>
      <c r="BC36" s="67" t="n"/>
      <c r="BD36" s="66" t="n"/>
      <c r="BE36" s="67" t="n"/>
      <c r="BF36" s="67" t="n"/>
      <c r="BG36" s="66" t="n"/>
      <c r="BH36" s="67" t="n"/>
      <c r="BI36" s="67" t="n"/>
      <c r="BJ36" s="66" t="n"/>
      <c r="BK36" s="67" t="n"/>
      <c r="BL36" s="67" t="n"/>
      <c r="BM36" s="66" t="n"/>
      <c r="BN36" s="67" t="n"/>
      <c r="BO36" s="67" t="n"/>
      <c r="BP36" s="66" t="n"/>
      <c r="BQ36" s="67" t="n"/>
      <c r="BR36" s="67" t="n"/>
      <c r="BS36" s="66" t="n"/>
      <c r="BT36" s="67" t="n"/>
      <c r="BU36" s="67" t="n"/>
      <c r="BV36" s="66" t="n"/>
      <c r="BW36" s="67" t="n"/>
      <c r="BX36" s="67" t="n"/>
      <c r="BY36" s="66" t="n"/>
      <c r="BZ36" s="67" t="n"/>
      <c r="CA36" s="67" t="n"/>
      <c r="CB36" s="66" t="n"/>
      <c r="CC36" s="67" t="n"/>
      <c r="CD36" s="67" t="n"/>
      <c r="CE36" s="66" t="n"/>
      <c r="CF36" s="67" t="n"/>
      <c r="CG36" s="67" t="n"/>
      <c r="CH36" s="66" t="n"/>
      <c r="CI36" s="67" t="n"/>
      <c r="CJ36" s="67" t="n"/>
      <c r="CK36" s="66" t="n"/>
      <c r="CL36" s="67" t="n"/>
      <c r="CM36" s="67" t="n"/>
      <c r="CN36" s="66" t="n"/>
      <c r="CO36" s="67" t="n"/>
      <c r="CP36" s="67" t="n"/>
      <c r="CQ36" s="66" t="n"/>
      <c r="CR36" s="67" t="n"/>
      <c r="CS36" s="67" t="n"/>
    </row>
    <row r="37" ht="17" customHeight="1">
      <c r="A37" s="20" t="n"/>
      <c r="B37" s="16">
        <f>IFERROR(INDEX(設定!$C$57:$C$196,MATCH($A37,設定!$B$57:$B$196,0)),"")</f>
        <v/>
      </c>
      <c r="C37" s="65">
        <f>IFERROR(INDEX(設定!$E$57:$E$196,MATCH($A37,設定!$B$57:$B$196,0)),"")</f>
        <v/>
      </c>
      <c r="D37" s="16">
        <f>IFERROR(INDEX(設定!$F$57:$F$196,MATCH($A37,設定!$B$57:$B$196,0)),"")</f>
        <v/>
      </c>
      <c r="E37" s="66" t="n"/>
      <c r="F37" s="67" t="n"/>
      <c r="G37" s="67" t="n"/>
      <c r="H37" s="66" t="n"/>
      <c r="I37" s="67" t="n"/>
      <c r="J37" s="67" t="n"/>
      <c r="K37" s="66" t="n"/>
      <c r="L37" s="67" t="n"/>
      <c r="M37" s="67" t="n"/>
      <c r="N37" s="66" t="n"/>
      <c r="O37" s="67" t="n"/>
      <c r="P37" s="67" t="n"/>
      <c r="Q37" s="66" t="n"/>
      <c r="R37" s="67" t="n"/>
      <c r="S37" s="67" t="n"/>
      <c r="T37" s="66" t="n"/>
      <c r="U37" s="67" t="n"/>
      <c r="V37" s="67" t="n"/>
      <c r="W37" s="66" t="n"/>
      <c r="X37" s="67" t="n"/>
      <c r="Y37" s="67" t="n"/>
      <c r="Z37" s="66" t="n"/>
      <c r="AA37" s="67" t="n"/>
      <c r="AB37" s="67" t="n"/>
      <c r="AC37" s="66" t="n"/>
      <c r="AD37" s="67" t="n"/>
      <c r="AE37" s="67" t="n"/>
      <c r="AF37" s="66" t="n"/>
      <c r="AG37" s="67" t="n"/>
      <c r="AH37" s="67" t="n"/>
      <c r="AI37" s="66" t="n"/>
      <c r="AJ37" s="67" t="n"/>
      <c r="AK37" s="67" t="n"/>
      <c r="AL37" s="66" t="n"/>
      <c r="AM37" s="67" t="n"/>
      <c r="AN37" s="67" t="n"/>
      <c r="AO37" s="66" t="n"/>
      <c r="AP37" s="67" t="n"/>
      <c r="AQ37" s="67" t="n"/>
      <c r="AR37" s="66" t="n"/>
      <c r="AS37" s="67" t="n"/>
      <c r="AT37" s="67" t="n"/>
      <c r="AU37" s="66" t="n"/>
      <c r="AV37" s="67" t="n"/>
      <c r="AW37" s="67" t="n"/>
      <c r="AX37" s="66" t="n"/>
      <c r="AY37" s="67" t="n"/>
      <c r="AZ37" s="67" t="n"/>
      <c r="BA37" s="66" t="n"/>
      <c r="BB37" s="67" t="n"/>
      <c r="BC37" s="67" t="n"/>
      <c r="BD37" s="66" t="n"/>
      <c r="BE37" s="67" t="n"/>
      <c r="BF37" s="67" t="n"/>
      <c r="BG37" s="66" t="n"/>
      <c r="BH37" s="67" t="n"/>
      <c r="BI37" s="67" t="n"/>
      <c r="BJ37" s="66" t="n"/>
      <c r="BK37" s="67" t="n"/>
      <c r="BL37" s="67" t="n"/>
      <c r="BM37" s="66" t="n"/>
      <c r="BN37" s="67" t="n"/>
      <c r="BO37" s="67" t="n"/>
      <c r="BP37" s="66" t="n"/>
      <c r="BQ37" s="67" t="n"/>
      <c r="BR37" s="67" t="n"/>
      <c r="BS37" s="66" t="n"/>
      <c r="BT37" s="67" t="n"/>
      <c r="BU37" s="67" t="n"/>
      <c r="BV37" s="66" t="n"/>
      <c r="BW37" s="67" t="n"/>
      <c r="BX37" s="67" t="n"/>
      <c r="BY37" s="66" t="n"/>
      <c r="BZ37" s="67" t="n"/>
      <c r="CA37" s="67" t="n"/>
      <c r="CB37" s="66" t="n"/>
      <c r="CC37" s="67" t="n"/>
      <c r="CD37" s="67" t="n"/>
      <c r="CE37" s="66" t="n"/>
      <c r="CF37" s="67" t="n"/>
      <c r="CG37" s="67" t="n"/>
      <c r="CH37" s="66" t="n"/>
      <c r="CI37" s="67" t="n"/>
      <c r="CJ37" s="67" t="n"/>
      <c r="CK37" s="66" t="n"/>
      <c r="CL37" s="67" t="n"/>
      <c r="CM37" s="67" t="n"/>
      <c r="CN37" s="66" t="n"/>
      <c r="CO37" s="67" t="n"/>
      <c r="CP37" s="67" t="n"/>
      <c r="CQ37" s="66" t="n"/>
      <c r="CR37" s="67" t="n"/>
      <c r="CS37" s="67" t="n"/>
    </row>
    <row r="38" ht="17" customHeight="1">
      <c r="A38" s="20" t="n"/>
      <c r="B38" s="16">
        <f>IFERROR(INDEX(設定!$C$57:$C$196,MATCH($A38,設定!$B$57:$B$196,0)),"")</f>
        <v/>
      </c>
      <c r="C38" s="65">
        <f>IFERROR(INDEX(設定!$E$57:$E$196,MATCH($A38,設定!$B$57:$B$196,0)),"")</f>
        <v/>
      </c>
      <c r="D38" s="16">
        <f>IFERROR(INDEX(設定!$F$57:$F$196,MATCH($A38,設定!$B$57:$B$196,0)),"")</f>
        <v/>
      </c>
      <c r="E38" s="66" t="n"/>
      <c r="F38" s="67" t="n"/>
      <c r="G38" s="67" t="n"/>
      <c r="H38" s="66" t="n"/>
      <c r="I38" s="67" t="n"/>
      <c r="J38" s="67" t="n"/>
      <c r="K38" s="66" t="n"/>
      <c r="L38" s="67" t="n"/>
      <c r="M38" s="67" t="n"/>
      <c r="N38" s="66" t="n"/>
      <c r="O38" s="67" t="n"/>
      <c r="P38" s="67" t="n"/>
      <c r="Q38" s="66" t="n"/>
      <c r="R38" s="67" t="n"/>
      <c r="S38" s="67" t="n"/>
      <c r="T38" s="66" t="n"/>
      <c r="U38" s="67" t="n"/>
      <c r="V38" s="67" t="n"/>
      <c r="W38" s="66" t="n"/>
      <c r="X38" s="67" t="n"/>
      <c r="Y38" s="67" t="n"/>
      <c r="Z38" s="66" t="n"/>
      <c r="AA38" s="67" t="n"/>
      <c r="AB38" s="67" t="n"/>
      <c r="AC38" s="66" t="n"/>
      <c r="AD38" s="67" t="n"/>
      <c r="AE38" s="67" t="n"/>
      <c r="AF38" s="66" t="n"/>
      <c r="AG38" s="67" t="n"/>
      <c r="AH38" s="67" t="n"/>
      <c r="AI38" s="66" t="n"/>
      <c r="AJ38" s="67" t="n"/>
      <c r="AK38" s="67" t="n"/>
      <c r="AL38" s="66" t="n"/>
      <c r="AM38" s="67" t="n"/>
      <c r="AN38" s="67" t="n"/>
      <c r="AO38" s="66" t="n"/>
      <c r="AP38" s="67" t="n"/>
      <c r="AQ38" s="67" t="n"/>
      <c r="AR38" s="66" t="n"/>
      <c r="AS38" s="67" t="n"/>
      <c r="AT38" s="67" t="n"/>
      <c r="AU38" s="66" t="n"/>
      <c r="AV38" s="67" t="n"/>
      <c r="AW38" s="67" t="n"/>
      <c r="AX38" s="66" t="n"/>
      <c r="AY38" s="67" t="n"/>
      <c r="AZ38" s="67" t="n"/>
      <c r="BA38" s="66" t="n"/>
      <c r="BB38" s="67" t="n"/>
      <c r="BC38" s="67" t="n"/>
      <c r="BD38" s="66" t="n"/>
      <c r="BE38" s="67" t="n"/>
      <c r="BF38" s="67" t="n"/>
      <c r="BG38" s="66" t="n"/>
      <c r="BH38" s="67" t="n"/>
      <c r="BI38" s="67" t="n"/>
      <c r="BJ38" s="66" t="n"/>
      <c r="BK38" s="67" t="n"/>
      <c r="BL38" s="67" t="n"/>
      <c r="BM38" s="66" t="n"/>
      <c r="BN38" s="67" t="n"/>
      <c r="BO38" s="67" t="n"/>
      <c r="BP38" s="66" t="n"/>
      <c r="BQ38" s="67" t="n"/>
      <c r="BR38" s="67" t="n"/>
      <c r="BS38" s="66" t="n"/>
      <c r="BT38" s="67" t="n"/>
      <c r="BU38" s="67" t="n"/>
      <c r="BV38" s="66" t="n"/>
      <c r="BW38" s="67" t="n"/>
      <c r="BX38" s="67" t="n"/>
      <c r="BY38" s="66" t="n"/>
      <c r="BZ38" s="67" t="n"/>
      <c r="CA38" s="67" t="n"/>
      <c r="CB38" s="66" t="n"/>
      <c r="CC38" s="67" t="n"/>
      <c r="CD38" s="67" t="n"/>
      <c r="CE38" s="66" t="n"/>
      <c r="CF38" s="67" t="n"/>
      <c r="CG38" s="67" t="n"/>
      <c r="CH38" s="66" t="n"/>
      <c r="CI38" s="67" t="n"/>
      <c r="CJ38" s="67" t="n"/>
      <c r="CK38" s="66" t="n"/>
      <c r="CL38" s="67" t="n"/>
      <c r="CM38" s="67" t="n"/>
      <c r="CN38" s="66" t="n"/>
      <c r="CO38" s="67" t="n"/>
      <c r="CP38" s="67" t="n"/>
      <c r="CQ38" s="66" t="n"/>
      <c r="CR38" s="67" t="n"/>
      <c r="CS38" s="67" t="n"/>
    </row>
    <row r="39" ht="17" customHeight="1">
      <c r="A39" s="20" t="n"/>
      <c r="B39" s="16">
        <f>IFERROR(INDEX(設定!$C$57:$C$196,MATCH($A39,設定!$B$57:$B$196,0)),"")</f>
        <v/>
      </c>
      <c r="C39" s="65">
        <f>IFERROR(INDEX(設定!$E$57:$E$196,MATCH($A39,設定!$B$57:$B$196,0)),"")</f>
        <v/>
      </c>
      <c r="D39" s="16">
        <f>IFERROR(INDEX(設定!$F$57:$F$196,MATCH($A39,設定!$B$57:$B$196,0)),"")</f>
        <v/>
      </c>
      <c r="E39" s="66" t="n"/>
      <c r="F39" s="67" t="n"/>
      <c r="G39" s="67" t="n"/>
      <c r="H39" s="66" t="n"/>
      <c r="I39" s="67" t="n"/>
      <c r="J39" s="67" t="n"/>
      <c r="K39" s="66" t="n"/>
      <c r="L39" s="67" t="n"/>
      <c r="M39" s="67" t="n"/>
      <c r="N39" s="66" t="n"/>
      <c r="O39" s="67" t="n"/>
      <c r="P39" s="67" t="n"/>
      <c r="Q39" s="66" t="n"/>
      <c r="R39" s="67" t="n"/>
      <c r="S39" s="67" t="n"/>
      <c r="T39" s="66" t="n"/>
      <c r="U39" s="67" t="n"/>
      <c r="V39" s="67" t="n"/>
      <c r="W39" s="66" t="n"/>
      <c r="X39" s="67" t="n"/>
      <c r="Y39" s="67" t="n"/>
      <c r="Z39" s="66" t="n"/>
      <c r="AA39" s="67" t="n"/>
      <c r="AB39" s="67" t="n"/>
      <c r="AC39" s="66" t="n"/>
      <c r="AD39" s="67" t="n"/>
      <c r="AE39" s="67" t="n"/>
      <c r="AF39" s="66" t="n"/>
      <c r="AG39" s="67" t="n"/>
      <c r="AH39" s="67" t="n"/>
      <c r="AI39" s="66" t="n"/>
      <c r="AJ39" s="67" t="n"/>
      <c r="AK39" s="67" t="n"/>
      <c r="AL39" s="66" t="n"/>
      <c r="AM39" s="67" t="n"/>
      <c r="AN39" s="67" t="n"/>
      <c r="AO39" s="66" t="n"/>
      <c r="AP39" s="67" t="n"/>
      <c r="AQ39" s="67" t="n"/>
      <c r="AR39" s="66" t="n"/>
      <c r="AS39" s="67" t="n"/>
      <c r="AT39" s="67" t="n"/>
      <c r="AU39" s="66" t="n"/>
      <c r="AV39" s="67" t="n"/>
      <c r="AW39" s="67" t="n"/>
      <c r="AX39" s="66" t="n"/>
      <c r="AY39" s="67" t="n"/>
      <c r="AZ39" s="67" t="n"/>
      <c r="BA39" s="66" t="n"/>
      <c r="BB39" s="67" t="n"/>
      <c r="BC39" s="67" t="n"/>
      <c r="BD39" s="66" t="n"/>
      <c r="BE39" s="67" t="n"/>
      <c r="BF39" s="67" t="n"/>
      <c r="BG39" s="66" t="n"/>
      <c r="BH39" s="67" t="n"/>
      <c r="BI39" s="67" t="n"/>
      <c r="BJ39" s="66" t="n"/>
      <c r="BK39" s="67" t="n"/>
      <c r="BL39" s="67" t="n"/>
      <c r="BM39" s="66" t="n"/>
      <c r="BN39" s="67" t="n"/>
      <c r="BO39" s="67" t="n"/>
      <c r="BP39" s="66" t="n"/>
      <c r="BQ39" s="67" t="n"/>
      <c r="BR39" s="67" t="n"/>
      <c r="BS39" s="66" t="n"/>
      <c r="BT39" s="67" t="n"/>
      <c r="BU39" s="67" t="n"/>
      <c r="BV39" s="66" t="n"/>
      <c r="BW39" s="67" t="n"/>
      <c r="BX39" s="67" t="n"/>
      <c r="BY39" s="66" t="n"/>
      <c r="BZ39" s="67" t="n"/>
      <c r="CA39" s="67" t="n"/>
      <c r="CB39" s="66" t="n"/>
      <c r="CC39" s="67" t="n"/>
      <c r="CD39" s="67" t="n"/>
      <c r="CE39" s="66" t="n"/>
      <c r="CF39" s="67" t="n"/>
      <c r="CG39" s="67" t="n"/>
      <c r="CH39" s="66" t="n"/>
      <c r="CI39" s="67" t="n"/>
      <c r="CJ39" s="67" t="n"/>
      <c r="CK39" s="66" t="n"/>
      <c r="CL39" s="67" t="n"/>
      <c r="CM39" s="67" t="n"/>
      <c r="CN39" s="66" t="n"/>
      <c r="CO39" s="67" t="n"/>
      <c r="CP39" s="67" t="n"/>
      <c r="CQ39" s="66" t="n"/>
      <c r="CR39" s="67" t="n"/>
      <c r="CS39" s="67" t="n"/>
    </row>
    <row r="40" ht="17" customHeight="1">
      <c r="A40" s="20" t="n"/>
      <c r="B40" s="16">
        <f>IFERROR(INDEX(設定!$C$57:$C$196,MATCH($A40,設定!$B$57:$B$196,0)),"")</f>
        <v/>
      </c>
      <c r="C40" s="65">
        <f>IFERROR(INDEX(設定!$E$57:$E$196,MATCH($A40,設定!$B$57:$B$196,0)),"")</f>
        <v/>
      </c>
      <c r="D40" s="16">
        <f>IFERROR(INDEX(設定!$F$57:$F$196,MATCH($A40,設定!$B$57:$B$196,0)),"")</f>
        <v/>
      </c>
      <c r="E40" s="66" t="n"/>
      <c r="F40" s="67" t="n"/>
      <c r="G40" s="67" t="n"/>
      <c r="H40" s="66" t="n"/>
      <c r="I40" s="67" t="n"/>
      <c r="J40" s="67" t="n"/>
      <c r="K40" s="66" t="n"/>
      <c r="L40" s="67" t="n"/>
      <c r="M40" s="67" t="n"/>
      <c r="N40" s="66" t="n"/>
      <c r="O40" s="67" t="n"/>
      <c r="P40" s="67" t="n"/>
      <c r="Q40" s="66" t="n"/>
      <c r="R40" s="67" t="n"/>
      <c r="S40" s="67" t="n"/>
      <c r="T40" s="66" t="n"/>
      <c r="U40" s="67" t="n"/>
      <c r="V40" s="67" t="n"/>
      <c r="W40" s="66" t="n"/>
      <c r="X40" s="67" t="n"/>
      <c r="Y40" s="67" t="n"/>
      <c r="Z40" s="66" t="n"/>
      <c r="AA40" s="67" t="n"/>
      <c r="AB40" s="67" t="n"/>
      <c r="AC40" s="66" t="n"/>
      <c r="AD40" s="67" t="n"/>
      <c r="AE40" s="67" t="n"/>
      <c r="AF40" s="66" t="n"/>
      <c r="AG40" s="67" t="n"/>
      <c r="AH40" s="67" t="n"/>
      <c r="AI40" s="66" t="n"/>
      <c r="AJ40" s="67" t="n"/>
      <c r="AK40" s="67" t="n"/>
      <c r="AL40" s="66" t="n"/>
      <c r="AM40" s="67" t="n"/>
      <c r="AN40" s="67" t="n"/>
      <c r="AO40" s="66" t="n"/>
      <c r="AP40" s="67" t="n"/>
      <c r="AQ40" s="67" t="n"/>
      <c r="AR40" s="66" t="n"/>
      <c r="AS40" s="67" t="n"/>
      <c r="AT40" s="67" t="n"/>
      <c r="AU40" s="66" t="n"/>
      <c r="AV40" s="67" t="n"/>
      <c r="AW40" s="67" t="n"/>
      <c r="AX40" s="66" t="n"/>
      <c r="AY40" s="67" t="n"/>
      <c r="AZ40" s="67" t="n"/>
      <c r="BA40" s="66" t="n"/>
      <c r="BB40" s="67" t="n"/>
      <c r="BC40" s="67" t="n"/>
      <c r="BD40" s="66" t="n"/>
      <c r="BE40" s="67" t="n"/>
      <c r="BF40" s="67" t="n"/>
      <c r="BG40" s="66" t="n"/>
      <c r="BH40" s="67" t="n"/>
      <c r="BI40" s="67" t="n"/>
      <c r="BJ40" s="66" t="n"/>
      <c r="BK40" s="67" t="n"/>
      <c r="BL40" s="67" t="n"/>
      <c r="BM40" s="66" t="n"/>
      <c r="BN40" s="67" t="n"/>
      <c r="BO40" s="67" t="n"/>
      <c r="BP40" s="66" t="n"/>
      <c r="BQ40" s="67" t="n"/>
      <c r="BR40" s="67" t="n"/>
      <c r="BS40" s="66" t="n"/>
      <c r="BT40" s="67" t="n"/>
      <c r="BU40" s="67" t="n"/>
      <c r="BV40" s="66" t="n"/>
      <c r="BW40" s="67" t="n"/>
      <c r="BX40" s="67" t="n"/>
      <c r="BY40" s="66" t="n"/>
      <c r="BZ40" s="67" t="n"/>
      <c r="CA40" s="67" t="n"/>
      <c r="CB40" s="66" t="n"/>
      <c r="CC40" s="67" t="n"/>
      <c r="CD40" s="67" t="n"/>
      <c r="CE40" s="66" t="n"/>
      <c r="CF40" s="67" t="n"/>
      <c r="CG40" s="67" t="n"/>
      <c r="CH40" s="66" t="n"/>
      <c r="CI40" s="67" t="n"/>
      <c r="CJ40" s="67" t="n"/>
      <c r="CK40" s="66" t="n"/>
      <c r="CL40" s="67" t="n"/>
      <c r="CM40" s="67" t="n"/>
      <c r="CN40" s="66" t="n"/>
      <c r="CO40" s="67" t="n"/>
      <c r="CP40" s="67" t="n"/>
      <c r="CQ40" s="66" t="n"/>
      <c r="CR40" s="67" t="n"/>
      <c r="CS40" s="67" t="n"/>
    </row>
    <row r="41" ht="17" customHeight="1">
      <c r="A41" s="20" t="n"/>
      <c r="B41" s="16">
        <f>IFERROR(INDEX(設定!$C$57:$C$196,MATCH($A41,設定!$B$57:$B$196,0)),"")</f>
        <v/>
      </c>
      <c r="C41" s="65">
        <f>IFERROR(INDEX(設定!$E$57:$E$196,MATCH($A41,設定!$B$57:$B$196,0)),"")</f>
        <v/>
      </c>
      <c r="D41" s="16">
        <f>IFERROR(INDEX(設定!$F$57:$F$196,MATCH($A41,設定!$B$57:$B$196,0)),"")</f>
        <v/>
      </c>
      <c r="E41" s="66" t="n"/>
      <c r="F41" s="67" t="n"/>
      <c r="G41" s="67" t="n"/>
      <c r="H41" s="66" t="n"/>
      <c r="I41" s="67" t="n"/>
      <c r="J41" s="67" t="n"/>
      <c r="K41" s="66" t="n"/>
      <c r="L41" s="67" t="n"/>
      <c r="M41" s="67" t="n"/>
      <c r="N41" s="66" t="n"/>
      <c r="O41" s="67" t="n"/>
      <c r="P41" s="67" t="n"/>
      <c r="Q41" s="66" t="n"/>
      <c r="R41" s="67" t="n"/>
      <c r="S41" s="67" t="n"/>
      <c r="T41" s="66" t="n"/>
      <c r="U41" s="67" t="n"/>
      <c r="V41" s="67" t="n"/>
      <c r="W41" s="66" t="n"/>
      <c r="X41" s="67" t="n"/>
      <c r="Y41" s="67" t="n"/>
      <c r="Z41" s="66" t="n"/>
      <c r="AA41" s="67" t="n"/>
      <c r="AB41" s="67" t="n"/>
      <c r="AC41" s="66" t="n"/>
      <c r="AD41" s="67" t="n"/>
      <c r="AE41" s="67" t="n"/>
      <c r="AF41" s="66" t="n"/>
      <c r="AG41" s="67" t="n"/>
      <c r="AH41" s="67" t="n"/>
      <c r="AI41" s="66" t="n"/>
      <c r="AJ41" s="67" t="n"/>
      <c r="AK41" s="67" t="n"/>
      <c r="AL41" s="66" t="n"/>
      <c r="AM41" s="67" t="n"/>
      <c r="AN41" s="67" t="n"/>
      <c r="AO41" s="66" t="n"/>
      <c r="AP41" s="67" t="n"/>
      <c r="AQ41" s="67" t="n"/>
      <c r="AR41" s="66" t="n"/>
      <c r="AS41" s="67" t="n"/>
      <c r="AT41" s="67" t="n"/>
      <c r="AU41" s="66" t="n"/>
      <c r="AV41" s="67" t="n"/>
      <c r="AW41" s="67" t="n"/>
      <c r="AX41" s="66" t="n"/>
      <c r="AY41" s="67" t="n"/>
      <c r="AZ41" s="67" t="n"/>
      <c r="BA41" s="66" t="n"/>
      <c r="BB41" s="67" t="n"/>
      <c r="BC41" s="67" t="n"/>
      <c r="BD41" s="66" t="n"/>
      <c r="BE41" s="67" t="n"/>
      <c r="BF41" s="67" t="n"/>
      <c r="BG41" s="66" t="n"/>
      <c r="BH41" s="67" t="n"/>
      <c r="BI41" s="67" t="n"/>
      <c r="BJ41" s="66" t="n"/>
      <c r="BK41" s="67" t="n"/>
      <c r="BL41" s="67" t="n"/>
      <c r="BM41" s="66" t="n"/>
      <c r="BN41" s="67" t="n"/>
      <c r="BO41" s="67" t="n"/>
      <c r="BP41" s="66" t="n"/>
      <c r="BQ41" s="67" t="n"/>
      <c r="BR41" s="67" t="n"/>
      <c r="BS41" s="66" t="n"/>
      <c r="BT41" s="67" t="n"/>
      <c r="BU41" s="67" t="n"/>
      <c r="BV41" s="66" t="n"/>
      <c r="BW41" s="67" t="n"/>
      <c r="BX41" s="67" t="n"/>
      <c r="BY41" s="66" t="n"/>
      <c r="BZ41" s="67" t="n"/>
      <c r="CA41" s="67" t="n"/>
      <c r="CB41" s="66" t="n"/>
      <c r="CC41" s="67" t="n"/>
      <c r="CD41" s="67" t="n"/>
      <c r="CE41" s="66" t="n"/>
      <c r="CF41" s="67" t="n"/>
      <c r="CG41" s="67" t="n"/>
      <c r="CH41" s="66" t="n"/>
      <c r="CI41" s="67" t="n"/>
      <c r="CJ41" s="67" t="n"/>
      <c r="CK41" s="66" t="n"/>
      <c r="CL41" s="67" t="n"/>
      <c r="CM41" s="67" t="n"/>
      <c r="CN41" s="66" t="n"/>
      <c r="CO41" s="67" t="n"/>
      <c r="CP41" s="67" t="n"/>
      <c r="CQ41" s="66" t="n"/>
      <c r="CR41" s="67" t="n"/>
      <c r="CS41" s="67" t="n"/>
    </row>
    <row r="42" ht="17" customHeight="1">
      <c r="A42" s="20" t="n"/>
      <c r="B42" s="16">
        <f>IFERROR(INDEX(設定!$C$57:$C$196,MATCH($A42,設定!$B$57:$B$196,0)),"")</f>
        <v/>
      </c>
      <c r="C42" s="65">
        <f>IFERROR(INDEX(設定!$E$57:$E$196,MATCH($A42,設定!$B$57:$B$196,0)),"")</f>
        <v/>
      </c>
      <c r="D42" s="16">
        <f>IFERROR(INDEX(設定!$F$57:$F$196,MATCH($A42,設定!$B$57:$B$196,0)),"")</f>
        <v/>
      </c>
      <c r="E42" s="66" t="n"/>
      <c r="F42" s="67" t="n"/>
      <c r="G42" s="67" t="n"/>
      <c r="H42" s="66" t="n"/>
      <c r="I42" s="67" t="n"/>
      <c r="J42" s="67" t="n"/>
      <c r="K42" s="66" t="n"/>
      <c r="L42" s="67" t="n"/>
      <c r="M42" s="67" t="n"/>
      <c r="N42" s="66" t="n"/>
      <c r="O42" s="67" t="n"/>
      <c r="P42" s="67" t="n"/>
      <c r="Q42" s="66" t="n"/>
      <c r="R42" s="67" t="n"/>
      <c r="S42" s="67" t="n"/>
      <c r="T42" s="66" t="n"/>
      <c r="U42" s="67" t="n"/>
      <c r="V42" s="67" t="n"/>
      <c r="W42" s="66" t="n"/>
      <c r="X42" s="67" t="n"/>
      <c r="Y42" s="67" t="n"/>
      <c r="Z42" s="66" t="n"/>
      <c r="AA42" s="67" t="n"/>
      <c r="AB42" s="67" t="n"/>
      <c r="AC42" s="66" t="n"/>
      <c r="AD42" s="67" t="n"/>
      <c r="AE42" s="67" t="n"/>
      <c r="AF42" s="66" t="n"/>
      <c r="AG42" s="67" t="n"/>
      <c r="AH42" s="67" t="n"/>
      <c r="AI42" s="66" t="n"/>
      <c r="AJ42" s="67" t="n"/>
      <c r="AK42" s="67" t="n"/>
      <c r="AL42" s="66" t="n"/>
      <c r="AM42" s="67" t="n"/>
      <c r="AN42" s="67" t="n"/>
      <c r="AO42" s="66" t="n"/>
      <c r="AP42" s="67" t="n"/>
      <c r="AQ42" s="67" t="n"/>
      <c r="AR42" s="66" t="n"/>
      <c r="AS42" s="67" t="n"/>
      <c r="AT42" s="67" t="n"/>
      <c r="AU42" s="66" t="n"/>
      <c r="AV42" s="67" t="n"/>
      <c r="AW42" s="67" t="n"/>
      <c r="AX42" s="66" t="n"/>
      <c r="AY42" s="67" t="n"/>
      <c r="AZ42" s="67" t="n"/>
      <c r="BA42" s="66" t="n"/>
      <c r="BB42" s="67" t="n"/>
      <c r="BC42" s="67" t="n"/>
      <c r="BD42" s="66" t="n"/>
      <c r="BE42" s="67" t="n"/>
      <c r="BF42" s="67" t="n"/>
      <c r="BG42" s="66" t="n"/>
      <c r="BH42" s="67" t="n"/>
      <c r="BI42" s="67" t="n"/>
      <c r="BJ42" s="66" t="n"/>
      <c r="BK42" s="67" t="n"/>
      <c r="BL42" s="67" t="n"/>
      <c r="BM42" s="66" t="n"/>
      <c r="BN42" s="67" t="n"/>
      <c r="BO42" s="67" t="n"/>
      <c r="BP42" s="66" t="n"/>
      <c r="BQ42" s="67" t="n"/>
      <c r="BR42" s="67" t="n"/>
      <c r="BS42" s="66" t="n"/>
      <c r="BT42" s="67" t="n"/>
      <c r="BU42" s="67" t="n"/>
      <c r="BV42" s="66" t="n"/>
      <c r="BW42" s="67" t="n"/>
      <c r="BX42" s="67" t="n"/>
      <c r="BY42" s="66" t="n"/>
      <c r="BZ42" s="67" t="n"/>
      <c r="CA42" s="67" t="n"/>
      <c r="CB42" s="66" t="n"/>
      <c r="CC42" s="67" t="n"/>
      <c r="CD42" s="67" t="n"/>
      <c r="CE42" s="66" t="n"/>
      <c r="CF42" s="67" t="n"/>
      <c r="CG42" s="67" t="n"/>
      <c r="CH42" s="66" t="n"/>
      <c r="CI42" s="67" t="n"/>
      <c r="CJ42" s="67" t="n"/>
      <c r="CK42" s="66" t="n"/>
      <c r="CL42" s="67" t="n"/>
      <c r="CM42" s="67" t="n"/>
      <c r="CN42" s="66" t="n"/>
      <c r="CO42" s="67" t="n"/>
      <c r="CP42" s="67" t="n"/>
      <c r="CQ42" s="66" t="n"/>
      <c r="CR42" s="67" t="n"/>
      <c r="CS42" s="67" t="n"/>
    </row>
    <row r="43" ht="17" customHeight="1">
      <c r="A43" s="20" t="n"/>
      <c r="B43" s="16">
        <f>IFERROR(INDEX(設定!$C$57:$C$196,MATCH($A43,設定!$B$57:$B$196,0)),"")</f>
        <v/>
      </c>
      <c r="C43" s="65">
        <f>IFERROR(INDEX(設定!$E$57:$E$196,MATCH($A43,設定!$B$57:$B$196,0)),"")</f>
        <v/>
      </c>
      <c r="D43" s="16">
        <f>IFERROR(INDEX(設定!$F$57:$F$196,MATCH($A43,設定!$B$57:$B$196,0)),"")</f>
        <v/>
      </c>
      <c r="E43" s="66" t="n"/>
      <c r="F43" s="67" t="n"/>
      <c r="G43" s="67" t="n"/>
      <c r="H43" s="66" t="n"/>
      <c r="I43" s="67" t="n"/>
      <c r="J43" s="67" t="n"/>
      <c r="K43" s="66" t="n"/>
      <c r="L43" s="67" t="n"/>
      <c r="M43" s="67" t="n"/>
      <c r="N43" s="66" t="n"/>
      <c r="O43" s="67" t="n"/>
      <c r="P43" s="67" t="n"/>
      <c r="Q43" s="66" t="n"/>
      <c r="R43" s="67" t="n"/>
      <c r="S43" s="67" t="n"/>
      <c r="T43" s="66" t="n"/>
      <c r="U43" s="67" t="n"/>
      <c r="V43" s="67" t="n"/>
      <c r="W43" s="66" t="n"/>
      <c r="X43" s="67" t="n"/>
      <c r="Y43" s="67" t="n"/>
      <c r="Z43" s="66" t="n"/>
      <c r="AA43" s="67" t="n"/>
      <c r="AB43" s="67" t="n"/>
      <c r="AC43" s="66" t="n"/>
      <c r="AD43" s="67" t="n"/>
      <c r="AE43" s="67" t="n"/>
      <c r="AF43" s="66" t="n"/>
      <c r="AG43" s="67" t="n"/>
      <c r="AH43" s="67" t="n"/>
      <c r="AI43" s="66" t="n"/>
      <c r="AJ43" s="67" t="n"/>
      <c r="AK43" s="67" t="n"/>
      <c r="AL43" s="66" t="n"/>
      <c r="AM43" s="67" t="n"/>
      <c r="AN43" s="67" t="n"/>
      <c r="AO43" s="66" t="n"/>
      <c r="AP43" s="67" t="n"/>
      <c r="AQ43" s="67" t="n"/>
      <c r="AR43" s="66" t="n"/>
      <c r="AS43" s="67" t="n"/>
      <c r="AT43" s="67" t="n"/>
      <c r="AU43" s="66" t="n"/>
      <c r="AV43" s="67" t="n"/>
      <c r="AW43" s="67" t="n"/>
      <c r="AX43" s="66" t="n"/>
      <c r="AY43" s="67" t="n"/>
      <c r="AZ43" s="67" t="n"/>
      <c r="BA43" s="66" t="n"/>
      <c r="BB43" s="67" t="n"/>
      <c r="BC43" s="67" t="n"/>
      <c r="BD43" s="66" t="n"/>
      <c r="BE43" s="67" t="n"/>
      <c r="BF43" s="67" t="n"/>
      <c r="BG43" s="66" t="n"/>
      <c r="BH43" s="67" t="n"/>
      <c r="BI43" s="67" t="n"/>
      <c r="BJ43" s="66" t="n"/>
      <c r="BK43" s="67" t="n"/>
      <c r="BL43" s="67" t="n"/>
      <c r="BM43" s="66" t="n"/>
      <c r="BN43" s="67" t="n"/>
      <c r="BO43" s="67" t="n"/>
      <c r="BP43" s="66" t="n"/>
      <c r="BQ43" s="67" t="n"/>
      <c r="BR43" s="67" t="n"/>
      <c r="BS43" s="66" t="n"/>
      <c r="BT43" s="67" t="n"/>
      <c r="BU43" s="67" t="n"/>
      <c r="BV43" s="66" t="n"/>
      <c r="BW43" s="67" t="n"/>
      <c r="BX43" s="67" t="n"/>
      <c r="BY43" s="66" t="n"/>
      <c r="BZ43" s="67" t="n"/>
      <c r="CA43" s="67" t="n"/>
      <c r="CB43" s="66" t="n"/>
      <c r="CC43" s="67" t="n"/>
      <c r="CD43" s="67" t="n"/>
      <c r="CE43" s="66" t="n"/>
      <c r="CF43" s="67" t="n"/>
      <c r="CG43" s="67" t="n"/>
      <c r="CH43" s="66" t="n"/>
      <c r="CI43" s="67" t="n"/>
      <c r="CJ43" s="67" t="n"/>
      <c r="CK43" s="66" t="n"/>
      <c r="CL43" s="67" t="n"/>
      <c r="CM43" s="67" t="n"/>
      <c r="CN43" s="66" t="n"/>
      <c r="CO43" s="67" t="n"/>
      <c r="CP43" s="67" t="n"/>
      <c r="CQ43" s="66" t="n"/>
      <c r="CR43" s="67" t="n"/>
      <c r="CS43" s="67" t="n"/>
    </row>
    <row r="44" ht="17" customHeight="1">
      <c r="A44" s="20" t="n"/>
      <c r="B44" s="16">
        <f>IFERROR(INDEX(設定!$C$57:$C$196,MATCH($A44,設定!$B$57:$B$196,0)),"")</f>
        <v/>
      </c>
      <c r="C44" s="65">
        <f>IFERROR(INDEX(設定!$E$57:$E$196,MATCH($A44,設定!$B$57:$B$196,0)),"")</f>
        <v/>
      </c>
      <c r="D44" s="16">
        <f>IFERROR(INDEX(設定!$F$57:$F$196,MATCH($A44,設定!$B$57:$B$196,0)),"")</f>
        <v/>
      </c>
      <c r="E44" s="66" t="n"/>
      <c r="F44" s="67" t="n"/>
      <c r="G44" s="67" t="n"/>
      <c r="H44" s="66" t="n"/>
      <c r="I44" s="67" t="n"/>
      <c r="J44" s="67" t="n"/>
      <c r="K44" s="66" t="n"/>
      <c r="L44" s="67" t="n"/>
      <c r="M44" s="67" t="n"/>
      <c r="N44" s="66" t="n"/>
      <c r="O44" s="67" t="n"/>
      <c r="P44" s="67" t="n"/>
      <c r="Q44" s="66" t="n"/>
      <c r="R44" s="67" t="n"/>
      <c r="S44" s="67" t="n"/>
      <c r="T44" s="66" t="n"/>
      <c r="U44" s="67" t="n"/>
      <c r="V44" s="67" t="n"/>
      <c r="W44" s="66" t="n"/>
      <c r="X44" s="67" t="n"/>
      <c r="Y44" s="67" t="n"/>
      <c r="Z44" s="66" t="n"/>
      <c r="AA44" s="67" t="n"/>
      <c r="AB44" s="67" t="n"/>
      <c r="AC44" s="66" t="n"/>
      <c r="AD44" s="67" t="n"/>
      <c r="AE44" s="67" t="n"/>
      <c r="AF44" s="66" t="n"/>
      <c r="AG44" s="67" t="n"/>
      <c r="AH44" s="67" t="n"/>
      <c r="AI44" s="66" t="n"/>
      <c r="AJ44" s="67" t="n"/>
      <c r="AK44" s="67" t="n"/>
      <c r="AL44" s="66" t="n"/>
      <c r="AM44" s="67" t="n"/>
      <c r="AN44" s="67" t="n"/>
      <c r="AO44" s="66" t="n"/>
      <c r="AP44" s="67" t="n"/>
      <c r="AQ44" s="67" t="n"/>
      <c r="AR44" s="66" t="n"/>
      <c r="AS44" s="67" t="n"/>
      <c r="AT44" s="67" t="n"/>
      <c r="AU44" s="66" t="n"/>
      <c r="AV44" s="67" t="n"/>
      <c r="AW44" s="67" t="n"/>
      <c r="AX44" s="66" t="n"/>
      <c r="AY44" s="67" t="n"/>
      <c r="AZ44" s="67" t="n"/>
      <c r="BA44" s="66" t="n"/>
      <c r="BB44" s="67" t="n"/>
      <c r="BC44" s="67" t="n"/>
      <c r="BD44" s="66" t="n"/>
      <c r="BE44" s="67" t="n"/>
      <c r="BF44" s="67" t="n"/>
      <c r="BG44" s="66" t="n"/>
      <c r="BH44" s="67" t="n"/>
      <c r="BI44" s="67" t="n"/>
      <c r="BJ44" s="66" t="n"/>
      <c r="BK44" s="67" t="n"/>
      <c r="BL44" s="67" t="n"/>
      <c r="BM44" s="66" t="n"/>
      <c r="BN44" s="67" t="n"/>
      <c r="BO44" s="67" t="n"/>
      <c r="BP44" s="66" t="n"/>
      <c r="BQ44" s="67" t="n"/>
      <c r="BR44" s="67" t="n"/>
      <c r="BS44" s="66" t="n"/>
      <c r="BT44" s="67" t="n"/>
      <c r="BU44" s="67" t="n"/>
      <c r="BV44" s="66" t="n"/>
      <c r="BW44" s="67" t="n"/>
      <c r="BX44" s="67" t="n"/>
      <c r="BY44" s="66" t="n"/>
      <c r="BZ44" s="67" t="n"/>
      <c r="CA44" s="67" t="n"/>
      <c r="CB44" s="66" t="n"/>
      <c r="CC44" s="67" t="n"/>
      <c r="CD44" s="67" t="n"/>
      <c r="CE44" s="66" t="n"/>
      <c r="CF44" s="67" t="n"/>
      <c r="CG44" s="67" t="n"/>
      <c r="CH44" s="66" t="n"/>
      <c r="CI44" s="67" t="n"/>
      <c r="CJ44" s="67" t="n"/>
      <c r="CK44" s="66" t="n"/>
      <c r="CL44" s="67" t="n"/>
      <c r="CM44" s="67" t="n"/>
      <c r="CN44" s="66" t="n"/>
      <c r="CO44" s="67" t="n"/>
      <c r="CP44" s="67" t="n"/>
      <c r="CQ44" s="66" t="n"/>
      <c r="CR44" s="67" t="n"/>
      <c r="CS44" s="67" t="n"/>
    </row>
    <row r="45" ht="17" customHeight="1">
      <c r="A45" s="20" t="n"/>
      <c r="B45" s="16">
        <f>IFERROR(INDEX(設定!$C$57:$C$196,MATCH($A45,設定!$B$57:$B$196,0)),"")</f>
        <v/>
      </c>
      <c r="C45" s="65">
        <f>IFERROR(INDEX(設定!$E$57:$E$196,MATCH($A45,設定!$B$57:$B$196,0)),"")</f>
        <v/>
      </c>
      <c r="D45" s="16">
        <f>IFERROR(INDEX(設定!$F$57:$F$196,MATCH($A45,設定!$B$57:$B$196,0)),"")</f>
        <v/>
      </c>
      <c r="E45" s="66" t="n"/>
      <c r="F45" s="67" t="n"/>
      <c r="G45" s="67" t="n"/>
      <c r="H45" s="66" t="n"/>
      <c r="I45" s="67" t="n"/>
      <c r="J45" s="67" t="n"/>
      <c r="K45" s="66" t="n"/>
      <c r="L45" s="67" t="n"/>
      <c r="M45" s="67" t="n"/>
      <c r="N45" s="66" t="n"/>
      <c r="O45" s="67" t="n"/>
      <c r="P45" s="67" t="n"/>
      <c r="Q45" s="66" t="n"/>
      <c r="R45" s="67" t="n"/>
      <c r="S45" s="67" t="n"/>
      <c r="T45" s="66" t="n"/>
      <c r="U45" s="67" t="n"/>
      <c r="V45" s="67" t="n"/>
      <c r="W45" s="66" t="n"/>
      <c r="X45" s="67" t="n"/>
      <c r="Y45" s="67" t="n"/>
      <c r="Z45" s="66" t="n"/>
      <c r="AA45" s="67" t="n"/>
      <c r="AB45" s="67" t="n"/>
      <c r="AC45" s="66" t="n"/>
      <c r="AD45" s="67" t="n"/>
      <c r="AE45" s="67" t="n"/>
      <c r="AF45" s="66" t="n"/>
      <c r="AG45" s="67" t="n"/>
      <c r="AH45" s="67" t="n"/>
      <c r="AI45" s="66" t="n"/>
      <c r="AJ45" s="67" t="n"/>
      <c r="AK45" s="67" t="n"/>
      <c r="AL45" s="66" t="n"/>
      <c r="AM45" s="67" t="n"/>
      <c r="AN45" s="67" t="n"/>
      <c r="AO45" s="66" t="n"/>
      <c r="AP45" s="67" t="n"/>
      <c r="AQ45" s="67" t="n"/>
      <c r="AR45" s="66" t="n"/>
      <c r="AS45" s="67" t="n"/>
      <c r="AT45" s="67" t="n"/>
      <c r="AU45" s="66" t="n"/>
      <c r="AV45" s="67" t="n"/>
      <c r="AW45" s="67" t="n"/>
      <c r="AX45" s="66" t="n"/>
      <c r="AY45" s="67" t="n"/>
      <c r="AZ45" s="67" t="n"/>
      <c r="BA45" s="66" t="n"/>
      <c r="BB45" s="67" t="n"/>
      <c r="BC45" s="67" t="n"/>
      <c r="BD45" s="66" t="n"/>
      <c r="BE45" s="67" t="n"/>
      <c r="BF45" s="67" t="n"/>
      <c r="BG45" s="66" t="n"/>
      <c r="BH45" s="67" t="n"/>
      <c r="BI45" s="67" t="n"/>
      <c r="BJ45" s="66" t="n"/>
      <c r="BK45" s="67" t="n"/>
      <c r="BL45" s="67" t="n"/>
      <c r="BM45" s="66" t="n"/>
      <c r="BN45" s="67" t="n"/>
      <c r="BO45" s="67" t="n"/>
      <c r="BP45" s="66" t="n"/>
      <c r="BQ45" s="67" t="n"/>
      <c r="BR45" s="67" t="n"/>
      <c r="BS45" s="66" t="n"/>
      <c r="BT45" s="67" t="n"/>
      <c r="BU45" s="67" t="n"/>
      <c r="BV45" s="66" t="n"/>
      <c r="BW45" s="67" t="n"/>
      <c r="BX45" s="67" t="n"/>
      <c r="BY45" s="66" t="n"/>
      <c r="BZ45" s="67" t="n"/>
      <c r="CA45" s="67" t="n"/>
      <c r="CB45" s="66" t="n"/>
      <c r="CC45" s="67" t="n"/>
      <c r="CD45" s="67" t="n"/>
      <c r="CE45" s="66" t="n"/>
      <c r="CF45" s="67" t="n"/>
      <c r="CG45" s="67" t="n"/>
      <c r="CH45" s="66" t="n"/>
      <c r="CI45" s="67" t="n"/>
      <c r="CJ45" s="67" t="n"/>
      <c r="CK45" s="66" t="n"/>
      <c r="CL45" s="67" t="n"/>
      <c r="CM45" s="67" t="n"/>
      <c r="CN45" s="66" t="n"/>
      <c r="CO45" s="67" t="n"/>
      <c r="CP45" s="67" t="n"/>
      <c r="CQ45" s="66" t="n"/>
      <c r="CR45" s="67" t="n"/>
      <c r="CS45" s="67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68" t="inlineStr">
        <is>
          <t>悅 晶悅</t>
        </is>
      </c>
      <c r="B47" s="8" t="n"/>
      <c r="C47" s="8" t="n"/>
      <c r="D47" s="9" t="n"/>
      <c r="E47" s="69">
        <f>IF(E$4="","",IF(COUNTIF(設定!$W$6:$W$40,DATE(設定!$C$2,設定!$D$2,1))&gt;0,"假",IF(INDEX(設定!$U$47:$AL$47,(WEEKDAY(DATE(設定!$C$2,設定!$D$2,1),2)-1)*3+1)=0,"休",COUNTIF(E$6:E$45,"悅"))))</f>
        <v/>
      </c>
      <c r="F47" s="70">
        <f>IF(F$4="","",IF(COUNTIF(設定!$W$6:$W$40,DATE(設定!$C$2,設定!$D$2,1))&gt;0,"假",IF(INDEX(設定!$U$47:$AL$47,(WEEKDAY(DATE(設定!$C$2,設定!$D$2,1),2)-1)*3+2)=0,"休",COUNTIF(F$6:F$45,"悅"))))</f>
        <v/>
      </c>
      <c r="G47" s="70">
        <f>IF(G$4="","",IF(COUNTIF(設定!$W$6:$W$40,DATE(設定!$C$2,設定!$D$2,1))&gt;0,"假",IF(INDEX(設定!$U$47:$AL$47,(WEEKDAY(DATE(設定!$C$2,設定!$D$2,1),2)-1)*3+3)=0,"休",COUNTIF(G$6:G$45,"悅"))))</f>
        <v/>
      </c>
      <c r="H47" s="69">
        <f>IF(H$4="","",IF(COUNTIF(設定!$W$6:$W$40,DATE(設定!$C$2,設定!$D$2,2))&gt;0,"假",IF(INDEX(設定!$U$47:$AL$47,(WEEKDAY(DATE(設定!$C$2,設定!$D$2,2),2)-1)*3+1)=0,"休",COUNTIF(H$6:H$45,"悅"))))</f>
        <v/>
      </c>
      <c r="I47" s="70">
        <f>IF(I$4="","",IF(COUNTIF(設定!$W$6:$W$40,DATE(設定!$C$2,設定!$D$2,2))&gt;0,"假",IF(INDEX(設定!$U$47:$AL$47,(WEEKDAY(DATE(設定!$C$2,設定!$D$2,2),2)-1)*3+2)=0,"休",COUNTIF(I$6:I$45,"悅"))))</f>
        <v/>
      </c>
      <c r="J47" s="70">
        <f>IF(J$4="","",IF(COUNTIF(設定!$W$6:$W$40,DATE(設定!$C$2,設定!$D$2,2))&gt;0,"假",IF(INDEX(設定!$U$47:$AL$47,(WEEKDAY(DATE(設定!$C$2,設定!$D$2,2),2)-1)*3+3)=0,"休",COUNTIF(J$6:J$45,"悅"))))</f>
        <v/>
      </c>
      <c r="K47" s="69">
        <f>IF(K$4="","",IF(COUNTIF(設定!$W$6:$W$40,DATE(設定!$C$2,設定!$D$2,3))&gt;0,"假",IF(INDEX(設定!$U$47:$AL$47,(WEEKDAY(DATE(設定!$C$2,設定!$D$2,3),2)-1)*3+1)=0,"休",COUNTIF(K$6:K$45,"悅"))))</f>
        <v/>
      </c>
      <c r="L47" s="70">
        <f>IF(L$4="","",IF(COUNTIF(設定!$W$6:$W$40,DATE(設定!$C$2,設定!$D$2,3))&gt;0,"假",IF(INDEX(設定!$U$47:$AL$47,(WEEKDAY(DATE(設定!$C$2,設定!$D$2,3),2)-1)*3+2)=0,"休",COUNTIF(L$6:L$45,"悅"))))</f>
        <v/>
      </c>
      <c r="M47" s="70">
        <f>IF(M$4="","",IF(COUNTIF(設定!$W$6:$W$40,DATE(設定!$C$2,設定!$D$2,3))&gt;0,"假",IF(INDEX(設定!$U$47:$AL$47,(WEEKDAY(DATE(設定!$C$2,設定!$D$2,3),2)-1)*3+3)=0,"休",COUNTIF(M$6:M$45,"悅"))))</f>
        <v/>
      </c>
      <c r="N47" s="69">
        <f>IF(N$4="","",IF(COUNTIF(設定!$W$6:$W$40,DATE(設定!$C$2,設定!$D$2,4))&gt;0,"假",IF(INDEX(設定!$U$47:$AL$47,(WEEKDAY(DATE(設定!$C$2,設定!$D$2,4),2)-1)*3+1)=0,"休",COUNTIF(N$6:N$45,"悅"))))</f>
        <v/>
      </c>
      <c r="O47" s="70">
        <f>IF(O$4="","",IF(COUNTIF(設定!$W$6:$W$40,DATE(設定!$C$2,設定!$D$2,4))&gt;0,"假",IF(INDEX(設定!$U$47:$AL$47,(WEEKDAY(DATE(設定!$C$2,設定!$D$2,4),2)-1)*3+2)=0,"休",COUNTIF(O$6:O$45,"悅"))))</f>
        <v/>
      </c>
      <c r="P47" s="70">
        <f>IF(P$4="","",IF(COUNTIF(設定!$W$6:$W$40,DATE(設定!$C$2,設定!$D$2,4))&gt;0,"假",IF(INDEX(設定!$U$47:$AL$47,(WEEKDAY(DATE(設定!$C$2,設定!$D$2,4),2)-1)*3+3)=0,"休",COUNTIF(P$6:P$45,"悅"))))</f>
        <v/>
      </c>
      <c r="Q47" s="69">
        <f>IF(Q$4="","",IF(COUNTIF(設定!$W$6:$W$40,DATE(設定!$C$2,設定!$D$2,5))&gt;0,"假",IF(INDEX(設定!$U$47:$AL$47,(WEEKDAY(DATE(設定!$C$2,設定!$D$2,5),2)-1)*3+1)=0,"休",COUNTIF(Q$6:Q$45,"悅"))))</f>
        <v/>
      </c>
      <c r="R47" s="70">
        <f>IF(R$4="","",IF(COUNTIF(設定!$W$6:$W$40,DATE(設定!$C$2,設定!$D$2,5))&gt;0,"假",IF(INDEX(設定!$U$47:$AL$47,(WEEKDAY(DATE(設定!$C$2,設定!$D$2,5),2)-1)*3+2)=0,"休",COUNTIF(R$6:R$45,"悅"))))</f>
        <v/>
      </c>
      <c r="S47" s="70">
        <f>IF(S$4="","",IF(COUNTIF(設定!$W$6:$W$40,DATE(設定!$C$2,設定!$D$2,5))&gt;0,"假",IF(INDEX(設定!$U$47:$AL$47,(WEEKDAY(DATE(設定!$C$2,設定!$D$2,5),2)-1)*3+3)=0,"休",COUNTIF(S$6:S$45,"悅"))))</f>
        <v/>
      </c>
      <c r="T47" s="69">
        <f>IF(T$4="","",IF(COUNTIF(設定!$W$6:$W$40,DATE(設定!$C$2,設定!$D$2,6))&gt;0,"假",IF(INDEX(設定!$U$47:$AL$47,(WEEKDAY(DATE(設定!$C$2,設定!$D$2,6),2)-1)*3+1)=0,"休",COUNTIF(T$6:T$45,"悅"))))</f>
        <v/>
      </c>
      <c r="U47" s="70">
        <f>IF(U$4="","",IF(COUNTIF(設定!$W$6:$W$40,DATE(設定!$C$2,設定!$D$2,6))&gt;0,"假",IF(INDEX(設定!$U$47:$AL$47,(WEEKDAY(DATE(設定!$C$2,設定!$D$2,6),2)-1)*3+2)=0,"休",COUNTIF(U$6:U$45,"悅"))))</f>
        <v/>
      </c>
      <c r="V47" s="70">
        <f>IF(V$4="","",IF(COUNTIF(設定!$W$6:$W$40,DATE(設定!$C$2,設定!$D$2,6))&gt;0,"假",IF(INDEX(設定!$U$47:$AL$47,(WEEKDAY(DATE(設定!$C$2,設定!$D$2,6),2)-1)*3+3)=0,"休",COUNTIF(V$6:V$45,"悅"))))</f>
        <v/>
      </c>
      <c r="W47" s="69">
        <f>IF(W$4="","",IF(COUNTIF(設定!$W$6:$W$40,DATE(設定!$C$2,設定!$D$2,7))&gt;0,"假",IF(INDEX(設定!$U$47:$AL$47,(WEEKDAY(DATE(設定!$C$2,設定!$D$2,7),2)-1)*3+1)=0,"休",COUNTIF(W$6:W$45,"悅"))))</f>
        <v/>
      </c>
      <c r="X47" s="70">
        <f>IF(X$4="","",IF(COUNTIF(設定!$W$6:$W$40,DATE(設定!$C$2,設定!$D$2,7))&gt;0,"假",IF(INDEX(設定!$U$47:$AL$47,(WEEKDAY(DATE(設定!$C$2,設定!$D$2,7),2)-1)*3+2)=0,"休",COUNTIF(X$6:X$45,"悅"))))</f>
        <v/>
      </c>
      <c r="Y47" s="70">
        <f>IF(Y$4="","",IF(COUNTIF(設定!$W$6:$W$40,DATE(設定!$C$2,設定!$D$2,7))&gt;0,"假",IF(INDEX(設定!$U$47:$AL$47,(WEEKDAY(DATE(設定!$C$2,設定!$D$2,7),2)-1)*3+3)=0,"休",COUNTIF(Y$6:Y$45,"悅"))))</f>
        <v/>
      </c>
      <c r="Z47" s="69">
        <f>IF(Z$4="","",IF(COUNTIF(設定!$W$6:$W$40,DATE(設定!$C$2,設定!$D$2,8))&gt;0,"假",IF(INDEX(設定!$U$47:$AL$47,(WEEKDAY(DATE(設定!$C$2,設定!$D$2,8),2)-1)*3+1)=0,"休",COUNTIF(Z$6:Z$45,"悅"))))</f>
        <v/>
      </c>
      <c r="AA47" s="70">
        <f>IF(AA$4="","",IF(COUNTIF(設定!$W$6:$W$40,DATE(設定!$C$2,設定!$D$2,8))&gt;0,"假",IF(INDEX(設定!$U$47:$AL$47,(WEEKDAY(DATE(設定!$C$2,設定!$D$2,8),2)-1)*3+2)=0,"休",COUNTIF(AA$6:AA$45,"悅"))))</f>
        <v/>
      </c>
      <c r="AB47" s="70">
        <f>IF(AB$4="","",IF(COUNTIF(設定!$W$6:$W$40,DATE(設定!$C$2,設定!$D$2,8))&gt;0,"假",IF(INDEX(設定!$U$47:$AL$47,(WEEKDAY(DATE(設定!$C$2,設定!$D$2,8),2)-1)*3+3)=0,"休",COUNTIF(AB$6:AB$45,"悅"))))</f>
        <v/>
      </c>
      <c r="AC47" s="69">
        <f>IF(AC$4="","",IF(COUNTIF(設定!$W$6:$W$40,DATE(設定!$C$2,設定!$D$2,9))&gt;0,"假",IF(INDEX(設定!$U$47:$AL$47,(WEEKDAY(DATE(設定!$C$2,設定!$D$2,9),2)-1)*3+1)=0,"休",COUNTIF(AC$6:AC$45,"悅"))))</f>
        <v/>
      </c>
      <c r="AD47" s="70">
        <f>IF(AD$4="","",IF(COUNTIF(設定!$W$6:$W$40,DATE(設定!$C$2,設定!$D$2,9))&gt;0,"假",IF(INDEX(設定!$U$47:$AL$47,(WEEKDAY(DATE(設定!$C$2,設定!$D$2,9),2)-1)*3+2)=0,"休",COUNTIF(AD$6:AD$45,"悅"))))</f>
        <v/>
      </c>
      <c r="AE47" s="70">
        <f>IF(AE$4="","",IF(COUNTIF(設定!$W$6:$W$40,DATE(設定!$C$2,設定!$D$2,9))&gt;0,"假",IF(INDEX(設定!$U$47:$AL$47,(WEEKDAY(DATE(設定!$C$2,設定!$D$2,9),2)-1)*3+3)=0,"休",COUNTIF(AE$6:AE$45,"悅"))))</f>
        <v/>
      </c>
      <c r="AF47" s="69">
        <f>IF(AF$4="","",IF(COUNTIF(設定!$W$6:$W$40,DATE(設定!$C$2,設定!$D$2,10))&gt;0,"假",IF(INDEX(設定!$U$47:$AL$47,(WEEKDAY(DATE(設定!$C$2,設定!$D$2,10),2)-1)*3+1)=0,"休",COUNTIF(AF$6:AF$45,"悅"))))</f>
        <v/>
      </c>
      <c r="AG47" s="70">
        <f>IF(AG$4="","",IF(COUNTIF(設定!$W$6:$W$40,DATE(設定!$C$2,設定!$D$2,10))&gt;0,"假",IF(INDEX(設定!$U$47:$AL$47,(WEEKDAY(DATE(設定!$C$2,設定!$D$2,10),2)-1)*3+2)=0,"休",COUNTIF(AG$6:AG$45,"悅"))))</f>
        <v/>
      </c>
      <c r="AH47" s="70">
        <f>IF(AH$4="","",IF(COUNTIF(設定!$W$6:$W$40,DATE(設定!$C$2,設定!$D$2,10))&gt;0,"假",IF(INDEX(設定!$U$47:$AL$47,(WEEKDAY(DATE(設定!$C$2,設定!$D$2,10),2)-1)*3+3)=0,"休",COUNTIF(AH$6:AH$45,"悅"))))</f>
        <v/>
      </c>
      <c r="AI47" s="69">
        <f>IF(AI$4="","",IF(COUNTIF(設定!$W$6:$W$40,DATE(設定!$C$2,設定!$D$2,11))&gt;0,"假",IF(INDEX(設定!$U$47:$AL$47,(WEEKDAY(DATE(設定!$C$2,設定!$D$2,11),2)-1)*3+1)=0,"休",COUNTIF(AI$6:AI$45,"悅"))))</f>
        <v/>
      </c>
      <c r="AJ47" s="70">
        <f>IF(AJ$4="","",IF(COUNTIF(設定!$W$6:$W$40,DATE(設定!$C$2,設定!$D$2,11))&gt;0,"假",IF(INDEX(設定!$U$47:$AL$47,(WEEKDAY(DATE(設定!$C$2,設定!$D$2,11),2)-1)*3+2)=0,"休",COUNTIF(AJ$6:AJ$45,"悅"))))</f>
        <v/>
      </c>
      <c r="AK47" s="70">
        <f>IF(AK$4="","",IF(COUNTIF(設定!$W$6:$W$40,DATE(設定!$C$2,設定!$D$2,11))&gt;0,"假",IF(INDEX(設定!$U$47:$AL$47,(WEEKDAY(DATE(設定!$C$2,設定!$D$2,11),2)-1)*3+3)=0,"休",COUNTIF(AK$6:AK$45,"悅"))))</f>
        <v/>
      </c>
      <c r="AL47" s="69">
        <f>IF(AL$4="","",IF(COUNTIF(設定!$W$6:$W$40,DATE(設定!$C$2,設定!$D$2,12))&gt;0,"假",IF(INDEX(設定!$U$47:$AL$47,(WEEKDAY(DATE(設定!$C$2,設定!$D$2,12),2)-1)*3+1)=0,"休",COUNTIF(AL$6:AL$45,"悅"))))</f>
        <v/>
      </c>
      <c r="AM47" s="70">
        <f>IF(AM$4="","",IF(COUNTIF(設定!$W$6:$W$40,DATE(設定!$C$2,設定!$D$2,12))&gt;0,"假",IF(INDEX(設定!$U$47:$AL$47,(WEEKDAY(DATE(設定!$C$2,設定!$D$2,12),2)-1)*3+2)=0,"休",COUNTIF(AM$6:AM$45,"悅"))))</f>
        <v/>
      </c>
      <c r="AN47" s="70">
        <f>IF(AN$4="","",IF(COUNTIF(設定!$W$6:$W$40,DATE(設定!$C$2,設定!$D$2,12))&gt;0,"假",IF(INDEX(設定!$U$47:$AL$47,(WEEKDAY(DATE(設定!$C$2,設定!$D$2,12),2)-1)*3+3)=0,"休",COUNTIF(AN$6:AN$45,"悅"))))</f>
        <v/>
      </c>
      <c r="AO47" s="69">
        <f>IF(AO$4="","",IF(COUNTIF(設定!$W$6:$W$40,DATE(設定!$C$2,設定!$D$2,13))&gt;0,"假",IF(INDEX(設定!$U$47:$AL$47,(WEEKDAY(DATE(設定!$C$2,設定!$D$2,13),2)-1)*3+1)=0,"休",COUNTIF(AO$6:AO$45,"悅"))))</f>
        <v/>
      </c>
      <c r="AP47" s="70">
        <f>IF(AP$4="","",IF(COUNTIF(設定!$W$6:$W$40,DATE(設定!$C$2,設定!$D$2,13))&gt;0,"假",IF(INDEX(設定!$U$47:$AL$47,(WEEKDAY(DATE(設定!$C$2,設定!$D$2,13),2)-1)*3+2)=0,"休",COUNTIF(AP$6:AP$45,"悅"))))</f>
        <v/>
      </c>
      <c r="AQ47" s="70">
        <f>IF(AQ$4="","",IF(COUNTIF(設定!$W$6:$W$40,DATE(設定!$C$2,設定!$D$2,13))&gt;0,"假",IF(INDEX(設定!$U$47:$AL$47,(WEEKDAY(DATE(設定!$C$2,設定!$D$2,13),2)-1)*3+3)=0,"休",COUNTIF(AQ$6:AQ$45,"悅"))))</f>
        <v/>
      </c>
      <c r="AR47" s="69">
        <f>IF(AR$4="","",IF(COUNTIF(設定!$W$6:$W$40,DATE(設定!$C$2,設定!$D$2,14))&gt;0,"假",IF(INDEX(設定!$U$47:$AL$47,(WEEKDAY(DATE(設定!$C$2,設定!$D$2,14),2)-1)*3+1)=0,"休",COUNTIF(AR$6:AR$45,"悅"))))</f>
        <v/>
      </c>
      <c r="AS47" s="70">
        <f>IF(AS$4="","",IF(COUNTIF(設定!$W$6:$W$40,DATE(設定!$C$2,設定!$D$2,14))&gt;0,"假",IF(INDEX(設定!$U$47:$AL$47,(WEEKDAY(DATE(設定!$C$2,設定!$D$2,14),2)-1)*3+2)=0,"休",COUNTIF(AS$6:AS$45,"悅"))))</f>
        <v/>
      </c>
      <c r="AT47" s="70">
        <f>IF(AT$4="","",IF(COUNTIF(設定!$W$6:$W$40,DATE(設定!$C$2,設定!$D$2,14))&gt;0,"假",IF(INDEX(設定!$U$47:$AL$47,(WEEKDAY(DATE(設定!$C$2,設定!$D$2,14),2)-1)*3+3)=0,"休",COUNTIF(AT$6:AT$45,"悅"))))</f>
        <v/>
      </c>
      <c r="AU47" s="69">
        <f>IF(AU$4="","",IF(COUNTIF(設定!$W$6:$W$40,DATE(設定!$C$2,設定!$D$2,15))&gt;0,"假",IF(INDEX(設定!$U$47:$AL$47,(WEEKDAY(DATE(設定!$C$2,設定!$D$2,15),2)-1)*3+1)=0,"休",COUNTIF(AU$6:AU$45,"悅"))))</f>
        <v/>
      </c>
      <c r="AV47" s="70">
        <f>IF(AV$4="","",IF(COUNTIF(設定!$W$6:$W$40,DATE(設定!$C$2,設定!$D$2,15))&gt;0,"假",IF(INDEX(設定!$U$47:$AL$47,(WEEKDAY(DATE(設定!$C$2,設定!$D$2,15),2)-1)*3+2)=0,"休",COUNTIF(AV$6:AV$45,"悅"))))</f>
        <v/>
      </c>
      <c r="AW47" s="70">
        <f>IF(AW$4="","",IF(COUNTIF(設定!$W$6:$W$40,DATE(設定!$C$2,設定!$D$2,15))&gt;0,"假",IF(INDEX(設定!$U$47:$AL$47,(WEEKDAY(DATE(設定!$C$2,設定!$D$2,15),2)-1)*3+3)=0,"休",COUNTIF(AW$6:AW$45,"悅"))))</f>
        <v/>
      </c>
      <c r="AX47" s="69">
        <f>IF(AX$4="","",IF(COUNTIF(設定!$W$6:$W$40,DATE(設定!$C$2,設定!$D$2,16))&gt;0,"假",IF(INDEX(設定!$U$47:$AL$47,(WEEKDAY(DATE(設定!$C$2,設定!$D$2,16),2)-1)*3+1)=0,"休",COUNTIF(AX$6:AX$45,"悅"))))</f>
        <v/>
      </c>
      <c r="AY47" s="70">
        <f>IF(AY$4="","",IF(COUNTIF(設定!$W$6:$W$40,DATE(設定!$C$2,設定!$D$2,16))&gt;0,"假",IF(INDEX(設定!$U$47:$AL$47,(WEEKDAY(DATE(設定!$C$2,設定!$D$2,16),2)-1)*3+2)=0,"休",COUNTIF(AY$6:AY$45,"悅"))))</f>
        <v/>
      </c>
      <c r="AZ47" s="70">
        <f>IF(AZ$4="","",IF(COUNTIF(設定!$W$6:$W$40,DATE(設定!$C$2,設定!$D$2,16))&gt;0,"假",IF(INDEX(設定!$U$47:$AL$47,(WEEKDAY(DATE(設定!$C$2,設定!$D$2,16),2)-1)*3+3)=0,"休",COUNTIF(AZ$6:AZ$45,"悅"))))</f>
        <v/>
      </c>
      <c r="BA47" s="69">
        <f>IF(BA$4="","",IF(COUNTIF(設定!$W$6:$W$40,DATE(設定!$C$2,設定!$D$2,17))&gt;0,"假",IF(INDEX(設定!$U$47:$AL$47,(WEEKDAY(DATE(設定!$C$2,設定!$D$2,17),2)-1)*3+1)=0,"休",COUNTIF(BA$6:BA$45,"悅"))))</f>
        <v/>
      </c>
      <c r="BB47" s="70">
        <f>IF(BB$4="","",IF(COUNTIF(設定!$W$6:$W$40,DATE(設定!$C$2,設定!$D$2,17))&gt;0,"假",IF(INDEX(設定!$U$47:$AL$47,(WEEKDAY(DATE(設定!$C$2,設定!$D$2,17),2)-1)*3+2)=0,"休",COUNTIF(BB$6:BB$45,"悅"))))</f>
        <v/>
      </c>
      <c r="BC47" s="70">
        <f>IF(BC$4="","",IF(COUNTIF(設定!$W$6:$W$40,DATE(設定!$C$2,設定!$D$2,17))&gt;0,"假",IF(INDEX(設定!$U$47:$AL$47,(WEEKDAY(DATE(設定!$C$2,設定!$D$2,17),2)-1)*3+3)=0,"休",COUNTIF(BC$6:BC$45,"悅"))))</f>
        <v/>
      </c>
      <c r="BD47" s="69">
        <f>IF(BD$4="","",IF(COUNTIF(設定!$W$6:$W$40,DATE(設定!$C$2,設定!$D$2,18))&gt;0,"假",IF(INDEX(設定!$U$47:$AL$47,(WEEKDAY(DATE(設定!$C$2,設定!$D$2,18),2)-1)*3+1)=0,"休",COUNTIF(BD$6:BD$45,"悅"))))</f>
        <v/>
      </c>
      <c r="BE47" s="70">
        <f>IF(BE$4="","",IF(COUNTIF(設定!$W$6:$W$40,DATE(設定!$C$2,設定!$D$2,18))&gt;0,"假",IF(INDEX(設定!$U$47:$AL$47,(WEEKDAY(DATE(設定!$C$2,設定!$D$2,18),2)-1)*3+2)=0,"休",COUNTIF(BE$6:BE$45,"悅"))))</f>
        <v/>
      </c>
      <c r="BF47" s="70">
        <f>IF(BF$4="","",IF(COUNTIF(設定!$W$6:$W$40,DATE(設定!$C$2,設定!$D$2,18))&gt;0,"假",IF(INDEX(設定!$U$47:$AL$47,(WEEKDAY(DATE(設定!$C$2,設定!$D$2,18),2)-1)*3+3)=0,"休",COUNTIF(BF$6:BF$45,"悅"))))</f>
        <v/>
      </c>
      <c r="BG47" s="69">
        <f>IF(BG$4="","",IF(COUNTIF(設定!$W$6:$W$40,DATE(設定!$C$2,設定!$D$2,19))&gt;0,"假",IF(INDEX(設定!$U$47:$AL$47,(WEEKDAY(DATE(設定!$C$2,設定!$D$2,19),2)-1)*3+1)=0,"休",COUNTIF(BG$6:BG$45,"悅"))))</f>
        <v/>
      </c>
      <c r="BH47" s="70">
        <f>IF(BH$4="","",IF(COUNTIF(設定!$W$6:$W$40,DATE(設定!$C$2,設定!$D$2,19))&gt;0,"假",IF(INDEX(設定!$U$47:$AL$47,(WEEKDAY(DATE(設定!$C$2,設定!$D$2,19),2)-1)*3+2)=0,"休",COUNTIF(BH$6:BH$45,"悅"))))</f>
        <v/>
      </c>
      <c r="BI47" s="70">
        <f>IF(BI$4="","",IF(COUNTIF(設定!$W$6:$W$40,DATE(設定!$C$2,設定!$D$2,19))&gt;0,"假",IF(INDEX(設定!$U$47:$AL$47,(WEEKDAY(DATE(設定!$C$2,設定!$D$2,19),2)-1)*3+3)=0,"休",COUNTIF(BI$6:BI$45,"悅"))))</f>
        <v/>
      </c>
      <c r="BJ47" s="69">
        <f>IF(BJ$4="","",IF(COUNTIF(設定!$W$6:$W$40,DATE(設定!$C$2,設定!$D$2,20))&gt;0,"假",IF(INDEX(設定!$U$47:$AL$47,(WEEKDAY(DATE(設定!$C$2,設定!$D$2,20),2)-1)*3+1)=0,"休",COUNTIF(BJ$6:BJ$45,"悅"))))</f>
        <v/>
      </c>
      <c r="BK47" s="70">
        <f>IF(BK$4="","",IF(COUNTIF(設定!$W$6:$W$40,DATE(設定!$C$2,設定!$D$2,20))&gt;0,"假",IF(INDEX(設定!$U$47:$AL$47,(WEEKDAY(DATE(設定!$C$2,設定!$D$2,20),2)-1)*3+2)=0,"休",COUNTIF(BK$6:BK$45,"悅"))))</f>
        <v/>
      </c>
      <c r="BL47" s="70">
        <f>IF(BL$4="","",IF(COUNTIF(設定!$W$6:$W$40,DATE(設定!$C$2,設定!$D$2,20))&gt;0,"假",IF(INDEX(設定!$U$47:$AL$47,(WEEKDAY(DATE(設定!$C$2,設定!$D$2,20),2)-1)*3+3)=0,"休",COUNTIF(BL$6:BL$45,"悅"))))</f>
        <v/>
      </c>
      <c r="BM47" s="69">
        <f>IF(BM$4="","",IF(COUNTIF(設定!$W$6:$W$40,DATE(設定!$C$2,設定!$D$2,21))&gt;0,"假",IF(INDEX(設定!$U$47:$AL$47,(WEEKDAY(DATE(設定!$C$2,設定!$D$2,21),2)-1)*3+1)=0,"休",COUNTIF(BM$6:BM$45,"悅"))))</f>
        <v/>
      </c>
      <c r="BN47" s="70">
        <f>IF(BN$4="","",IF(COUNTIF(設定!$W$6:$W$40,DATE(設定!$C$2,設定!$D$2,21))&gt;0,"假",IF(INDEX(設定!$U$47:$AL$47,(WEEKDAY(DATE(設定!$C$2,設定!$D$2,21),2)-1)*3+2)=0,"休",COUNTIF(BN$6:BN$45,"悅"))))</f>
        <v/>
      </c>
      <c r="BO47" s="70">
        <f>IF(BO$4="","",IF(COUNTIF(設定!$W$6:$W$40,DATE(設定!$C$2,設定!$D$2,21))&gt;0,"假",IF(INDEX(設定!$U$47:$AL$47,(WEEKDAY(DATE(設定!$C$2,設定!$D$2,21),2)-1)*3+3)=0,"休",COUNTIF(BO$6:BO$45,"悅"))))</f>
        <v/>
      </c>
      <c r="BP47" s="69">
        <f>IF(BP$4="","",IF(COUNTIF(設定!$W$6:$W$40,DATE(設定!$C$2,設定!$D$2,22))&gt;0,"假",IF(INDEX(設定!$U$47:$AL$47,(WEEKDAY(DATE(設定!$C$2,設定!$D$2,22),2)-1)*3+1)=0,"休",COUNTIF(BP$6:BP$45,"悅"))))</f>
        <v/>
      </c>
      <c r="BQ47" s="70">
        <f>IF(BQ$4="","",IF(COUNTIF(設定!$W$6:$W$40,DATE(設定!$C$2,設定!$D$2,22))&gt;0,"假",IF(INDEX(設定!$U$47:$AL$47,(WEEKDAY(DATE(設定!$C$2,設定!$D$2,22),2)-1)*3+2)=0,"休",COUNTIF(BQ$6:BQ$45,"悅"))))</f>
        <v/>
      </c>
      <c r="BR47" s="70">
        <f>IF(BR$4="","",IF(COUNTIF(設定!$W$6:$W$40,DATE(設定!$C$2,設定!$D$2,22))&gt;0,"假",IF(INDEX(設定!$U$47:$AL$47,(WEEKDAY(DATE(設定!$C$2,設定!$D$2,22),2)-1)*3+3)=0,"休",COUNTIF(BR$6:BR$45,"悅"))))</f>
        <v/>
      </c>
      <c r="BS47" s="69">
        <f>IF(BS$4="","",IF(COUNTIF(設定!$W$6:$W$40,DATE(設定!$C$2,設定!$D$2,23))&gt;0,"假",IF(INDEX(設定!$U$47:$AL$47,(WEEKDAY(DATE(設定!$C$2,設定!$D$2,23),2)-1)*3+1)=0,"休",COUNTIF(BS$6:BS$45,"悅"))))</f>
        <v/>
      </c>
      <c r="BT47" s="70">
        <f>IF(BT$4="","",IF(COUNTIF(設定!$W$6:$W$40,DATE(設定!$C$2,設定!$D$2,23))&gt;0,"假",IF(INDEX(設定!$U$47:$AL$47,(WEEKDAY(DATE(設定!$C$2,設定!$D$2,23),2)-1)*3+2)=0,"休",COUNTIF(BT$6:BT$45,"悅"))))</f>
        <v/>
      </c>
      <c r="BU47" s="70">
        <f>IF(BU$4="","",IF(COUNTIF(設定!$W$6:$W$40,DATE(設定!$C$2,設定!$D$2,23))&gt;0,"假",IF(INDEX(設定!$U$47:$AL$47,(WEEKDAY(DATE(設定!$C$2,設定!$D$2,23),2)-1)*3+3)=0,"休",COUNTIF(BU$6:BU$45,"悅"))))</f>
        <v/>
      </c>
      <c r="BV47" s="69">
        <f>IF(BV$4="","",IF(COUNTIF(設定!$W$6:$W$40,DATE(設定!$C$2,設定!$D$2,24))&gt;0,"假",IF(INDEX(設定!$U$47:$AL$47,(WEEKDAY(DATE(設定!$C$2,設定!$D$2,24),2)-1)*3+1)=0,"休",COUNTIF(BV$6:BV$45,"悅"))))</f>
        <v/>
      </c>
      <c r="BW47" s="70">
        <f>IF(BW$4="","",IF(COUNTIF(設定!$W$6:$W$40,DATE(設定!$C$2,設定!$D$2,24))&gt;0,"假",IF(INDEX(設定!$U$47:$AL$47,(WEEKDAY(DATE(設定!$C$2,設定!$D$2,24),2)-1)*3+2)=0,"休",COUNTIF(BW$6:BW$45,"悅"))))</f>
        <v/>
      </c>
      <c r="BX47" s="70">
        <f>IF(BX$4="","",IF(COUNTIF(設定!$W$6:$W$40,DATE(設定!$C$2,設定!$D$2,24))&gt;0,"假",IF(INDEX(設定!$U$47:$AL$47,(WEEKDAY(DATE(設定!$C$2,設定!$D$2,24),2)-1)*3+3)=0,"休",COUNTIF(BX$6:BX$45,"悅"))))</f>
        <v/>
      </c>
      <c r="BY47" s="69">
        <f>IF(BY$4="","",IF(COUNTIF(設定!$W$6:$W$40,DATE(設定!$C$2,設定!$D$2,25))&gt;0,"假",IF(INDEX(設定!$U$47:$AL$47,(WEEKDAY(DATE(設定!$C$2,設定!$D$2,25),2)-1)*3+1)=0,"休",COUNTIF(BY$6:BY$45,"悅"))))</f>
        <v/>
      </c>
      <c r="BZ47" s="70">
        <f>IF(BZ$4="","",IF(COUNTIF(設定!$W$6:$W$40,DATE(設定!$C$2,設定!$D$2,25))&gt;0,"假",IF(INDEX(設定!$U$47:$AL$47,(WEEKDAY(DATE(設定!$C$2,設定!$D$2,25),2)-1)*3+2)=0,"休",COUNTIF(BZ$6:BZ$45,"悅"))))</f>
        <v/>
      </c>
      <c r="CA47" s="70">
        <f>IF(CA$4="","",IF(COUNTIF(設定!$W$6:$W$40,DATE(設定!$C$2,設定!$D$2,25))&gt;0,"假",IF(INDEX(設定!$U$47:$AL$47,(WEEKDAY(DATE(設定!$C$2,設定!$D$2,25),2)-1)*3+3)=0,"休",COUNTIF(CA$6:CA$45,"悅"))))</f>
        <v/>
      </c>
      <c r="CB47" s="69">
        <f>IF(CB$4="","",IF(COUNTIF(設定!$W$6:$W$40,DATE(設定!$C$2,設定!$D$2,26))&gt;0,"假",IF(INDEX(設定!$U$47:$AL$47,(WEEKDAY(DATE(設定!$C$2,設定!$D$2,26),2)-1)*3+1)=0,"休",COUNTIF(CB$6:CB$45,"悅"))))</f>
        <v/>
      </c>
      <c r="CC47" s="70">
        <f>IF(CC$4="","",IF(COUNTIF(設定!$W$6:$W$40,DATE(設定!$C$2,設定!$D$2,26))&gt;0,"假",IF(INDEX(設定!$U$47:$AL$47,(WEEKDAY(DATE(設定!$C$2,設定!$D$2,26),2)-1)*3+2)=0,"休",COUNTIF(CC$6:CC$45,"悅"))))</f>
        <v/>
      </c>
      <c r="CD47" s="70">
        <f>IF(CD$4="","",IF(COUNTIF(設定!$W$6:$W$40,DATE(設定!$C$2,設定!$D$2,26))&gt;0,"假",IF(INDEX(設定!$U$47:$AL$47,(WEEKDAY(DATE(設定!$C$2,設定!$D$2,26),2)-1)*3+3)=0,"休",COUNTIF(CD$6:CD$45,"悅"))))</f>
        <v/>
      </c>
      <c r="CE47" s="69">
        <f>IF(CE$4="","",IF(COUNTIF(設定!$W$6:$W$40,DATE(設定!$C$2,設定!$D$2,27))&gt;0,"假",IF(INDEX(設定!$U$47:$AL$47,(WEEKDAY(DATE(設定!$C$2,設定!$D$2,27),2)-1)*3+1)=0,"休",COUNTIF(CE$6:CE$45,"悅"))))</f>
        <v/>
      </c>
      <c r="CF47" s="70">
        <f>IF(CF$4="","",IF(COUNTIF(設定!$W$6:$W$40,DATE(設定!$C$2,設定!$D$2,27))&gt;0,"假",IF(INDEX(設定!$U$47:$AL$47,(WEEKDAY(DATE(設定!$C$2,設定!$D$2,27),2)-1)*3+2)=0,"休",COUNTIF(CF$6:CF$45,"悅"))))</f>
        <v/>
      </c>
      <c r="CG47" s="70">
        <f>IF(CG$4="","",IF(COUNTIF(設定!$W$6:$W$40,DATE(設定!$C$2,設定!$D$2,27))&gt;0,"假",IF(INDEX(設定!$U$47:$AL$47,(WEEKDAY(DATE(設定!$C$2,設定!$D$2,27),2)-1)*3+3)=0,"休",COUNTIF(CG$6:CG$45,"悅"))))</f>
        <v/>
      </c>
      <c r="CH47" s="69">
        <f>IF(CH$4="","",IF(COUNTIF(設定!$W$6:$W$40,DATE(設定!$C$2,設定!$D$2,28))&gt;0,"假",IF(INDEX(設定!$U$47:$AL$47,(WEEKDAY(DATE(設定!$C$2,設定!$D$2,28),2)-1)*3+1)=0,"休",COUNTIF(CH$6:CH$45,"悅"))))</f>
        <v/>
      </c>
      <c r="CI47" s="70">
        <f>IF(CI$4="","",IF(COUNTIF(設定!$W$6:$W$40,DATE(設定!$C$2,設定!$D$2,28))&gt;0,"假",IF(INDEX(設定!$U$47:$AL$47,(WEEKDAY(DATE(設定!$C$2,設定!$D$2,28),2)-1)*3+2)=0,"休",COUNTIF(CI$6:CI$45,"悅"))))</f>
        <v/>
      </c>
      <c r="CJ47" s="70">
        <f>IF(CJ$4="","",IF(COUNTIF(設定!$W$6:$W$40,DATE(設定!$C$2,設定!$D$2,28))&gt;0,"假",IF(INDEX(設定!$U$47:$AL$47,(WEEKDAY(DATE(設定!$C$2,設定!$D$2,28),2)-1)*3+3)=0,"休",COUNTIF(CJ$6:CJ$45,"悅"))))</f>
        <v/>
      </c>
      <c r="CK47" s="69">
        <f>IF(CK$4="","",IF(COUNTIF(設定!$W$6:$W$40,DATE(設定!$C$2,設定!$D$2,29))&gt;0,"假",IF(INDEX(設定!$U$47:$AL$47,(WEEKDAY(DATE(設定!$C$2,設定!$D$2,29),2)-1)*3+1)=0,"休",COUNTIF(CK$6:CK$45,"悅"))))</f>
        <v/>
      </c>
      <c r="CL47" s="70">
        <f>IF(CL$4="","",IF(COUNTIF(設定!$W$6:$W$40,DATE(設定!$C$2,設定!$D$2,29))&gt;0,"假",IF(INDEX(設定!$U$47:$AL$47,(WEEKDAY(DATE(設定!$C$2,設定!$D$2,29),2)-1)*3+2)=0,"休",COUNTIF(CL$6:CL$45,"悅"))))</f>
        <v/>
      </c>
      <c r="CM47" s="70">
        <f>IF(CM$4="","",IF(COUNTIF(設定!$W$6:$W$40,DATE(設定!$C$2,設定!$D$2,29))&gt;0,"假",IF(INDEX(設定!$U$47:$AL$47,(WEEKDAY(DATE(設定!$C$2,設定!$D$2,29),2)-1)*3+3)=0,"休",COUNTIF(CM$6:CM$45,"悅"))))</f>
        <v/>
      </c>
      <c r="CN47" s="69">
        <f>IF(CN$4="","",IF(COUNTIF(設定!$W$6:$W$40,DATE(設定!$C$2,設定!$D$2,30))&gt;0,"假",IF(INDEX(設定!$U$47:$AL$47,(WEEKDAY(DATE(設定!$C$2,設定!$D$2,30),2)-1)*3+1)=0,"休",COUNTIF(CN$6:CN$45,"悅"))))</f>
        <v/>
      </c>
      <c r="CO47" s="70">
        <f>IF(CO$4="","",IF(COUNTIF(設定!$W$6:$W$40,DATE(設定!$C$2,設定!$D$2,30))&gt;0,"假",IF(INDEX(設定!$U$47:$AL$47,(WEEKDAY(DATE(設定!$C$2,設定!$D$2,30),2)-1)*3+2)=0,"休",COUNTIF(CO$6:CO$45,"悅"))))</f>
        <v/>
      </c>
      <c r="CP47" s="70">
        <f>IF(CP$4="","",IF(COUNTIF(設定!$W$6:$W$40,DATE(設定!$C$2,設定!$D$2,30))&gt;0,"假",IF(INDEX(設定!$U$47:$AL$47,(WEEKDAY(DATE(設定!$C$2,設定!$D$2,30),2)-1)*3+3)=0,"休",COUNTIF(CP$6:CP$45,"悅"))))</f>
        <v/>
      </c>
      <c r="CQ47" s="69">
        <f>IF(CQ$4="","",IF(COUNTIF(設定!$W$6:$W$40,DATE(設定!$C$2,設定!$D$2,31))&gt;0,"假",IF(INDEX(設定!$U$47:$AL$47,(WEEKDAY(DATE(設定!$C$2,設定!$D$2,31),2)-1)*3+1)=0,"休",COUNTIF(CQ$6:CQ$45,"悅"))))</f>
        <v/>
      </c>
      <c r="CR47" s="70">
        <f>IF(CR$4="","",IF(COUNTIF(設定!$W$6:$W$40,DATE(設定!$C$2,設定!$D$2,31))&gt;0,"假",IF(INDEX(設定!$U$47:$AL$47,(WEEKDAY(DATE(設定!$C$2,設定!$D$2,31),2)-1)*3+2)=0,"休",COUNTIF(CR$6:CR$45,"悅"))))</f>
        <v/>
      </c>
      <c r="CS47" s="70">
        <f>IF(CS$4="","",IF(COUNTIF(設定!$W$6:$W$40,DATE(設定!$C$2,設定!$D$2,31))&gt;0,"假",IF(INDEX(設定!$U$47:$AL$47,(WEEKDAY(DATE(設定!$C$2,設定!$D$2,31),2)-1)*3+3)=0,"休",COUNTIF(CS$6:CS$45,"悅"))))</f>
        <v/>
      </c>
    </row>
    <row r="48">
      <c r="A48" s="71" t="inlineStr">
        <is>
          <t>睿 晶睿</t>
        </is>
      </c>
      <c r="B48" s="8" t="n"/>
      <c r="C48" s="8" t="n"/>
      <c r="D48" s="9" t="n"/>
      <c r="E48" s="69">
        <f>IF(E$4="","",IF(COUNTIF(設定!$W$6:$W$40,DATE(設定!$C$2,設定!$D$2,1))&gt;0,"假",IF(INDEX(設定!$U$48:$AL$48,(WEEKDAY(DATE(設定!$C$2,設定!$D$2,1),2)-1)*3+1)=0,"休",COUNTIF(E$6:E$45,"睿"))))</f>
        <v/>
      </c>
      <c r="F48" s="70">
        <f>IF(F$4="","",IF(COUNTIF(設定!$W$6:$W$40,DATE(設定!$C$2,設定!$D$2,1))&gt;0,"假",IF(INDEX(設定!$U$48:$AL$48,(WEEKDAY(DATE(設定!$C$2,設定!$D$2,1),2)-1)*3+2)=0,"休",COUNTIF(F$6:F$45,"睿"))))</f>
        <v/>
      </c>
      <c r="G48" s="70">
        <f>IF(G$4="","",IF(COUNTIF(設定!$W$6:$W$40,DATE(設定!$C$2,設定!$D$2,1))&gt;0,"假",IF(INDEX(設定!$U$48:$AL$48,(WEEKDAY(DATE(設定!$C$2,設定!$D$2,1),2)-1)*3+3)=0,"休",COUNTIF(G$6:G$45,"睿"))))</f>
        <v/>
      </c>
      <c r="H48" s="69">
        <f>IF(H$4="","",IF(COUNTIF(設定!$W$6:$W$40,DATE(設定!$C$2,設定!$D$2,2))&gt;0,"假",IF(INDEX(設定!$U$48:$AL$48,(WEEKDAY(DATE(設定!$C$2,設定!$D$2,2),2)-1)*3+1)=0,"休",COUNTIF(H$6:H$45,"睿"))))</f>
        <v/>
      </c>
      <c r="I48" s="70">
        <f>IF(I$4="","",IF(COUNTIF(設定!$W$6:$W$40,DATE(設定!$C$2,設定!$D$2,2))&gt;0,"假",IF(INDEX(設定!$U$48:$AL$48,(WEEKDAY(DATE(設定!$C$2,設定!$D$2,2),2)-1)*3+2)=0,"休",COUNTIF(I$6:I$45,"睿"))))</f>
        <v/>
      </c>
      <c r="J48" s="70">
        <f>IF(J$4="","",IF(COUNTIF(設定!$W$6:$W$40,DATE(設定!$C$2,設定!$D$2,2))&gt;0,"假",IF(INDEX(設定!$U$48:$AL$48,(WEEKDAY(DATE(設定!$C$2,設定!$D$2,2),2)-1)*3+3)=0,"休",COUNTIF(J$6:J$45,"睿"))))</f>
        <v/>
      </c>
      <c r="K48" s="69">
        <f>IF(K$4="","",IF(COUNTIF(設定!$W$6:$W$40,DATE(設定!$C$2,設定!$D$2,3))&gt;0,"假",IF(INDEX(設定!$U$48:$AL$48,(WEEKDAY(DATE(設定!$C$2,設定!$D$2,3),2)-1)*3+1)=0,"休",COUNTIF(K$6:K$45,"睿"))))</f>
        <v/>
      </c>
      <c r="L48" s="70">
        <f>IF(L$4="","",IF(COUNTIF(設定!$W$6:$W$40,DATE(設定!$C$2,設定!$D$2,3))&gt;0,"假",IF(INDEX(設定!$U$48:$AL$48,(WEEKDAY(DATE(設定!$C$2,設定!$D$2,3),2)-1)*3+2)=0,"休",COUNTIF(L$6:L$45,"睿"))))</f>
        <v/>
      </c>
      <c r="M48" s="70">
        <f>IF(M$4="","",IF(COUNTIF(設定!$W$6:$W$40,DATE(設定!$C$2,設定!$D$2,3))&gt;0,"假",IF(INDEX(設定!$U$48:$AL$48,(WEEKDAY(DATE(設定!$C$2,設定!$D$2,3),2)-1)*3+3)=0,"休",COUNTIF(M$6:M$45,"睿"))))</f>
        <v/>
      </c>
      <c r="N48" s="69">
        <f>IF(N$4="","",IF(COUNTIF(設定!$W$6:$W$40,DATE(設定!$C$2,設定!$D$2,4))&gt;0,"假",IF(INDEX(設定!$U$48:$AL$48,(WEEKDAY(DATE(設定!$C$2,設定!$D$2,4),2)-1)*3+1)=0,"休",COUNTIF(N$6:N$45,"睿"))))</f>
        <v/>
      </c>
      <c r="O48" s="70">
        <f>IF(O$4="","",IF(COUNTIF(設定!$W$6:$W$40,DATE(設定!$C$2,設定!$D$2,4))&gt;0,"假",IF(INDEX(設定!$U$48:$AL$48,(WEEKDAY(DATE(設定!$C$2,設定!$D$2,4),2)-1)*3+2)=0,"休",COUNTIF(O$6:O$45,"睿"))))</f>
        <v/>
      </c>
      <c r="P48" s="70">
        <f>IF(P$4="","",IF(COUNTIF(設定!$W$6:$W$40,DATE(設定!$C$2,設定!$D$2,4))&gt;0,"假",IF(INDEX(設定!$U$48:$AL$48,(WEEKDAY(DATE(設定!$C$2,設定!$D$2,4),2)-1)*3+3)=0,"休",COUNTIF(P$6:P$45,"睿"))))</f>
        <v/>
      </c>
      <c r="Q48" s="69">
        <f>IF(Q$4="","",IF(COUNTIF(設定!$W$6:$W$40,DATE(設定!$C$2,設定!$D$2,5))&gt;0,"假",IF(INDEX(設定!$U$48:$AL$48,(WEEKDAY(DATE(設定!$C$2,設定!$D$2,5),2)-1)*3+1)=0,"休",COUNTIF(Q$6:Q$45,"睿"))))</f>
        <v/>
      </c>
      <c r="R48" s="70">
        <f>IF(R$4="","",IF(COUNTIF(設定!$W$6:$W$40,DATE(設定!$C$2,設定!$D$2,5))&gt;0,"假",IF(INDEX(設定!$U$48:$AL$48,(WEEKDAY(DATE(設定!$C$2,設定!$D$2,5),2)-1)*3+2)=0,"休",COUNTIF(R$6:R$45,"睿"))))</f>
        <v/>
      </c>
      <c r="S48" s="70">
        <f>IF(S$4="","",IF(COUNTIF(設定!$W$6:$W$40,DATE(設定!$C$2,設定!$D$2,5))&gt;0,"假",IF(INDEX(設定!$U$48:$AL$48,(WEEKDAY(DATE(設定!$C$2,設定!$D$2,5),2)-1)*3+3)=0,"休",COUNTIF(S$6:S$45,"睿"))))</f>
        <v/>
      </c>
      <c r="T48" s="69">
        <f>IF(T$4="","",IF(COUNTIF(設定!$W$6:$W$40,DATE(設定!$C$2,設定!$D$2,6))&gt;0,"假",IF(INDEX(設定!$U$48:$AL$48,(WEEKDAY(DATE(設定!$C$2,設定!$D$2,6),2)-1)*3+1)=0,"休",COUNTIF(T$6:T$45,"睿"))))</f>
        <v/>
      </c>
      <c r="U48" s="70">
        <f>IF(U$4="","",IF(COUNTIF(設定!$W$6:$W$40,DATE(設定!$C$2,設定!$D$2,6))&gt;0,"假",IF(INDEX(設定!$U$48:$AL$48,(WEEKDAY(DATE(設定!$C$2,設定!$D$2,6),2)-1)*3+2)=0,"休",COUNTIF(U$6:U$45,"睿"))))</f>
        <v/>
      </c>
      <c r="V48" s="70">
        <f>IF(V$4="","",IF(COUNTIF(設定!$W$6:$W$40,DATE(設定!$C$2,設定!$D$2,6))&gt;0,"假",IF(INDEX(設定!$U$48:$AL$48,(WEEKDAY(DATE(設定!$C$2,設定!$D$2,6),2)-1)*3+3)=0,"休",COUNTIF(V$6:V$45,"睿"))))</f>
        <v/>
      </c>
      <c r="W48" s="69">
        <f>IF(W$4="","",IF(COUNTIF(設定!$W$6:$W$40,DATE(設定!$C$2,設定!$D$2,7))&gt;0,"假",IF(INDEX(設定!$U$48:$AL$48,(WEEKDAY(DATE(設定!$C$2,設定!$D$2,7),2)-1)*3+1)=0,"休",COUNTIF(W$6:W$45,"睿"))))</f>
        <v/>
      </c>
      <c r="X48" s="70">
        <f>IF(X$4="","",IF(COUNTIF(設定!$W$6:$W$40,DATE(設定!$C$2,設定!$D$2,7))&gt;0,"假",IF(INDEX(設定!$U$48:$AL$48,(WEEKDAY(DATE(設定!$C$2,設定!$D$2,7),2)-1)*3+2)=0,"休",COUNTIF(X$6:X$45,"睿"))))</f>
        <v/>
      </c>
      <c r="Y48" s="70">
        <f>IF(Y$4="","",IF(COUNTIF(設定!$W$6:$W$40,DATE(設定!$C$2,設定!$D$2,7))&gt;0,"假",IF(INDEX(設定!$U$48:$AL$48,(WEEKDAY(DATE(設定!$C$2,設定!$D$2,7),2)-1)*3+3)=0,"休",COUNTIF(Y$6:Y$45,"睿"))))</f>
        <v/>
      </c>
      <c r="Z48" s="69">
        <f>IF(Z$4="","",IF(COUNTIF(設定!$W$6:$W$40,DATE(設定!$C$2,設定!$D$2,8))&gt;0,"假",IF(INDEX(設定!$U$48:$AL$48,(WEEKDAY(DATE(設定!$C$2,設定!$D$2,8),2)-1)*3+1)=0,"休",COUNTIF(Z$6:Z$45,"睿"))))</f>
        <v/>
      </c>
      <c r="AA48" s="70">
        <f>IF(AA$4="","",IF(COUNTIF(設定!$W$6:$W$40,DATE(設定!$C$2,設定!$D$2,8))&gt;0,"假",IF(INDEX(設定!$U$48:$AL$48,(WEEKDAY(DATE(設定!$C$2,設定!$D$2,8),2)-1)*3+2)=0,"休",COUNTIF(AA$6:AA$45,"睿"))))</f>
        <v/>
      </c>
      <c r="AB48" s="70">
        <f>IF(AB$4="","",IF(COUNTIF(設定!$W$6:$W$40,DATE(設定!$C$2,設定!$D$2,8))&gt;0,"假",IF(INDEX(設定!$U$48:$AL$48,(WEEKDAY(DATE(設定!$C$2,設定!$D$2,8),2)-1)*3+3)=0,"休",COUNTIF(AB$6:AB$45,"睿"))))</f>
        <v/>
      </c>
      <c r="AC48" s="69">
        <f>IF(AC$4="","",IF(COUNTIF(設定!$W$6:$W$40,DATE(設定!$C$2,設定!$D$2,9))&gt;0,"假",IF(INDEX(設定!$U$48:$AL$48,(WEEKDAY(DATE(設定!$C$2,設定!$D$2,9),2)-1)*3+1)=0,"休",COUNTIF(AC$6:AC$45,"睿"))))</f>
        <v/>
      </c>
      <c r="AD48" s="70">
        <f>IF(AD$4="","",IF(COUNTIF(設定!$W$6:$W$40,DATE(設定!$C$2,設定!$D$2,9))&gt;0,"假",IF(INDEX(設定!$U$48:$AL$48,(WEEKDAY(DATE(設定!$C$2,設定!$D$2,9),2)-1)*3+2)=0,"休",COUNTIF(AD$6:AD$45,"睿"))))</f>
        <v/>
      </c>
      <c r="AE48" s="70">
        <f>IF(AE$4="","",IF(COUNTIF(設定!$W$6:$W$40,DATE(設定!$C$2,設定!$D$2,9))&gt;0,"假",IF(INDEX(設定!$U$48:$AL$48,(WEEKDAY(DATE(設定!$C$2,設定!$D$2,9),2)-1)*3+3)=0,"休",COUNTIF(AE$6:AE$45,"睿"))))</f>
        <v/>
      </c>
      <c r="AF48" s="69">
        <f>IF(AF$4="","",IF(COUNTIF(設定!$W$6:$W$40,DATE(設定!$C$2,設定!$D$2,10))&gt;0,"假",IF(INDEX(設定!$U$48:$AL$48,(WEEKDAY(DATE(設定!$C$2,設定!$D$2,10),2)-1)*3+1)=0,"休",COUNTIF(AF$6:AF$45,"睿"))))</f>
        <v/>
      </c>
      <c r="AG48" s="70">
        <f>IF(AG$4="","",IF(COUNTIF(設定!$W$6:$W$40,DATE(設定!$C$2,設定!$D$2,10))&gt;0,"假",IF(INDEX(設定!$U$48:$AL$48,(WEEKDAY(DATE(設定!$C$2,設定!$D$2,10),2)-1)*3+2)=0,"休",COUNTIF(AG$6:AG$45,"睿"))))</f>
        <v/>
      </c>
      <c r="AH48" s="70">
        <f>IF(AH$4="","",IF(COUNTIF(設定!$W$6:$W$40,DATE(設定!$C$2,設定!$D$2,10))&gt;0,"假",IF(INDEX(設定!$U$48:$AL$48,(WEEKDAY(DATE(設定!$C$2,設定!$D$2,10),2)-1)*3+3)=0,"休",COUNTIF(AH$6:AH$45,"睿"))))</f>
        <v/>
      </c>
      <c r="AI48" s="69">
        <f>IF(AI$4="","",IF(COUNTIF(設定!$W$6:$W$40,DATE(設定!$C$2,設定!$D$2,11))&gt;0,"假",IF(INDEX(設定!$U$48:$AL$48,(WEEKDAY(DATE(設定!$C$2,設定!$D$2,11),2)-1)*3+1)=0,"休",COUNTIF(AI$6:AI$45,"睿"))))</f>
        <v/>
      </c>
      <c r="AJ48" s="70">
        <f>IF(AJ$4="","",IF(COUNTIF(設定!$W$6:$W$40,DATE(設定!$C$2,設定!$D$2,11))&gt;0,"假",IF(INDEX(設定!$U$48:$AL$48,(WEEKDAY(DATE(設定!$C$2,設定!$D$2,11),2)-1)*3+2)=0,"休",COUNTIF(AJ$6:AJ$45,"睿"))))</f>
        <v/>
      </c>
      <c r="AK48" s="70">
        <f>IF(AK$4="","",IF(COUNTIF(設定!$W$6:$W$40,DATE(設定!$C$2,設定!$D$2,11))&gt;0,"假",IF(INDEX(設定!$U$48:$AL$48,(WEEKDAY(DATE(設定!$C$2,設定!$D$2,11),2)-1)*3+3)=0,"休",COUNTIF(AK$6:AK$45,"睿"))))</f>
        <v/>
      </c>
      <c r="AL48" s="69">
        <f>IF(AL$4="","",IF(COUNTIF(設定!$W$6:$W$40,DATE(設定!$C$2,設定!$D$2,12))&gt;0,"假",IF(INDEX(設定!$U$48:$AL$48,(WEEKDAY(DATE(設定!$C$2,設定!$D$2,12),2)-1)*3+1)=0,"休",COUNTIF(AL$6:AL$45,"睿"))))</f>
        <v/>
      </c>
      <c r="AM48" s="70">
        <f>IF(AM$4="","",IF(COUNTIF(設定!$W$6:$W$40,DATE(設定!$C$2,設定!$D$2,12))&gt;0,"假",IF(INDEX(設定!$U$48:$AL$48,(WEEKDAY(DATE(設定!$C$2,設定!$D$2,12),2)-1)*3+2)=0,"休",COUNTIF(AM$6:AM$45,"睿"))))</f>
        <v/>
      </c>
      <c r="AN48" s="70">
        <f>IF(AN$4="","",IF(COUNTIF(設定!$W$6:$W$40,DATE(設定!$C$2,設定!$D$2,12))&gt;0,"假",IF(INDEX(設定!$U$48:$AL$48,(WEEKDAY(DATE(設定!$C$2,設定!$D$2,12),2)-1)*3+3)=0,"休",COUNTIF(AN$6:AN$45,"睿"))))</f>
        <v/>
      </c>
      <c r="AO48" s="69">
        <f>IF(AO$4="","",IF(COUNTIF(設定!$W$6:$W$40,DATE(設定!$C$2,設定!$D$2,13))&gt;0,"假",IF(INDEX(設定!$U$48:$AL$48,(WEEKDAY(DATE(設定!$C$2,設定!$D$2,13),2)-1)*3+1)=0,"休",COUNTIF(AO$6:AO$45,"睿"))))</f>
        <v/>
      </c>
      <c r="AP48" s="70">
        <f>IF(AP$4="","",IF(COUNTIF(設定!$W$6:$W$40,DATE(設定!$C$2,設定!$D$2,13))&gt;0,"假",IF(INDEX(設定!$U$48:$AL$48,(WEEKDAY(DATE(設定!$C$2,設定!$D$2,13),2)-1)*3+2)=0,"休",COUNTIF(AP$6:AP$45,"睿"))))</f>
        <v/>
      </c>
      <c r="AQ48" s="70">
        <f>IF(AQ$4="","",IF(COUNTIF(設定!$W$6:$W$40,DATE(設定!$C$2,設定!$D$2,13))&gt;0,"假",IF(INDEX(設定!$U$48:$AL$48,(WEEKDAY(DATE(設定!$C$2,設定!$D$2,13),2)-1)*3+3)=0,"休",COUNTIF(AQ$6:AQ$45,"睿"))))</f>
        <v/>
      </c>
      <c r="AR48" s="69">
        <f>IF(AR$4="","",IF(COUNTIF(設定!$W$6:$W$40,DATE(設定!$C$2,設定!$D$2,14))&gt;0,"假",IF(INDEX(設定!$U$48:$AL$48,(WEEKDAY(DATE(設定!$C$2,設定!$D$2,14),2)-1)*3+1)=0,"休",COUNTIF(AR$6:AR$45,"睿"))))</f>
        <v/>
      </c>
      <c r="AS48" s="70">
        <f>IF(AS$4="","",IF(COUNTIF(設定!$W$6:$W$40,DATE(設定!$C$2,設定!$D$2,14))&gt;0,"假",IF(INDEX(設定!$U$48:$AL$48,(WEEKDAY(DATE(設定!$C$2,設定!$D$2,14),2)-1)*3+2)=0,"休",COUNTIF(AS$6:AS$45,"睿"))))</f>
        <v/>
      </c>
      <c r="AT48" s="70">
        <f>IF(AT$4="","",IF(COUNTIF(設定!$W$6:$W$40,DATE(設定!$C$2,設定!$D$2,14))&gt;0,"假",IF(INDEX(設定!$U$48:$AL$48,(WEEKDAY(DATE(設定!$C$2,設定!$D$2,14),2)-1)*3+3)=0,"休",COUNTIF(AT$6:AT$45,"睿"))))</f>
        <v/>
      </c>
      <c r="AU48" s="69">
        <f>IF(AU$4="","",IF(COUNTIF(設定!$W$6:$W$40,DATE(設定!$C$2,設定!$D$2,15))&gt;0,"假",IF(INDEX(設定!$U$48:$AL$48,(WEEKDAY(DATE(設定!$C$2,設定!$D$2,15),2)-1)*3+1)=0,"休",COUNTIF(AU$6:AU$45,"睿"))))</f>
        <v/>
      </c>
      <c r="AV48" s="70">
        <f>IF(AV$4="","",IF(COUNTIF(設定!$W$6:$W$40,DATE(設定!$C$2,設定!$D$2,15))&gt;0,"假",IF(INDEX(設定!$U$48:$AL$48,(WEEKDAY(DATE(設定!$C$2,設定!$D$2,15),2)-1)*3+2)=0,"休",COUNTIF(AV$6:AV$45,"睿"))))</f>
        <v/>
      </c>
      <c r="AW48" s="70">
        <f>IF(AW$4="","",IF(COUNTIF(設定!$W$6:$W$40,DATE(設定!$C$2,設定!$D$2,15))&gt;0,"假",IF(INDEX(設定!$U$48:$AL$48,(WEEKDAY(DATE(設定!$C$2,設定!$D$2,15),2)-1)*3+3)=0,"休",COUNTIF(AW$6:AW$45,"睿"))))</f>
        <v/>
      </c>
      <c r="AX48" s="69">
        <f>IF(AX$4="","",IF(COUNTIF(設定!$W$6:$W$40,DATE(設定!$C$2,設定!$D$2,16))&gt;0,"假",IF(INDEX(設定!$U$48:$AL$48,(WEEKDAY(DATE(設定!$C$2,設定!$D$2,16),2)-1)*3+1)=0,"休",COUNTIF(AX$6:AX$45,"睿"))))</f>
        <v/>
      </c>
      <c r="AY48" s="70">
        <f>IF(AY$4="","",IF(COUNTIF(設定!$W$6:$W$40,DATE(設定!$C$2,設定!$D$2,16))&gt;0,"假",IF(INDEX(設定!$U$48:$AL$48,(WEEKDAY(DATE(設定!$C$2,設定!$D$2,16),2)-1)*3+2)=0,"休",COUNTIF(AY$6:AY$45,"睿"))))</f>
        <v/>
      </c>
      <c r="AZ48" s="70">
        <f>IF(AZ$4="","",IF(COUNTIF(設定!$W$6:$W$40,DATE(設定!$C$2,設定!$D$2,16))&gt;0,"假",IF(INDEX(設定!$U$48:$AL$48,(WEEKDAY(DATE(設定!$C$2,設定!$D$2,16),2)-1)*3+3)=0,"休",COUNTIF(AZ$6:AZ$45,"睿"))))</f>
        <v/>
      </c>
      <c r="BA48" s="69">
        <f>IF(BA$4="","",IF(COUNTIF(設定!$W$6:$W$40,DATE(設定!$C$2,設定!$D$2,17))&gt;0,"假",IF(INDEX(設定!$U$48:$AL$48,(WEEKDAY(DATE(設定!$C$2,設定!$D$2,17),2)-1)*3+1)=0,"休",COUNTIF(BA$6:BA$45,"睿"))))</f>
        <v/>
      </c>
      <c r="BB48" s="70">
        <f>IF(BB$4="","",IF(COUNTIF(設定!$W$6:$W$40,DATE(設定!$C$2,設定!$D$2,17))&gt;0,"假",IF(INDEX(設定!$U$48:$AL$48,(WEEKDAY(DATE(設定!$C$2,設定!$D$2,17),2)-1)*3+2)=0,"休",COUNTIF(BB$6:BB$45,"睿"))))</f>
        <v/>
      </c>
      <c r="BC48" s="70">
        <f>IF(BC$4="","",IF(COUNTIF(設定!$W$6:$W$40,DATE(設定!$C$2,設定!$D$2,17))&gt;0,"假",IF(INDEX(設定!$U$48:$AL$48,(WEEKDAY(DATE(設定!$C$2,設定!$D$2,17),2)-1)*3+3)=0,"休",COUNTIF(BC$6:BC$45,"睿"))))</f>
        <v/>
      </c>
      <c r="BD48" s="69">
        <f>IF(BD$4="","",IF(COUNTIF(設定!$W$6:$W$40,DATE(設定!$C$2,設定!$D$2,18))&gt;0,"假",IF(INDEX(設定!$U$48:$AL$48,(WEEKDAY(DATE(設定!$C$2,設定!$D$2,18),2)-1)*3+1)=0,"休",COUNTIF(BD$6:BD$45,"睿"))))</f>
        <v/>
      </c>
      <c r="BE48" s="70">
        <f>IF(BE$4="","",IF(COUNTIF(設定!$W$6:$W$40,DATE(設定!$C$2,設定!$D$2,18))&gt;0,"假",IF(INDEX(設定!$U$48:$AL$48,(WEEKDAY(DATE(設定!$C$2,設定!$D$2,18),2)-1)*3+2)=0,"休",COUNTIF(BE$6:BE$45,"睿"))))</f>
        <v/>
      </c>
      <c r="BF48" s="70">
        <f>IF(BF$4="","",IF(COUNTIF(設定!$W$6:$W$40,DATE(設定!$C$2,設定!$D$2,18))&gt;0,"假",IF(INDEX(設定!$U$48:$AL$48,(WEEKDAY(DATE(設定!$C$2,設定!$D$2,18),2)-1)*3+3)=0,"休",COUNTIF(BF$6:BF$45,"睿"))))</f>
        <v/>
      </c>
      <c r="BG48" s="69">
        <f>IF(BG$4="","",IF(COUNTIF(設定!$W$6:$W$40,DATE(設定!$C$2,設定!$D$2,19))&gt;0,"假",IF(INDEX(設定!$U$48:$AL$48,(WEEKDAY(DATE(設定!$C$2,設定!$D$2,19),2)-1)*3+1)=0,"休",COUNTIF(BG$6:BG$45,"睿"))))</f>
        <v/>
      </c>
      <c r="BH48" s="70">
        <f>IF(BH$4="","",IF(COUNTIF(設定!$W$6:$W$40,DATE(設定!$C$2,設定!$D$2,19))&gt;0,"假",IF(INDEX(設定!$U$48:$AL$48,(WEEKDAY(DATE(設定!$C$2,設定!$D$2,19),2)-1)*3+2)=0,"休",COUNTIF(BH$6:BH$45,"睿"))))</f>
        <v/>
      </c>
      <c r="BI48" s="70">
        <f>IF(BI$4="","",IF(COUNTIF(設定!$W$6:$W$40,DATE(設定!$C$2,設定!$D$2,19))&gt;0,"假",IF(INDEX(設定!$U$48:$AL$48,(WEEKDAY(DATE(設定!$C$2,設定!$D$2,19),2)-1)*3+3)=0,"休",COUNTIF(BI$6:BI$45,"睿"))))</f>
        <v/>
      </c>
      <c r="BJ48" s="69">
        <f>IF(BJ$4="","",IF(COUNTIF(設定!$W$6:$W$40,DATE(設定!$C$2,設定!$D$2,20))&gt;0,"假",IF(INDEX(設定!$U$48:$AL$48,(WEEKDAY(DATE(設定!$C$2,設定!$D$2,20),2)-1)*3+1)=0,"休",COUNTIF(BJ$6:BJ$45,"睿"))))</f>
        <v/>
      </c>
      <c r="BK48" s="70">
        <f>IF(BK$4="","",IF(COUNTIF(設定!$W$6:$W$40,DATE(設定!$C$2,設定!$D$2,20))&gt;0,"假",IF(INDEX(設定!$U$48:$AL$48,(WEEKDAY(DATE(設定!$C$2,設定!$D$2,20),2)-1)*3+2)=0,"休",COUNTIF(BK$6:BK$45,"睿"))))</f>
        <v/>
      </c>
      <c r="BL48" s="70">
        <f>IF(BL$4="","",IF(COUNTIF(設定!$W$6:$W$40,DATE(設定!$C$2,設定!$D$2,20))&gt;0,"假",IF(INDEX(設定!$U$48:$AL$48,(WEEKDAY(DATE(設定!$C$2,設定!$D$2,20),2)-1)*3+3)=0,"休",COUNTIF(BL$6:BL$45,"睿"))))</f>
        <v/>
      </c>
      <c r="BM48" s="69">
        <f>IF(BM$4="","",IF(COUNTIF(設定!$W$6:$W$40,DATE(設定!$C$2,設定!$D$2,21))&gt;0,"假",IF(INDEX(設定!$U$48:$AL$48,(WEEKDAY(DATE(設定!$C$2,設定!$D$2,21),2)-1)*3+1)=0,"休",COUNTIF(BM$6:BM$45,"睿"))))</f>
        <v/>
      </c>
      <c r="BN48" s="70">
        <f>IF(BN$4="","",IF(COUNTIF(設定!$W$6:$W$40,DATE(設定!$C$2,設定!$D$2,21))&gt;0,"假",IF(INDEX(設定!$U$48:$AL$48,(WEEKDAY(DATE(設定!$C$2,設定!$D$2,21),2)-1)*3+2)=0,"休",COUNTIF(BN$6:BN$45,"睿"))))</f>
        <v/>
      </c>
      <c r="BO48" s="70">
        <f>IF(BO$4="","",IF(COUNTIF(設定!$W$6:$W$40,DATE(設定!$C$2,設定!$D$2,21))&gt;0,"假",IF(INDEX(設定!$U$48:$AL$48,(WEEKDAY(DATE(設定!$C$2,設定!$D$2,21),2)-1)*3+3)=0,"休",COUNTIF(BO$6:BO$45,"睿"))))</f>
        <v/>
      </c>
      <c r="BP48" s="69">
        <f>IF(BP$4="","",IF(COUNTIF(設定!$W$6:$W$40,DATE(設定!$C$2,設定!$D$2,22))&gt;0,"假",IF(INDEX(設定!$U$48:$AL$48,(WEEKDAY(DATE(設定!$C$2,設定!$D$2,22),2)-1)*3+1)=0,"休",COUNTIF(BP$6:BP$45,"睿"))))</f>
        <v/>
      </c>
      <c r="BQ48" s="70">
        <f>IF(BQ$4="","",IF(COUNTIF(設定!$W$6:$W$40,DATE(設定!$C$2,設定!$D$2,22))&gt;0,"假",IF(INDEX(設定!$U$48:$AL$48,(WEEKDAY(DATE(設定!$C$2,設定!$D$2,22),2)-1)*3+2)=0,"休",COUNTIF(BQ$6:BQ$45,"睿"))))</f>
        <v/>
      </c>
      <c r="BR48" s="70">
        <f>IF(BR$4="","",IF(COUNTIF(設定!$W$6:$W$40,DATE(設定!$C$2,設定!$D$2,22))&gt;0,"假",IF(INDEX(設定!$U$48:$AL$48,(WEEKDAY(DATE(設定!$C$2,設定!$D$2,22),2)-1)*3+3)=0,"休",COUNTIF(BR$6:BR$45,"睿"))))</f>
        <v/>
      </c>
      <c r="BS48" s="69">
        <f>IF(BS$4="","",IF(COUNTIF(設定!$W$6:$W$40,DATE(設定!$C$2,設定!$D$2,23))&gt;0,"假",IF(INDEX(設定!$U$48:$AL$48,(WEEKDAY(DATE(設定!$C$2,設定!$D$2,23),2)-1)*3+1)=0,"休",COUNTIF(BS$6:BS$45,"睿"))))</f>
        <v/>
      </c>
      <c r="BT48" s="70">
        <f>IF(BT$4="","",IF(COUNTIF(設定!$W$6:$W$40,DATE(設定!$C$2,設定!$D$2,23))&gt;0,"假",IF(INDEX(設定!$U$48:$AL$48,(WEEKDAY(DATE(設定!$C$2,設定!$D$2,23),2)-1)*3+2)=0,"休",COUNTIF(BT$6:BT$45,"睿"))))</f>
        <v/>
      </c>
      <c r="BU48" s="70">
        <f>IF(BU$4="","",IF(COUNTIF(設定!$W$6:$W$40,DATE(設定!$C$2,設定!$D$2,23))&gt;0,"假",IF(INDEX(設定!$U$48:$AL$48,(WEEKDAY(DATE(設定!$C$2,設定!$D$2,23),2)-1)*3+3)=0,"休",COUNTIF(BU$6:BU$45,"睿"))))</f>
        <v/>
      </c>
      <c r="BV48" s="69">
        <f>IF(BV$4="","",IF(COUNTIF(設定!$W$6:$W$40,DATE(設定!$C$2,設定!$D$2,24))&gt;0,"假",IF(INDEX(設定!$U$48:$AL$48,(WEEKDAY(DATE(設定!$C$2,設定!$D$2,24),2)-1)*3+1)=0,"休",COUNTIF(BV$6:BV$45,"睿"))))</f>
        <v/>
      </c>
      <c r="BW48" s="70">
        <f>IF(BW$4="","",IF(COUNTIF(設定!$W$6:$W$40,DATE(設定!$C$2,設定!$D$2,24))&gt;0,"假",IF(INDEX(設定!$U$48:$AL$48,(WEEKDAY(DATE(設定!$C$2,設定!$D$2,24),2)-1)*3+2)=0,"休",COUNTIF(BW$6:BW$45,"睿"))))</f>
        <v/>
      </c>
      <c r="BX48" s="70">
        <f>IF(BX$4="","",IF(COUNTIF(設定!$W$6:$W$40,DATE(設定!$C$2,設定!$D$2,24))&gt;0,"假",IF(INDEX(設定!$U$48:$AL$48,(WEEKDAY(DATE(設定!$C$2,設定!$D$2,24),2)-1)*3+3)=0,"休",COUNTIF(BX$6:BX$45,"睿"))))</f>
        <v/>
      </c>
      <c r="BY48" s="69">
        <f>IF(BY$4="","",IF(COUNTIF(設定!$W$6:$W$40,DATE(設定!$C$2,設定!$D$2,25))&gt;0,"假",IF(INDEX(設定!$U$48:$AL$48,(WEEKDAY(DATE(設定!$C$2,設定!$D$2,25),2)-1)*3+1)=0,"休",COUNTIF(BY$6:BY$45,"睿"))))</f>
        <v/>
      </c>
      <c r="BZ48" s="70">
        <f>IF(BZ$4="","",IF(COUNTIF(設定!$W$6:$W$40,DATE(設定!$C$2,設定!$D$2,25))&gt;0,"假",IF(INDEX(設定!$U$48:$AL$48,(WEEKDAY(DATE(設定!$C$2,設定!$D$2,25),2)-1)*3+2)=0,"休",COUNTIF(BZ$6:BZ$45,"睿"))))</f>
        <v/>
      </c>
      <c r="CA48" s="70">
        <f>IF(CA$4="","",IF(COUNTIF(設定!$W$6:$W$40,DATE(設定!$C$2,設定!$D$2,25))&gt;0,"假",IF(INDEX(設定!$U$48:$AL$48,(WEEKDAY(DATE(設定!$C$2,設定!$D$2,25),2)-1)*3+3)=0,"休",COUNTIF(CA$6:CA$45,"睿"))))</f>
        <v/>
      </c>
      <c r="CB48" s="69">
        <f>IF(CB$4="","",IF(COUNTIF(設定!$W$6:$W$40,DATE(設定!$C$2,設定!$D$2,26))&gt;0,"假",IF(INDEX(設定!$U$48:$AL$48,(WEEKDAY(DATE(設定!$C$2,設定!$D$2,26),2)-1)*3+1)=0,"休",COUNTIF(CB$6:CB$45,"睿"))))</f>
        <v/>
      </c>
      <c r="CC48" s="70">
        <f>IF(CC$4="","",IF(COUNTIF(設定!$W$6:$W$40,DATE(設定!$C$2,設定!$D$2,26))&gt;0,"假",IF(INDEX(設定!$U$48:$AL$48,(WEEKDAY(DATE(設定!$C$2,設定!$D$2,26),2)-1)*3+2)=0,"休",COUNTIF(CC$6:CC$45,"睿"))))</f>
        <v/>
      </c>
      <c r="CD48" s="70">
        <f>IF(CD$4="","",IF(COUNTIF(設定!$W$6:$W$40,DATE(設定!$C$2,設定!$D$2,26))&gt;0,"假",IF(INDEX(設定!$U$48:$AL$48,(WEEKDAY(DATE(設定!$C$2,設定!$D$2,26),2)-1)*3+3)=0,"休",COUNTIF(CD$6:CD$45,"睿"))))</f>
        <v/>
      </c>
      <c r="CE48" s="69">
        <f>IF(CE$4="","",IF(COUNTIF(設定!$W$6:$W$40,DATE(設定!$C$2,設定!$D$2,27))&gt;0,"假",IF(INDEX(設定!$U$48:$AL$48,(WEEKDAY(DATE(設定!$C$2,設定!$D$2,27),2)-1)*3+1)=0,"休",COUNTIF(CE$6:CE$45,"睿"))))</f>
        <v/>
      </c>
      <c r="CF48" s="70">
        <f>IF(CF$4="","",IF(COUNTIF(設定!$W$6:$W$40,DATE(設定!$C$2,設定!$D$2,27))&gt;0,"假",IF(INDEX(設定!$U$48:$AL$48,(WEEKDAY(DATE(設定!$C$2,設定!$D$2,27),2)-1)*3+2)=0,"休",COUNTIF(CF$6:CF$45,"睿"))))</f>
        <v/>
      </c>
      <c r="CG48" s="70">
        <f>IF(CG$4="","",IF(COUNTIF(設定!$W$6:$W$40,DATE(設定!$C$2,設定!$D$2,27))&gt;0,"假",IF(INDEX(設定!$U$48:$AL$48,(WEEKDAY(DATE(設定!$C$2,設定!$D$2,27),2)-1)*3+3)=0,"休",COUNTIF(CG$6:CG$45,"睿"))))</f>
        <v/>
      </c>
      <c r="CH48" s="69">
        <f>IF(CH$4="","",IF(COUNTIF(設定!$W$6:$W$40,DATE(設定!$C$2,設定!$D$2,28))&gt;0,"假",IF(INDEX(設定!$U$48:$AL$48,(WEEKDAY(DATE(設定!$C$2,設定!$D$2,28),2)-1)*3+1)=0,"休",COUNTIF(CH$6:CH$45,"睿"))))</f>
        <v/>
      </c>
      <c r="CI48" s="70">
        <f>IF(CI$4="","",IF(COUNTIF(設定!$W$6:$W$40,DATE(設定!$C$2,設定!$D$2,28))&gt;0,"假",IF(INDEX(設定!$U$48:$AL$48,(WEEKDAY(DATE(設定!$C$2,設定!$D$2,28),2)-1)*3+2)=0,"休",COUNTIF(CI$6:CI$45,"睿"))))</f>
        <v/>
      </c>
      <c r="CJ48" s="70">
        <f>IF(CJ$4="","",IF(COUNTIF(設定!$W$6:$W$40,DATE(設定!$C$2,設定!$D$2,28))&gt;0,"假",IF(INDEX(設定!$U$48:$AL$48,(WEEKDAY(DATE(設定!$C$2,設定!$D$2,28),2)-1)*3+3)=0,"休",COUNTIF(CJ$6:CJ$45,"睿"))))</f>
        <v/>
      </c>
      <c r="CK48" s="69">
        <f>IF(CK$4="","",IF(COUNTIF(設定!$W$6:$W$40,DATE(設定!$C$2,設定!$D$2,29))&gt;0,"假",IF(INDEX(設定!$U$48:$AL$48,(WEEKDAY(DATE(設定!$C$2,設定!$D$2,29),2)-1)*3+1)=0,"休",COUNTIF(CK$6:CK$45,"睿"))))</f>
        <v/>
      </c>
      <c r="CL48" s="70">
        <f>IF(CL$4="","",IF(COUNTIF(設定!$W$6:$W$40,DATE(設定!$C$2,設定!$D$2,29))&gt;0,"假",IF(INDEX(設定!$U$48:$AL$48,(WEEKDAY(DATE(設定!$C$2,設定!$D$2,29),2)-1)*3+2)=0,"休",COUNTIF(CL$6:CL$45,"睿"))))</f>
        <v/>
      </c>
      <c r="CM48" s="70">
        <f>IF(CM$4="","",IF(COUNTIF(設定!$W$6:$W$40,DATE(設定!$C$2,設定!$D$2,29))&gt;0,"假",IF(INDEX(設定!$U$48:$AL$48,(WEEKDAY(DATE(設定!$C$2,設定!$D$2,29),2)-1)*3+3)=0,"休",COUNTIF(CM$6:CM$45,"睿"))))</f>
        <v/>
      </c>
      <c r="CN48" s="69">
        <f>IF(CN$4="","",IF(COUNTIF(設定!$W$6:$W$40,DATE(設定!$C$2,設定!$D$2,30))&gt;0,"假",IF(INDEX(設定!$U$48:$AL$48,(WEEKDAY(DATE(設定!$C$2,設定!$D$2,30),2)-1)*3+1)=0,"休",COUNTIF(CN$6:CN$45,"睿"))))</f>
        <v/>
      </c>
      <c r="CO48" s="70">
        <f>IF(CO$4="","",IF(COUNTIF(設定!$W$6:$W$40,DATE(設定!$C$2,設定!$D$2,30))&gt;0,"假",IF(INDEX(設定!$U$48:$AL$48,(WEEKDAY(DATE(設定!$C$2,設定!$D$2,30),2)-1)*3+2)=0,"休",COUNTIF(CO$6:CO$45,"睿"))))</f>
        <v/>
      </c>
      <c r="CP48" s="70">
        <f>IF(CP$4="","",IF(COUNTIF(設定!$W$6:$W$40,DATE(設定!$C$2,設定!$D$2,30))&gt;0,"假",IF(INDEX(設定!$U$48:$AL$48,(WEEKDAY(DATE(設定!$C$2,設定!$D$2,30),2)-1)*3+3)=0,"休",COUNTIF(CP$6:CP$45,"睿"))))</f>
        <v/>
      </c>
      <c r="CQ48" s="69">
        <f>IF(CQ$4="","",IF(COUNTIF(設定!$W$6:$W$40,DATE(設定!$C$2,設定!$D$2,31))&gt;0,"假",IF(INDEX(設定!$U$48:$AL$48,(WEEKDAY(DATE(設定!$C$2,設定!$D$2,31),2)-1)*3+1)=0,"休",COUNTIF(CQ$6:CQ$45,"睿"))))</f>
        <v/>
      </c>
      <c r="CR48" s="70">
        <f>IF(CR$4="","",IF(COUNTIF(設定!$W$6:$W$40,DATE(設定!$C$2,設定!$D$2,31))&gt;0,"假",IF(INDEX(設定!$U$48:$AL$48,(WEEKDAY(DATE(設定!$C$2,設定!$D$2,31),2)-1)*3+2)=0,"休",COUNTIF(CR$6:CR$45,"睿"))))</f>
        <v/>
      </c>
      <c r="CS48" s="70">
        <f>IF(CS$4="","",IF(COUNTIF(設定!$W$6:$W$40,DATE(設定!$C$2,設定!$D$2,31))&gt;0,"假",IF(INDEX(設定!$U$48:$AL$48,(WEEKDAY(DATE(設定!$C$2,設定!$D$2,31),2)-1)*3+3)=0,"休",COUNTIF(CS$6:CS$45,"睿"))))</f>
        <v/>
      </c>
    </row>
    <row r="49">
      <c r="A49" s="72" t="inlineStr">
        <is>
          <t>匯 晶匯</t>
        </is>
      </c>
      <c r="B49" s="8" t="n"/>
      <c r="C49" s="8" t="n"/>
      <c r="D49" s="9" t="n"/>
      <c r="E49" s="69">
        <f>IF(E$4="","",IF(COUNTIF(設定!$W$6:$W$40,DATE(設定!$C$2,設定!$D$2,1))&gt;0,"假",IF(INDEX(設定!$U$49:$AL$49,(WEEKDAY(DATE(設定!$C$2,設定!$D$2,1),2)-1)*3+1)=0,"休",COUNTIF(E$6:E$45,"匯"))))</f>
        <v/>
      </c>
      <c r="F49" s="70">
        <f>IF(F$4="","",IF(COUNTIF(設定!$W$6:$W$40,DATE(設定!$C$2,設定!$D$2,1))&gt;0,"假",IF(INDEX(設定!$U$49:$AL$49,(WEEKDAY(DATE(設定!$C$2,設定!$D$2,1),2)-1)*3+2)=0,"休",COUNTIF(F$6:F$45,"匯"))))</f>
        <v/>
      </c>
      <c r="G49" s="70">
        <f>IF(G$4="","",IF(COUNTIF(設定!$W$6:$W$40,DATE(設定!$C$2,設定!$D$2,1))&gt;0,"假",IF(INDEX(設定!$U$49:$AL$49,(WEEKDAY(DATE(設定!$C$2,設定!$D$2,1),2)-1)*3+3)=0,"休",COUNTIF(G$6:G$45,"匯"))))</f>
        <v/>
      </c>
      <c r="H49" s="69">
        <f>IF(H$4="","",IF(COUNTIF(設定!$W$6:$W$40,DATE(設定!$C$2,設定!$D$2,2))&gt;0,"假",IF(INDEX(設定!$U$49:$AL$49,(WEEKDAY(DATE(設定!$C$2,設定!$D$2,2),2)-1)*3+1)=0,"休",COUNTIF(H$6:H$45,"匯"))))</f>
        <v/>
      </c>
      <c r="I49" s="70">
        <f>IF(I$4="","",IF(COUNTIF(設定!$W$6:$W$40,DATE(設定!$C$2,設定!$D$2,2))&gt;0,"假",IF(INDEX(設定!$U$49:$AL$49,(WEEKDAY(DATE(設定!$C$2,設定!$D$2,2),2)-1)*3+2)=0,"休",COUNTIF(I$6:I$45,"匯"))))</f>
        <v/>
      </c>
      <c r="J49" s="70">
        <f>IF(J$4="","",IF(COUNTIF(設定!$W$6:$W$40,DATE(設定!$C$2,設定!$D$2,2))&gt;0,"假",IF(INDEX(設定!$U$49:$AL$49,(WEEKDAY(DATE(設定!$C$2,設定!$D$2,2),2)-1)*3+3)=0,"休",COUNTIF(J$6:J$45,"匯"))))</f>
        <v/>
      </c>
      <c r="K49" s="69">
        <f>IF(K$4="","",IF(COUNTIF(設定!$W$6:$W$40,DATE(設定!$C$2,設定!$D$2,3))&gt;0,"假",IF(INDEX(設定!$U$49:$AL$49,(WEEKDAY(DATE(設定!$C$2,設定!$D$2,3),2)-1)*3+1)=0,"休",COUNTIF(K$6:K$45,"匯"))))</f>
        <v/>
      </c>
      <c r="L49" s="70">
        <f>IF(L$4="","",IF(COUNTIF(設定!$W$6:$W$40,DATE(設定!$C$2,設定!$D$2,3))&gt;0,"假",IF(INDEX(設定!$U$49:$AL$49,(WEEKDAY(DATE(設定!$C$2,設定!$D$2,3),2)-1)*3+2)=0,"休",COUNTIF(L$6:L$45,"匯"))))</f>
        <v/>
      </c>
      <c r="M49" s="70">
        <f>IF(M$4="","",IF(COUNTIF(設定!$W$6:$W$40,DATE(設定!$C$2,設定!$D$2,3))&gt;0,"假",IF(INDEX(設定!$U$49:$AL$49,(WEEKDAY(DATE(設定!$C$2,設定!$D$2,3),2)-1)*3+3)=0,"休",COUNTIF(M$6:M$45,"匯"))))</f>
        <v/>
      </c>
      <c r="N49" s="69">
        <f>IF(N$4="","",IF(COUNTIF(設定!$W$6:$W$40,DATE(設定!$C$2,設定!$D$2,4))&gt;0,"假",IF(INDEX(設定!$U$49:$AL$49,(WEEKDAY(DATE(設定!$C$2,設定!$D$2,4),2)-1)*3+1)=0,"休",COUNTIF(N$6:N$45,"匯"))))</f>
        <v/>
      </c>
      <c r="O49" s="70">
        <f>IF(O$4="","",IF(COUNTIF(設定!$W$6:$W$40,DATE(設定!$C$2,設定!$D$2,4))&gt;0,"假",IF(INDEX(設定!$U$49:$AL$49,(WEEKDAY(DATE(設定!$C$2,設定!$D$2,4),2)-1)*3+2)=0,"休",COUNTIF(O$6:O$45,"匯"))))</f>
        <v/>
      </c>
      <c r="P49" s="70">
        <f>IF(P$4="","",IF(COUNTIF(設定!$W$6:$W$40,DATE(設定!$C$2,設定!$D$2,4))&gt;0,"假",IF(INDEX(設定!$U$49:$AL$49,(WEEKDAY(DATE(設定!$C$2,設定!$D$2,4),2)-1)*3+3)=0,"休",COUNTIF(P$6:P$45,"匯"))))</f>
        <v/>
      </c>
      <c r="Q49" s="69">
        <f>IF(Q$4="","",IF(COUNTIF(設定!$W$6:$W$40,DATE(設定!$C$2,設定!$D$2,5))&gt;0,"假",IF(INDEX(設定!$U$49:$AL$49,(WEEKDAY(DATE(設定!$C$2,設定!$D$2,5),2)-1)*3+1)=0,"休",COUNTIF(Q$6:Q$45,"匯"))))</f>
        <v/>
      </c>
      <c r="R49" s="70">
        <f>IF(R$4="","",IF(COUNTIF(設定!$W$6:$W$40,DATE(設定!$C$2,設定!$D$2,5))&gt;0,"假",IF(INDEX(設定!$U$49:$AL$49,(WEEKDAY(DATE(設定!$C$2,設定!$D$2,5),2)-1)*3+2)=0,"休",COUNTIF(R$6:R$45,"匯"))))</f>
        <v/>
      </c>
      <c r="S49" s="70">
        <f>IF(S$4="","",IF(COUNTIF(設定!$W$6:$W$40,DATE(設定!$C$2,設定!$D$2,5))&gt;0,"假",IF(INDEX(設定!$U$49:$AL$49,(WEEKDAY(DATE(設定!$C$2,設定!$D$2,5),2)-1)*3+3)=0,"休",COUNTIF(S$6:S$45,"匯"))))</f>
        <v/>
      </c>
      <c r="T49" s="69">
        <f>IF(T$4="","",IF(COUNTIF(設定!$W$6:$W$40,DATE(設定!$C$2,設定!$D$2,6))&gt;0,"假",IF(INDEX(設定!$U$49:$AL$49,(WEEKDAY(DATE(設定!$C$2,設定!$D$2,6),2)-1)*3+1)=0,"休",COUNTIF(T$6:T$45,"匯"))))</f>
        <v/>
      </c>
      <c r="U49" s="70">
        <f>IF(U$4="","",IF(COUNTIF(設定!$W$6:$W$40,DATE(設定!$C$2,設定!$D$2,6))&gt;0,"假",IF(INDEX(設定!$U$49:$AL$49,(WEEKDAY(DATE(設定!$C$2,設定!$D$2,6),2)-1)*3+2)=0,"休",COUNTIF(U$6:U$45,"匯"))))</f>
        <v/>
      </c>
      <c r="V49" s="70">
        <f>IF(V$4="","",IF(COUNTIF(設定!$W$6:$W$40,DATE(設定!$C$2,設定!$D$2,6))&gt;0,"假",IF(INDEX(設定!$U$49:$AL$49,(WEEKDAY(DATE(設定!$C$2,設定!$D$2,6),2)-1)*3+3)=0,"休",COUNTIF(V$6:V$45,"匯"))))</f>
        <v/>
      </c>
      <c r="W49" s="69">
        <f>IF(W$4="","",IF(COUNTIF(設定!$W$6:$W$40,DATE(設定!$C$2,設定!$D$2,7))&gt;0,"假",IF(INDEX(設定!$U$49:$AL$49,(WEEKDAY(DATE(設定!$C$2,設定!$D$2,7),2)-1)*3+1)=0,"休",COUNTIF(W$6:W$45,"匯"))))</f>
        <v/>
      </c>
      <c r="X49" s="70">
        <f>IF(X$4="","",IF(COUNTIF(設定!$W$6:$W$40,DATE(設定!$C$2,設定!$D$2,7))&gt;0,"假",IF(INDEX(設定!$U$49:$AL$49,(WEEKDAY(DATE(設定!$C$2,設定!$D$2,7),2)-1)*3+2)=0,"休",COUNTIF(X$6:X$45,"匯"))))</f>
        <v/>
      </c>
      <c r="Y49" s="70">
        <f>IF(Y$4="","",IF(COUNTIF(設定!$W$6:$W$40,DATE(設定!$C$2,設定!$D$2,7))&gt;0,"假",IF(INDEX(設定!$U$49:$AL$49,(WEEKDAY(DATE(設定!$C$2,設定!$D$2,7),2)-1)*3+3)=0,"休",COUNTIF(Y$6:Y$45,"匯"))))</f>
        <v/>
      </c>
      <c r="Z49" s="69">
        <f>IF(Z$4="","",IF(COUNTIF(設定!$W$6:$W$40,DATE(設定!$C$2,設定!$D$2,8))&gt;0,"假",IF(INDEX(設定!$U$49:$AL$49,(WEEKDAY(DATE(設定!$C$2,設定!$D$2,8),2)-1)*3+1)=0,"休",COUNTIF(Z$6:Z$45,"匯"))))</f>
        <v/>
      </c>
      <c r="AA49" s="70">
        <f>IF(AA$4="","",IF(COUNTIF(設定!$W$6:$W$40,DATE(設定!$C$2,設定!$D$2,8))&gt;0,"假",IF(INDEX(設定!$U$49:$AL$49,(WEEKDAY(DATE(設定!$C$2,設定!$D$2,8),2)-1)*3+2)=0,"休",COUNTIF(AA$6:AA$45,"匯"))))</f>
        <v/>
      </c>
      <c r="AB49" s="70">
        <f>IF(AB$4="","",IF(COUNTIF(設定!$W$6:$W$40,DATE(設定!$C$2,設定!$D$2,8))&gt;0,"假",IF(INDEX(設定!$U$49:$AL$49,(WEEKDAY(DATE(設定!$C$2,設定!$D$2,8),2)-1)*3+3)=0,"休",COUNTIF(AB$6:AB$45,"匯"))))</f>
        <v/>
      </c>
      <c r="AC49" s="69">
        <f>IF(AC$4="","",IF(COUNTIF(設定!$W$6:$W$40,DATE(設定!$C$2,設定!$D$2,9))&gt;0,"假",IF(INDEX(設定!$U$49:$AL$49,(WEEKDAY(DATE(設定!$C$2,設定!$D$2,9),2)-1)*3+1)=0,"休",COUNTIF(AC$6:AC$45,"匯"))))</f>
        <v/>
      </c>
      <c r="AD49" s="70">
        <f>IF(AD$4="","",IF(COUNTIF(設定!$W$6:$W$40,DATE(設定!$C$2,設定!$D$2,9))&gt;0,"假",IF(INDEX(設定!$U$49:$AL$49,(WEEKDAY(DATE(設定!$C$2,設定!$D$2,9),2)-1)*3+2)=0,"休",COUNTIF(AD$6:AD$45,"匯"))))</f>
        <v/>
      </c>
      <c r="AE49" s="70">
        <f>IF(AE$4="","",IF(COUNTIF(設定!$W$6:$W$40,DATE(設定!$C$2,設定!$D$2,9))&gt;0,"假",IF(INDEX(設定!$U$49:$AL$49,(WEEKDAY(DATE(設定!$C$2,設定!$D$2,9),2)-1)*3+3)=0,"休",COUNTIF(AE$6:AE$45,"匯"))))</f>
        <v/>
      </c>
      <c r="AF49" s="69">
        <f>IF(AF$4="","",IF(COUNTIF(設定!$W$6:$W$40,DATE(設定!$C$2,設定!$D$2,10))&gt;0,"假",IF(INDEX(設定!$U$49:$AL$49,(WEEKDAY(DATE(設定!$C$2,設定!$D$2,10),2)-1)*3+1)=0,"休",COUNTIF(AF$6:AF$45,"匯"))))</f>
        <v/>
      </c>
      <c r="AG49" s="70">
        <f>IF(AG$4="","",IF(COUNTIF(設定!$W$6:$W$40,DATE(設定!$C$2,設定!$D$2,10))&gt;0,"假",IF(INDEX(設定!$U$49:$AL$49,(WEEKDAY(DATE(設定!$C$2,設定!$D$2,10),2)-1)*3+2)=0,"休",COUNTIF(AG$6:AG$45,"匯"))))</f>
        <v/>
      </c>
      <c r="AH49" s="70">
        <f>IF(AH$4="","",IF(COUNTIF(設定!$W$6:$W$40,DATE(設定!$C$2,設定!$D$2,10))&gt;0,"假",IF(INDEX(設定!$U$49:$AL$49,(WEEKDAY(DATE(設定!$C$2,設定!$D$2,10),2)-1)*3+3)=0,"休",COUNTIF(AH$6:AH$45,"匯"))))</f>
        <v/>
      </c>
      <c r="AI49" s="69">
        <f>IF(AI$4="","",IF(COUNTIF(設定!$W$6:$W$40,DATE(設定!$C$2,設定!$D$2,11))&gt;0,"假",IF(INDEX(設定!$U$49:$AL$49,(WEEKDAY(DATE(設定!$C$2,設定!$D$2,11),2)-1)*3+1)=0,"休",COUNTIF(AI$6:AI$45,"匯"))))</f>
        <v/>
      </c>
      <c r="AJ49" s="70">
        <f>IF(AJ$4="","",IF(COUNTIF(設定!$W$6:$W$40,DATE(設定!$C$2,設定!$D$2,11))&gt;0,"假",IF(INDEX(設定!$U$49:$AL$49,(WEEKDAY(DATE(設定!$C$2,設定!$D$2,11),2)-1)*3+2)=0,"休",COUNTIF(AJ$6:AJ$45,"匯"))))</f>
        <v/>
      </c>
      <c r="AK49" s="70">
        <f>IF(AK$4="","",IF(COUNTIF(設定!$W$6:$W$40,DATE(設定!$C$2,設定!$D$2,11))&gt;0,"假",IF(INDEX(設定!$U$49:$AL$49,(WEEKDAY(DATE(設定!$C$2,設定!$D$2,11),2)-1)*3+3)=0,"休",COUNTIF(AK$6:AK$45,"匯"))))</f>
        <v/>
      </c>
      <c r="AL49" s="69">
        <f>IF(AL$4="","",IF(COUNTIF(設定!$W$6:$W$40,DATE(設定!$C$2,設定!$D$2,12))&gt;0,"假",IF(INDEX(設定!$U$49:$AL$49,(WEEKDAY(DATE(設定!$C$2,設定!$D$2,12),2)-1)*3+1)=0,"休",COUNTIF(AL$6:AL$45,"匯"))))</f>
        <v/>
      </c>
      <c r="AM49" s="70">
        <f>IF(AM$4="","",IF(COUNTIF(設定!$W$6:$W$40,DATE(設定!$C$2,設定!$D$2,12))&gt;0,"假",IF(INDEX(設定!$U$49:$AL$49,(WEEKDAY(DATE(設定!$C$2,設定!$D$2,12),2)-1)*3+2)=0,"休",COUNTIF(AM$6:AM$45,"匯"))))</f>
        <v/>
      </c>
      <c r="AN49" s="70">
        <f>IF(AN$4="","",IF(COUNTIF(設定!$W$6:$W$40,DATE(設定!$C$2,設定!$D$2,12))&gt;0,"假",IF(INDEX(設定!$U$49:$AL$49,(WEEKDAY(DATE(設定!$C$2,設定!$D$2,12),2)-1)*3+3)=0,"休",COUNTIF(AN$6:AN$45,"匯"))))</f>
        <v/>
      </c>
      <c r="AO49" s="69">
        <f>IF(AO$4="","",IF(COUNTIF(設定!$W$6:$W$40,DATE(設定!$C$2,設定!$D$2,13))&gt;0,"假",IF(INDEX(設定!$U$49:$AL$49,(WEEKDAY(DATE(設定!$C$2,設定!$D$2,13),2)-1)*3+1)=0,"休",COUNTIF(AO$6:AO$45,"匯"))))</f>
        <v/>
      </c>
      <c r="AP49" s="70">
        <f>IF(AP$4="","",IF(COUNTIF(設定!$W$6:$W$40,DATE(設定!$C$2,設定!$D$2,13))&gt;0,"假",IF(INDEX(設定!$U$49:$AL$49,(WEEKDAY(DATE(設定!$C$2,設定!$D$2,13),2)-1)*3+2)=0,"休",COUNTIF(AP$6:AP$45,"匯"))))</f>
        <v/>
      </c>
      <c r="AQ49" s="70">
        <f>IF(AQ$4="","",IF(COUNTIF(設定!$W$6:$W$40,DATE(設定!$C$2,設定!$D$2,13))&gt;0,"假",IF(INDEX(設定!$U$49:$AL$49,(WEEKDAY(DATE(設定!$C$2,設定!$D$2,13),2)-1)*3+3)=0,"休",COUNTIF(AQ$6:AQ$45,"匯"))))</f>
        <v/>
      </c>
      <c r="AR49" s="69">
        <f>IF(AR$4="","",IF(COUNTIF(設定!$W$6:$W$40,DATE(設定!$C$2,設定!$D$2,14))&gt;0,"假",IF(INDEX(設定!$U$49:$AL$49,(WEEKDAY(DATE(設定!$C$2,設定!$D$2,14),2)-1)*3+1)=0,"休",COUNTIF(AR$6:AR$45,"匯"))))</f>
        <v/>
      </c>
      <c r="AS49" s="70">
        <f>IF(AS$4="","",IF(COUNTIF(設定!$W$6:$W$40,DATE(設定!$C$2,設定!$D$2,14))&gt;0,"假",IF(INDEX(設定!$U$49:$AL$49,(WEEKDAY(DATE(設定!$C$2,設定!$D$2,14),2)-1)*3+2)=0,"休",COUNTIF(AS$6:AS$45,"匯"))))</f>
        <v/>
      </c>
      <c r="AT49" s="70">
        <f>IF(AT$4="","",IF(COUNTIF(設定!$W$6:$W$40,DATE(設定!$C$2,設定!$D$2,14))&gt;0,"假",IF(INDEX(設定!$U$49:$AL$49,(WEEKDAY(DATE(設定!$C$2,設定!$D$2,14),2)-1)*3+3)=0,"休",COUNTIF(AT$6:AT$45,"匯"))))</f>
        <v/>
      </c>
      <c r="AU49" s="69">
        <f>IF(AU$4="","",IF(COUNTIF(設定!$W$6:$W$40,DATE(設定!$C$2,設定!$D$2,15))&gt;0,"假",IF(INDEX(設定!$U$49:$AL$49,(WEEKDAY(DATE(設定!$C$2,設定!$D$2,15),2)-1)*3+1)=0,"休",COUNTIF(AU$6:AU$45,"匯"))))</f>
        <v/>
      </c>
      <c r="AV49" s="70">
        <f>IF(AV$4="","",IF(COUNTIF(設定!$W$6:$W$40,DATE(設定!$C$2,設定!$D$2,15))&gt;0,"假",IF(INDEX(設定!$U$49:$AL$49,(WEEKDAY(DATE(設定!$C$2,設定!$D$2,15),2)-1)*3+2)=0,"休",COUNTIF(AV$6:AV$45,"匯"))))</f>
        <v/>
      </c>
      <c r="AW49" s="70">
        <f>IF(AW$4="","",IF(COUNTIF(設定!$W$6:$W$40,DATE(設定!$C$2,設定!$D$2,15))&gt;0,"假",IF(INDEX(設定!$U$49:$AL$49,(WEEKDAY(DATE(設定!$C$2,設定!$D$2,15),2)-1)*3+3)=0,"休",COUNTIF(AW$6:AW$45,"匯"))))</f>
        <v/>
      </c>
      <c r="AX49" s="69">
        <f>IF(AX$4="","",IF(COUNTIF(設定!$W$6:$W$40,DATE(設定!$C$2,設定!$D$2,16))&gt;0,"假",IF(INDEX(設定!$U$49:$AL$49,(WEEKDAY(DATE(設定!$C$2,設定!$D$2,16),2)-1)*3+1)=0,"休",COUNTIF(AX$6:AX$45,"匯"))))</f>
        <v/>
      </c>
      <c r="AY49" s="70">
        <f>IF(AY$4="","",IF(COUNTIF(設定!$W$6:$W$40,DATE(設定!$C$2,設定!$D$2,16))&gt;0,"假",IF(INDEX(設定!$U$49:$AL$49,(WEEKDAY(DATE(設定!$C$2,設定!$D$2,16),2)-1)*3+2)=0,"休",COUNTIF(AY$6:AY$45,"匯"))))</f>
        <v/>
      </c>
      <c r="AZ49" s="70">
        <f>IF(AZ$4="","",IF(COUNTIF(設定!$W$6:$W$40,DATE(設定!$C$2,設定!$D$2,16))&gt;0,"假",IF(INDEX(設定!$U$49:$AL$49,(WEEKDAY(DATE(設定!$C$2,設定!$D$2,16),2)-1)*3+3)=0,"休",COUNTIF(AZ$6:AZ$45,"匯"))))</f>
        <v/>
      </c>
      <c r="BA49" s="69">
        <f>IF(BA$4="","",IF(COUNTIF(設定!$W$6:$W$40,DATE(設定!$C$2,設定!$D$2,17))&gt;0,"假",IF(INDEX(設定!$U$49:$AL$49,(WEEKDAY(DATE(設定!$C$2,設定!$D$2,17),2)-1)*3+1)=0,"休",COUNTIF(BA$6:BA$45,"匯"))))</f>
        <v/>
      </c>
      <c r="BB49" s="70">
        <f>IF(BB$4="","",IF(COUNTIF(設定!$W$6:$W$40,DATE(設定!$C$2,設定!$D$2,17))&gt;0,"假",IF(INDEX(設定!$U$49:$AL$49,(WEEKDAY(DATE(設定!$C$2,設定!$D$2,17),2)-1)*3+2)=0,"休",COUNTIF(BB$6:BB$45,"匯"))))</f>
        <v/>
      </c>
      <c r="BC49" s="70">
        <f>IF(BC$4="","",IF(COUNTIF(設定!$W$6:$W$40,DATE(設定!$C$2,設定!$D$2,17))&gt;0,"假",IF(INDEX(設定!$U$49:$AL$49,(WEEKDAY(DATE(設定!$C$2,設定!$D$2,17),2)-1)*3+3)=0,"休",COUNTIF(BC$6:BC$45,"匯"))))</f>
        <v/>
      </c>
      <c r="BD49" s="69">
        <f>IF(BD$4="","",IF(COUNTIF(設定!$W$6:$W$40,DATE(設定!$C$2,設定!$D$2,18))&gt;0,"假",IF(INDEX(設定!$U$49:$AL$49,(WEEKDAY(DATE(設定!$C$2,設定!$D$2,18),2)-1)*3+1)=0,"休",COUNTIF(BD$6:BD$45,"匯"))))</f>
        <v/>
      </c>
      <c r="BE49" s="70">
        <f>IF(BE$4="","",IF(COUNTIF(設定!$W$6:$W$40,DATE(設定!$C$2,設定!$D$2,18))&gt;0,"假",IF(INDEX(設定!$U$49:$AL$49,(WEEKDAY(DATE(設定!$C$2,設定!$D$2,18),2)-1)*3+2)=0,"休",COUNTIF(BE$6:BE$45,"匯"))))</f>
        <v/>
      </c>
      <c r="BF49" s="70">
        <f>IF(BF$4="","",IF(COUNTIF(設定!$W$6:$W$40,DATE(設定!$C$2,設定!$D$2,18))&gt;0,"假",IF(INDEX(設定!$U$49:$AL$49,(WEEKDAY(DATE(設定!$C$2,設定!$D$2,18),2)-1)*3+3)=0,"休",COUNTIF(BF$6:BF$45,"匯"))))</f>
        <v/>
      </c>
      <c r="BG49" s="69">
        <f>IF(BG$4="","",IF(COUNTIF(設定!$W$6:$W$40,DATE(設定!$C$2,設定!$D$2,19))&gt;0,"假",IF(INDEX(設定!$U$49:$AL$49,(WEEKDAY(DATE(設定!$C$2,設定!$D$2,19),2)-1)*3+1)=0,"休",COUNTIF(BG$6:BG$45,"匯"))))</f>
        <v/>
      </c>
      <c r="BH49" s="70">
        <f>IF(BH$4="","",IF(COUNTIF(設定!$W$6:$W$40,DATE(設定!$C$2,設定!$D$2,19))&gt;0,"假",IF(INDEX(設定!$U$49:$AL$49,(WEEKDAY(DATE(設定!$C$2,設定!$D$2,19),2)-1)*3+2)=0,"休",COUNTIF(BH$6:BH$45,"匯"))))</f>
        <v/>
      </c>
      <c r="BI49" s="70">
        <f>IF(BI$4="","",IF(COUNTIF(設定!$W$6:$W$40,DATE(設定!$C$2,設定!$D$2,19))&gt;0,"假",IF(INDEX(設定!$U$49:$AL$49,(WEEKDAY(DATE(設定!$C$2,設定!$D$2,19),2)-1)*3+3)=0,"休",COUNTIF(BI$6:BI$45,"匯"))))</f>
        <v/>
      </c>
      <c r="BJ49" s="69">
        <f>IF(BJ$4="","",IF(COUNTIF(設定!$W$6:$W$40,DATE(設定!$C$2,設定!$D$2,20))&gt;0,"假",IF(INDEX(設定!$U$49:$AL$49,(WEEKDAY(DATE(設定!$C$2,設定!$D$2,20),2)-1)*3+1)=0,"休",COUNTIF(BJ$6:BJ$45,"匯"))))</f>
        <v/>
      </c>
      <c r="BK49" s="70">
        <f>IF(BK$4="","",IF(COUNTIF(設定!$W$6:$W$40,DATE(設定!$C$2,設定!$D$2,20))&gt;0,"假",IF(INDEX(設定!$U$49:$AL$49,(WEEKDAY(DATE(設定!$C$2,設定!$D$2,20),2)-1)*3+2)=0,"休",COUNTIF(BK$6:BK$45,"匯"))))</f>
        <v/>
      </c>
      <c r="BL49" s="70">
        <f>IF(BL$4="","",IF(COUNTIF(設定!$W$6:$W$40,DATE(設定!$C$2,設定!$D$2,20))&gt;0,"假",IF(INDEX(設定!$U$49:$AL$49,(WEEKDAY(DATE(設定!$C$2,設定!$D$2,20),2)-1)*3+3)=0,"休",COUNTIF(BL$6:BL$45,"匯"))))</f>
        <v/>
      </c>
      <c r="BM49" s="69">
        <f>IF(BM$4="","",IF(COUNTIF(設定!$W$6:$W$40,DATE(設定!$C$2,設定!$D$2,21))&gt;0,"假",IF(INDEX(設定!$U$49:$AL$49,(WEEKDAY(DATE(設定!$C$2,設定!$D$2,21),2)-1)*3+1)=0,"休",COUNTIF(BM$6:BM$45,"匯"))))</f>
        <v/>
      </c>
      <c r="BN49" s="70">
        <f>IF(BN$4="","",IF(COUNTIF(設定!$W$6:$W$40,DATE(設定!$C$2,設定!$D$2,21))&gt;0,"假",IF(INDEX(設定!$U$49:$AL$49,(WEEKDAY(DATE(設定!$C$2,設定!$D$2,21),2)-1)*3+2)=0,"休",COUNTIF(BN$6:BN$45,"匯"))))</f>
        <v/>
      </c>
      <c r="BO49" s="70">
        <f>IF(BO$4="","",IF(COUNTIF(設定!$W$6:$W$40,DATE(設定!$C$2,設定!$D$2,21))&gt;0,"假",IF(INDEX(設定!$U$49:$AL$49,(WEEKDAY(DATE(設定!$C$2,設定!$D$2,21),2)-1)*3+3)=0,"休",COUNTIF(BO$6:BO$45,"匯"))))</f>
        <v/>
      </c>
      <c r="BP49" s="69">
        <f>IF(BP$4="","",IF(COUNTIF(設定!$W$6:$W$40,DATE(設定!$C$2,設定!$D$2,22))&gt;0,"假",IF(INDEX(設定!$U$49:$AL$49,(WEEKDAY(DATE(設定!$C$2,設定!$D$2,22),2)-1)*3+1)=0,"休",COUNTIF(BP$6:BP$45,"匯"))))</f>
        <v/>
      </c>
      <c r="BQ49" s="70">
        <f>IF(BQ$4="","",IF(COUNTIF(設定!$W$6:$W$40,DATE(設定!$C$2,設定!$D$2,22))&gt;0,"假",IF(INDEX(設定!$U$49:$AL$49,(WEEKDAY(DATE(設定!$C$2,設定!$D$2,22),2)-1)*3+2)=0,"休",COUNTIF(BQ$6:BQ$45,"匯"))))</f>
        <v/>
      </c>
      <c r="BR49" s="70">
        <f>IF(BR$4="","",IF(COUNTIF(設定!$W$6:$W$40,DATE(設定!$C$2,設定!$D$2,22))&gt;0,"假",IF(INDEX(設定!$U$49:$AL$49,(WEEKDAY(DATE(設定!$C$2,設定!$D$2,22),2)-1)*3+3)=0,"休",COUNTIF(BR$6:BR$45,"匯"))))</f>
        <v/>
      </c>
      <c r="BS49" s="69">
        <f>IF(BS$4="","",IF(COUNTIF(設定!$W$6:$W$40,DATE(設定!$C$2,設定!$D$2,23))&gt;0,"假",IF(INDEX(設定!$U$49:$AL$49,(WEEKDAY(DATE(設定!$C$2,設定!$D$2,23),2)-1)*3+1)=0,"休",COUNTIF(BS$6:BS$45,"匯"))))</f>
        <v/>
      </c>
      <c r="BT49" s="70">
        <f>IF(BT$4="","",IF(COUNTIF(設定!$W$6:$W$40,DATE(設定!$C$2,設定!$D$2,23))&gt;0,"假",IF(INDEX(設定!$U$49:$AL$49,(WEEKDAY(DATE(設定!$C$2,設定!$D$2,23),2)-1)*3+2)=0,"休",COUNTIF(BT$6:BT$45,"匯"))))</f>
        <v/>
      </c>
      <c r="BU49" s="70">
        <f>IF(BU$4="","",IF(COUNTIF(設定!$W$6:$W$40,DATE(設定!$C$2,設定!$D$2,23))&gt;0,"假",IF(INDEX(設定!$U$49:$AL$49,(WEEKDAY(DATE(設定!$C$2,設定!$D$2,23),2)-1)*3+3)=0,"休",COUNTIF(BU$6:BU$45,"匯"))))</f>
        <v/>
      </c>
      <c r="BV49" s="69">
        <f>IF(BV$4="","",IF(COUNTIF(設定!$W$6:$W$40,DATE(設定!$C$2,設定!$D$2,24))&gt;0,"假",IF(INDEX(設定!$U$49:$AL$49,(WEEKDAY(DATE(設定!$C$2,設定!$D$2,24),2)-1)*3+1)=0,"休",COUNTIF(BV$6:BV$45,"匯"))))</f>
        <v/>
      </c>
      <c r="BW49" s="70">
        <f>IF(BW$4="","",IF(COUNTIF(設定!$W$6:$W$40,DATE(設定!$C$2,設定!$D$2,24))&gt;0,"假",IF(INDEX(設定!$U$49:$AL$49,(WEEKDAY(DATE(設定!$C$2,設定!$D$2,24),2)-1)*3+2)=0,"休",COUNTIF(BW$6:BW$45,"匯"))))</f>
        <v/>
      </c>
      <c r="BX49" s="70">
        <f>IF(BX$4="","",IF(COUNTIF(設定!$W$6:$W$40,DATE(設定!$C$2,設定!$D$2,24))&gt;0,"假",IF(INDEX(設定!$U$49:$AL$49,(WEEKDAY(DATE(設定!$C$2,設定!$D$2,24),2)-1)*3+3)=0,"休",COUNTIF(BX$6:BX$45,"匯"))))</f>
        <v/>
      </c>
      <c r="BY49" s="69">
        <f>IF(BY$4="","",IF(COUNTIF(設定!$W$6:$W$40,DATE(設定!$C$2,設定!$D$2,25))&gt;0,"假",IF(INDEX(設定!$U$49:$AL$49,(WEEKDAY(DATE(設定!$C$2,設定!$D$2,25),2)-1)*3+1)=0,"休",COUNTIF(BY$6:BY$45,"匯"))))</f>
        <v/>
      </c>
      <c r="BZ49" s="70">
        <f>IF(BZ$4="","",IF(COUNTIF(設定!$W$6:$W$40,DATE(設定!$C$2,設定!$D$2,25))&gt;0,"假",IF(INDEX(設定!$U$49:$AL$49,(WEEKDAY(DATE(設定!$C$2,設定!$D$2,25),2)-1)*3+2)=0,"休",COUNTIF(BZ$6:BZ$45,"匯"))))</f>
        <v/>
      </c>
      <c r="CA49" s="70">
        <f>IF(CA$4="","",IF(COUNTIF(設定!$W$6:$W$40,DATE(設定!$C$2,設定!$D$2,25))&gt;0,"假",IF(INDEX(設定!$U$49:$AL$49,(WEEKDAY(DATE(設定!$C$2,設定!$D$2,25),2)-1)*3+3)=0,"休",COUNTIF(CA$6:CA$45,"匯"))))</f>
        <v/>
      </c>
      <c r="CB49" s="69">
        <f>IF(CB$4="","",IF(COUNTIF(設定!$W$6:$W$40,DATE(設定!$C$2,設定!$D$2,26))&gt;0,"假",IF(INDEX(設定!$U$49:$AL$49,(WEEKDAY(DATE(設定!$C$2,設定!$D$2,26),2)-1)*3+1)=0,"休",COUNTIF(CB$6:CB$45,"匯"))))</f>
        <v/>
      </c>
      <c r="CC49" s="70">
        <f>IF(CC$4="","",IF(COUNTIF(設定!$W$6:$W$40,DATE(設定!$C$2,設定!$D$2,26))&gt;0,"假",IF(INDEX(設定!$U$49:$AL$49,(WEEKDAY(DATE(設定!$C$2,設定!$D$2,26),2)-1)*3+2)=0,"休",COUNTIF(CC$6:CC$45,"匯"))))</f>
        <v/>
      </c>
      <c r="CD49" s="70">
        <f>IF(CD$4="","",IF(COUNTIF(設定!$W$6:$W$40,DATE(設定!$C$2,設定!$D$2,26))&gt;0,"假",IF(INDEX(設定!$U$49:$AL$49,(WEEKDAY(DATE(設定!$C$2,設定!$D$2,26),2)-1)*3+3)=0,"休",COUNTIF(CD$6:CD$45,"匯"))))</f>
        <v/>
      </c>
      <c r="CE49" s="69">
        <f>IF(CE$4="","",IF(COUNTIF(設定!$W$6:$W$40,DATE(設定!$C$2,設定!$D$2,27))&gt;0,"假",IF(INDEX(設定!$U$49:$AL$49,(WEEKDAY(DATE(設定!$C$2,設定!$D$2,27),2)-1)*3+1)=0,"休",COUNTIF(CE$6:CE$45,"匯"))))</f>
        <v/>
      </c>
      <c r="CF49" s="70">
        <f>IF(CF$4="","",IF(COUNTIF(設定!$W$6:$W$40,DATE(設定!$C$2,設定!$D$2,27))&gt;0,"假",IF(INDEX(設定!$U$49:$AL$49,(WEEKDAY(DATE(設定!$C$2,設定!$D$2,27),2)-1)*3+2)=0,"休",COUNTIF(CF$6:CF$45,"匯"))))</f>
        <v/>
      </c>
      <c r="CG49" s="70">
        <f>IF(CG$4="","",IF(COUNTIF(設定!$W$6:$W$40,DATE(設定!$C$2,設定!$D$2,27))&gt;0,"假",IF(INDEX(設定!$U$49:$AL$49,(WEEKDAY(DATE(設定!$C$2,設定!$D$2,27),2)-1)*3+3)=0,"休",COUNTIF(CG$6:CG$45,"匯"))))</f>
        <v/>
      </c>
      <c r="CH49" s="69">
        <f>IF(CH$4="","",IF(COUNTIF(設定!$W$6:$W$40,DATE(設定!$C$2,設定!$D$2,28))&gt;0,"假",IF(INDEX(設定!$U$49:$AL$49,(WEEKDAY(DATE(設定!$C$2,設定!$D$2,28),2)-1)*3+1)=0,"休",COUNTIF(CH$6:CH$45,"匯"))))</f>
        <v/>
      </c>
      <c r="CI49" s="70">
        <f>IF(CI$4="","",IF(COUNTIF(設定!$W$6:$W$40,DATE(設定!$C$2,設定!$D$2,28))&gt;0,"假",IF(INDEX(設定!$U$49:$AL$49,(WEEKDAY(DATE(設定!$C$2,設定!$D$2,28),2)-1)*3+2)=0,"休",COUNTIF(CI$6:CI$45,"匯"))))</f>
        <v/>
      </c>
      <c r="CJ49" s="70">
        <f>IF(CJ$4="","",IF(COUNTIF(設定!$W$6:$W$40,DATE(設定!$C$2,設定!$D$2,28))&gt;0,"假",IF(INDEX(設定!$U$49:$AL$49,(WEEKDAY(DATE(設定!$C$2,設定!$D$2,28),2)-1)*3+3)=0,"休",COUNTIF(CJ$6:CJ$45,"匯"))))</f>
        <v/>
      </c>
      <c r="CK49" s="69">
        <f>IF(CK$4="","",IF(COUNTIF(設定!$W$6:$W$40,DATE(設定!$C$2,設定!$D$2,29))&gt;0,"假",IF(INDEX(設定!$U$49:$AL$49,(WEEKDAY(DATE(設定!$C$2,設定!$D$2,29),2)-1)*3+1)=0,"休",COUNTIF(CK$6:CK$45,"匯"))))</f>
        <v/>
      </c>
      <c r="CL49" s="70">
        <f>IF(CL$4="","",IF(COUNTIF(設定!$W$6:$W$40,DATE(設定!$C$2,設定!$D$2,29))&gt;0,"假",IF(INDEX(設定!$U$49:$AL$49,(WEEKDAY(DATE(設定!$C$2,設定!$D$2,29),2)-1)*3+2)=0,"休",COUNTIF(CL$6:CL$45,"匯"))))</f>
        <v/>
      </c>
      <c r="CM49" s="70">
        <f>IF(CM$4="","",IF(COUNTIF(設定!$W$6:$W$40,DATE(設定!$C$2,設定!$D$2,29))&gt;0,"假",IF(INDEX(設定!$U$49:$AL$49,(WEEKDAY(DATE(設定!$C$2,設定!$D$2,29),2)-1)*3+3)=0,"休",COUNTIF(CM$6:CM$45,"匯"))))</f>
        <v/>
      </c>
      <c r="CN49" s="69">
        <f>IF(CN$4="","",IF(COUNTIF(設定!$W$6:$W$40,DATE(設定!$C$2,設定!$D$2,30))&gt;0,"假",IF(INDEX(設定!$U$49:$AL$49,(WEEKDAY(DATE(設定!$C$2,設定!$D$2,30),2)-1)*3+1)=0,"休",COUNTIF(CN$6:CN$45,"匯"))))</f>
        <v/>
      </c>
      <c r="CO49" s="70">
        <f>IF(CO$4="","",IF(COUNTIF(設定!$W$6:$W$40,DATE(設定!$C$2,設定!$D$2,30))&gt;0,"假",IF(INDEX(設定!$U$49:$AL$49,(WEEKDAY(DATE(設定!$C$2,設定!$D$2,30),2)-1)*3+2)=0,"休",COUNTIF(CO$6:CO$45,"匯"))))</f>
        <v/>
      </c>
      <c r="CP49" s="70">
        <f>IF(CP$4="","",IF(COUNTIF(設定!$W$6:$W$40,DATE(設定!$C$2,設定!$D$2,30))&gt;0,"假",IF(INDEX(設定!$U$49:$AL$49,(WEEKDAY(DATE(設定!$C$2,設定!$D$2,30),2)-1)*3+3)=0,"休",COUNTIF(CP$6:CP$45,"匯"))))</f>
        <v/>
      </c>
      <c r="CQ49" s="69">
        <f>IF(CQ$4="","",IF(COUNTIF(設定!$W$6:$W$40,DATE(設定!$C$2,設定!$D$2,31))&gt;0,"假",IF(INDEX(設定!$U$49:$AL$49,(WEEKDAY(DATE(設定!$C$2,設定!$D$2,31),2)-1)*3+1)=0,"休",COUNTIF(CQ$6:CQ$45,"匯"))))</f>
        <v/>
      </c>
      <c r="CR49" s="70">
        <f>IF(CR$4="","",IF(COUNTIF(設定!$W$6:$W$40,DATE(設定!$C$2,設定!$D$2,31))&gt;0,"假",IF(INDEX(設定!$U$49:$AL$49,(WEEKDAY(DATE(設定!$C$2,設定!$D$2,31),2)-1)*3+2)=0,"休",COUNTIF(CR$6:CR$45,"匯"))))</f>
        <v/>
      </c>
      <c r="CS49" s="70">
        <f>IF(CS$4="","",IF(COUNTIF(設定!$W$6:$W$40,DATE(設定!$C$2,設定!$D$2,31))&gt;0,"假",IF(INDEX(設定!$U$49:$AL$49,(WEEKDAY(DATE(設定!$C$2,設定!$D$2,31),2)-1)*3+3)=0,"休",COUNTIF(CS$6:CS$45,"匯"))))</f>
        <v/>
      </c>
    </row>
    <row r="50">
      <c r="A50" s="73" t="inlineStr">
        <is>
          <t>曜 晶曜</t>
        </is>
      </c>
      <c r="B50" s="8" t="n"/>
      <c r="C50" s="8" t="n"/>
      <c r="D50" s="9" t="n"/>
      <c r="E50" s="69">
        <f>IF(E$4="","",IF(COUNTIF(設定!$W$6:$W$40,DATE(設定!$C$2,設定!$D$2,1))&gt;0,"假",IF(INDEX(設定!$U$50:$AL$50,(WEEKDAY(DATE(設定!$C$2,設定!$D$2,1),2)-1)*3+1)=0,"休",COUNTIF(E$6:E$45,"曜"))))</f>
        <v/>
      </c>
      <c r="F50" s="70">
        <f>IF(F$4="","",IF(COUNTIF(設定!$W$6:$W$40,DATE(設定!$C$2,設定!$D$2,1))&gt;0,"假",IF(INDEX(設定!$U$50:$AL$50,(WEEKDAY(DATE(設定!$C$2,設定!$D$2,1),2)-1)*3+2)=0,"休",COUNTIF(F$6:F$45,"曜"))))</f>
        <v/>
      </c>
      <c r="G50" s="70">
        <f>IF(G$4="","",IF(COUNTIF(設定!$W$6:$W$40,DATE(設定!$C$2,設定!$D$2,1))&gt;0,"假",IF(INDEX(設定!$U$50:$AL$50,(WEEKDAY(DATE(設定!$C$2,設定!$D$2,1),2)-1)*3+3)=0,"休",COUNTIF(G$6:G$45,"曜"))))</f>
        <v/>
      </c>
      <c r="H50" s="69">
        <f>IF(H$4="","",IF(COUNTIF(設定!$W$6:$W$40,DATE(設定!$C$2,設定!$D$2,2))&gt;0,"假",IF(INDEX(設定!$U$50:$AL$50,(WEEKDAY(DATE(設定!$C$2,設定!$D$2,2),2)-1)*3+1)=0,"休",COUNTIF(H$6:H$45,"曜"))))</f>
        <v/>
      </c>
      <c r="I50" s="70">
        <f>IF(I$4="","",IF(COUNTIF(設定!$W$6:$W$40,DATE(設定!$C$2,設定!$D$2,2))&gt;0,"假",IF(INDEX(設定!$U$50:$AL$50,(WEEKDAY(DATE(設定!$C$2,設定!$D$2,2),2)-1)*3+2)=0,"休",COUNTIF(I$6:I$45,"曜"))))</f>
        <v/>
      </c>
      <c r="J50" s="70">
        <f>IF(J$4="","",IF(COUNTIF(設定!$W$6:$W$40,DATE(設定!$C$2,設定!$D$2,2))&gt;0,"假",IF(INDEX(設定!$U$50:$AL$50,(WEEKDAY(DATE(設定!$C$2,設定!$D$2,2),2)-1)*3+3)=0,"休",COUNTIF(J$6:J$45,"曜"))))</f>
        <v/>
      </c>
      <c r="K50" s="69">
        <f>IF(K$4="","",IF(COUNTIF(設定!$W$6:$W$40,DATE(設定!$C$2,設定!$D$2,3))&gt;0,"假",IF(INDEX(設定!$U$50:$AL$50,(WEEKDAY(DATE(設定!$C$2,設定!$D$2,3),2)-1)*3+1)=0,"休",COUNTIF(K$6:K$45,"曜"))))</f>
        <v/>
      </c>
      <c r="L50" s="70">
        <f>IF(L$4="","",IF(COUNTIF(設定!$W$6:$W$40,DATE(設定!$C$2,設定!$D$2,3))&gt;0,"假",IF(INDEX(設定!$U$50:$AL$50,(WEEKDAY(DATE(設定!$C$2,設定!$D$2,3),2)-1)*3+2)=0,"休",COUNTIF(L$6:L$45,"曜"))))</f>
        <v/>
      </c>
      <c r="M50" s="70">
        <f>IF(M$4="","",IF(COUNTIF(設定!$W$6:$W$40,DATE(設定!$C$2,設定!$D$2,3))&gt;0,"假",IF(INDEX(設定!$U$50:$AL$50,(WEEKDAY(DATE(設定!$C$2,設定!$D$2,3),2)-1)*3+3)=0,"休",COUNTIF(M$6:M$45,"曜"))))</f>
        <v/>
      </c>
      <c r="N50" s="69">
        <f>IF(N$4="","",IF(COUNTIF(設定!$W$6:$W$40,DATE(設定!$C$2,設定!$D$2,4))&gt;0,"假",IF(INDEX(設定!$U$50:$AL$50,(WEEKDAY(DATE(設定!$C$2,設定!$D$2,4),2)-1)*3+1)=0,"休",COUNTIF(N$6:N$45,"曜"))))</f>
        <v/>
      </c>
      <c r="O50" s="70">
        <f>IF(O$4="","",IF(COUNTIF(設定!$W$6:$W$40,DATE(設定!$C$2,設定!$D$2,4))&gt;0,"假",IF(INDEX(設定!$U$50:$AL$50,(WEEKDAY(DATE(設定!$C$2,設定!$D$2,4),2)-1)*3+2)=0,"休",COUNTIF(O$6:O$45,"曜"))))</f>
        <v/>
      </c>
      <c r="P50" s="70">
        <f>IF(P$4="","",IF(COUNTIF(設定!$W$6:$W$40,DATE(設定!$C$2,設定!$D$2,4))&gt;0,"假",IF(INDEX(設定!$U$50:$AL$50,(WEEKDAY(DATE(設定!$C$2,設定!$D$2,4),2)-1)*3+3)=0,"休",COUNTIF(P$6:P$45,"曜"))))</f>
        <v/>
      </c>
      <c r="Q50" s="69">
        <f>IF(Q$4="","",IF(COUNTIF(設定!$W$6:$W$40,DATE(設定!$C$2,設定!$D$2,5))&gt;0,"假",IF(INDEX(設定!$U$50:$AL$50,(WEEKDAY(DATE(設定!$C$2,設定!$D$2,5),2)-1)*3+1)=0,"休",COUNTIF(Q$6:Q$45,"曜"))))</f>
        <v/>
      </c>
      <c r="R50" s="70">
        <f>IF(R$4="","",IF(COUNTIF(設定!$W$6:$W$40,DATE(設定!$C$2,設定!$D$2,5))&gt;0,"假",IF(INDEX(設定!$U$50:$AL$50,(WEEKDAY(DATE(設定!$C$2,設定!$D$2,5),2)-1)*3+2)=0,"休",COUNTIF(R$6:R$45,"曜"))))</f>
        <v/>
      </c>
      <c r="S50" s="70">
        <f>IF(S$4="","",IF(COUNTIF(設定!$W$6:$W$40,DATE(設定!$C$2,設定!$D$2,5))&gt;0,"假",IF(INDEX(設定!$U$50:$AL$50,(WEEKDAY(DATE(設定!$C$2,設定!$D$2,5),2)-1)*3+3)=0,"休",COUNTIF(S$6:S$45,"曜"))))</f>
        <v/>
      </c>
      <c r="T50" s="69">
        <f>IF(T$4="","",IF(COUNTIF(設定!$W$6:$W$40,DATE(設定!$C$2,設定!$D$2,6))&gt;0,"假",IF(INDEX(設定!$U$50:$AL$50,(WEEKDAY(DATE(設定!$C$2,設定!$D$2,6),2)-1)*3+1)=0,"休",COUNTIF(T$6:T$45,"曜"))))</f>
        <v/>
      </c>
      <c r="U50" s="70">
        <f>IF(U$4="","",IF(COUNTIF(設定!$W$6:$W$40,DATE(設定!$C$2,設定!$D$2,6))&gt;0,"假",IF(INDEX(設定!$U$50:$AL$50,(WEEKDAY(DATE(設定!$C$2,設定!$D$2,6),2)-1)*3+2)=0,"休",COUNTIF(U$6:U$45,"曜"))))</f>
        <v/>
      </c>
      <c r="V50" s="70">
        <f>IF(V$4="","",IF(COUNTIF(設定!$W$6:$W$40,DATE(設定!$C$2,設定!$D$2,6))&gt;0,"假",IF(INDEX(設定!$U$50:$AL$50,(WEEKDAY(DATE(設定!$C$2,設定!$D$2,6),2)-1)*3+3)=0,"休",COUNTIF(V$6:V$45,"曜"))))</f>
        <v/>
      </c>
      <c r="W50" s="69">
        <f>IF(W$4="","",IF(COUNTIF(設定!$W$6:$W$40,DATE(設定!$C$2,設定!$D$2,7))&gt;0,"假",IF(INDEX(設定!$U$50:$AL$50,(WEEKDAY(DATE(設定!$C$2,設定!$D$2,7),2)-1)*3+1)=0,"休",COUNTIF(W$6:W$45,"曜"))))</f>
        <v/>
      </c>
      <c r="X50" s="70">
        <f>IF(X$4="","",IF(COUNTIF(設定!$W$6:$W$40,DATE(設定!$C$2,設定!$D$2,7))&gt;0,"假",IF(INDEX(設定!$U$50:$AL$50,(WEEKDAY(DATE(設定!$C$2,設定!$D$2,7),2)-1)*3+2)=0,"休",COUNTIF(X$6:X$45,"曜"))))</f>
        <v/>
      </c>
      <c r="Y50" s="70">
        <f>IF(Y$4="","",IF(COUNTIF(設定!$W$6:$W$40,DATE(設定!$C$2,設定!$D$2,7))&gt;0,"假",IF(INDEX(設定!$U$50:$AL$50,(WEEKDAY(DATE(設定!$C$2,設定!$D$2,7),2)-1)*3+3)=0,"休",COUNTIF(Y$6:Y$45,"曜"))))</f>
        <v/>
      </c>
      <c r="Z50" s="69">
        <f>IF(Z$4="","",IF(COUNTIF(設定!$W$6:$W$40,DATE(設定!$C$2,設定!$D$2,8))&gt;0,"假",IF(INDEX(設定!$U$50:$AL$50,(WEEKDAY(DATE(設定!$C$2,設定!$D$2,8),2)-1)*3+1)=0,"休",COUNTIF(Z$6:Z$45,"曜"))))</f>
        <v/>
      </c>
      <c r="AA50" s="70">
        <f>IF(AA$4="","",IF(COUNTIF(設定!$W$6:$W$40,DATE(設定!$C$2,設定!$D$2,8))&gt;0,"假",IF(INDEX(設定!$U$50:$AL$50,(WEEKDAY(DATE(設定!$C$2,設定!$D$2,8),2)-1)*3+2)=0,"休",COUNTIF(AA$6:AA$45,"曜"))))</f>
        <v/>
      </c>
      <c r="AB50" s="70">
        <f>IF(AB$4="","",IF(COUNTIF(設定!$W$6:$W$40,DATE(設定!$C$2,設定!$D$2,8))&gt;0,"假",IF(INDEX(設定!$U$50:$AL$50,(WEEKDAY(DATE(設定!$C$2,設定!$D$2,8),2)-1)*3+3)=0,"休",COUNTIF(AB$6:AB$45,"曜"))))</f>
        <v/>
      </c>
      <c r="AC50" s="69">
        <f>IF(AC$4="","",IF(COUNTIF(設定!$W$6:$W$40,DATE(設定!$C$2,設定!$D$2,9))&gt;0,"假",IF(INDEX(設定!$U$50:$AL$50,(WEEKDAY(DATE(設定!$C$2,設定!$D$2,9),2)-1)*3+1)=0,"休",COUNTIF(AC$6:AC$45,"曜"))))</f>
        <v/>
      </c>
      <c r="AD50" s="70">
        <f>IF(AD$4="","",IF(COUNTIF(設定!$W$6:$W$40,DATE(設定!$C$2,設定!$D$2,9))&gt;0,"假",IF(INDEX(設定!$U$50:$AL$50,(WEEKDAY(DATE(設定!$C$2,設定!$D$2,9),2)-1)*3+2)=0,"休",COUNTIF(AD$6:AD$45,"曜"))))</f>
        <v/>
      </c>
      <c r="AE50" s="70">
        <f>IF(AE$4="","",IF(COUNTIF(設定!$W$6:$W$40,DATE(設定!$C$2,設定!$D$2,9))&gt;0,"假",IF(INDEX(設定!$U$50:$AL$50,(WEEKDAY(DATE(設定!$C$2,設定!$D$2,9),2)-1)*3+3)=0,"休",COUNTIF(AE$6:AE$45,"曜"))))</f>
        <v/>
      </c>
      <c r="AF50" s="69">
        <f>IF(AF$4="","",IF(COUNTIF(設定!$W$6:$W$40,DATE(設定!$C$2,設定!$D$2,10))&gt;0,"假",IF(INDEX(設定!$U$50:$AL$50,(WEEKDAY(DATE(設定!$C$2,設定!$D$2,10),2)-1)*3+1)=0,"休",COUNTIF(AF$6:AF$45,"曜"))))</f>
        <v/>
      </c>
      <c r="AG50" s="70">
        <f>IF(AG$4="","",IF(COUNTIF(設定!$W$6:$W$40,DATE(設定!$C$2,設定!$D$2,10))&gt;0,"假",IF(INDEX(設定!$U$50:$AL$50,(WEEKDAY(DATE(設定!$C$2,設定!$D$2,10),2)-1)*3+2)=0,"休",COUNTIF(AG$6:AG$45,"曜"))))</f>
        <v/>
      </c>
      <c r="AH50" s="70">
        <f>IF(AH$4="","",IF(COUNTIF(設定!$W$6:$W$40,DATE(設定!$C$2,設定!$D$2,10))&gt;0,"假",IF(INDEX(設定!$U$50:$AL$50,(WEEKDAY(DATE(設定!$C$2,設定!$D$2,10),2)-1)*3+3)=0,"休",COUNTIF(AH$6:AH$45,"曜"))))</f>
        <v/>
      </c>
      <c r="AI50" s="69">
        <f>IF(AI$4="","",IF(COUNTIF(設定!$W$6:$W$40,DATE(設定!$C$2,設定!$D$2,11))&gt;0,"假",IF(INDEX(設定!$U$50:$AL$50,(WEEKDAY(DATE(設定!$C$2,設定!$D$2,11),2)-1)*3+1)=0,"休",COUNTIF(AI$6:AI$45,"曜"))))</f>
        <v/>
      </c>
      <c r="AJ50" s="70">
        <f>IF(AJ$4="","",IF(COUNTIF(設定!$W$6:$W$40,DATE(設定!$C$2,設定!$D$2,11))&gt;0,"假",IF(INDEX(設定!$U$50:$AL$50,(WEEKDAY(DATE(設定!$C$2,設定!$D$2,11),2)-1)*3+2)=0,"休",COUNTIF(AJ$6:AJ$45,"曜"))))</f>
        <v/>
      </c>
      <c r="AK50" s="70">
        <f>IF(AK$4="","",IF(COUNTIF(設定!$W$6:$W$40,DATE(設定!$C$2,設定!$D$2,11))&gt;0,"假",IF(INDEX(設定!$U$50:$AL$50,(WEEKDAY(DATE(設定!$C$2,設定!$D$2,11),2)-1)*3+3)=0,"休",COUNTIF(AK$6:AK$45,"曜"))))</f>
        <v/>
      </c>
      <c r="AL50" s="69">
        <f>IF(AL$4="","",IF(COUNTIF(設定!$W$6:$W$40,DATE(設定!$C$2,設定!$D$2,12))&gt;0,"假",IF(INDEX(設定!$U$50:$AL$50,(WEEKDAY(DATE(設定!$C$2,設定!$D$2,12),2)-1)*3+1)=0,"休",COUNTIF(AL$6:AL$45,"曜"))))</f>
        <v/>
      </c>
      <c r="AM50" s="70">
        <f>IF(AM$4="","",IF(COUNTIF(設定!$W$6:$W$40,DATE(設定!$C$2,設定!$D$2,12))&gt;0,"假",IF(INDEX(設定!$U$50:$AL$50,(WEEKDAY(DATE(設定!$C$2,設定!$D$2,12),2)-1)*3+2)=0,"休",COUNTIF(AM$6:AM$45,"曜"))))</f>
        <v/>
      </c>
      <c r="AN50" s="70">
        <f>IF(AN$4="","",IF(COUNTIF(設定!$W$6:$W$40,DATE(設定!$C$2,設定!$D$2,12))&gt;0,"假",IF(INDEX(設定!$U$50:$AL$50,(WEEKDAY(DATE(設定!$C$2,設定!$D$2,12),2)-1)*3+3)=0,"休",COUNTIF(AN$6:AN$45,"曜"))))</f>
        <v/>
      </c>
      <c r="AO50" s="69">
        <f>IF(AO$4="","",IF(COUNTIF(設定!$W$6:$W$40,DATE(設定!$C$2,設定!$D$2,13))&gt;0,"假",IF(INDEX(設定!$U$50:$AL$50,(WEEKDAY(DATE(設定!$C$2,設定!$D$2,13),2)-1)*3+1)=0,"休",COUNTIF(AO$6:AO$45,"曜"))))</f>
        <v/>
      </c>
      <c r="AP50" s="70">
        <f>IF(AP$4="","",IF(COUNTIF(設定!$W$6:$W$40,DATE(設定!$C$2,設定!$D$2,13))&gt;0,"假",IF(INDEX(設定!$U$50:$AL$50,(WEEKDAY(DATE(設定!$C$2,設定!$D$2,13),2)-1)*3+2)=0,"休",COUNTIF(AP$6:AP$45,"曜"))))</f>
        <v/>
      </c>
      <c r="AQ50" s="70">
        <f>IF(AQ$4="","",IF(COUNTIF(設定!$W$6:$W$40,DATE(設定!$C$2,設定!$D$2,13))&gt;0,"假",IF(INDEX(設定!$U$50:$AL$50,(WEEKDAY(DATE(設定!$C$2,設定!$D$2,13),2)-1)*3+3)=0,"休",COUNTIF(AQ$6:AQ$45,"曜"))))</f>
        <v/>
      </c>
      <c r="AR50" s="69">
        <f>IF(AR$4="","",IF(COUNTIF(設定!$W$6:$W$40,DATE(設定!$C$2,設定!$D$2,14))&gt;0,"假",IF(INDEX(設定!$U$50:$AL$50,(WEEKDAY(DATE(設定!$C$2,設定!$D$2,14),2)-1)*3+1)=0,"休",COUNTIF(AR$6:AR$45,"曜"))))</f>
        <v/>
      </c>
      <c r="AS50" s="70">
        <f>IF(AS$4="","",IF(COUNTIF(設定!$W$6:$W$40,DATE(設定!$C$2,設定!$D$2,14))&gt;0,"假",IF(INDEX(設定!$U$50:$AL$50,(WEEKDAY(DATE(設定!$C$2,設定!$D$2,14),2)-1)*3+2)=0,"休",COUNTIF(AS$6:AS$45,"曜"))))</f>
        <v/>
      </c>
      <c r="AT50" s="70">
        <f>IF(AT$4="","",IF(COUNTIF(設定!$W$6:$W$40,DATE(設定!$C$2,設定!$D$2,14))&gt;0,"假",IF(INDEX(設定!$U$50:$AL$50,(WEEKDAY(DATE(設定!$C$2,設定!$D$2,14),2)-1)*3+3)=0,"休",COUNTIF(AT$6:AT$45,"曜"))))</f>
        <v/>
      </c>
      <c r="AU50" s="69">
        <f>IF(AU$4="","",IF(COUNTIF(設定!$W$6:$W$40,DATE(設定!$C$2,設定!$D$2,15))&gt;0,"假",IF(INDEX(設定!$U$50:$AL$50,(WEEKDAY(DATE(設定!$C$2,設定!$D$2,15),2)-1)*3+1)=0,"休",COUNTIF(AU$6:AU$45,"曜"))))</f>
        <v/>
      </c>
      <c r="AV50" s="70">
        <f>IF(AV$4="","",IF(COUNTIF(設定!$W$6:$W$40,DATE(設定!$C$2,設定!$D$2,15))&gt;0,"假",IF(INDEX(設定!$U$50:$AL$50,(WEEKDAY(DATE(設定!$C$2,設定!$D$2,15),2)-1)*3+2)=0,"休",COUNTIF(AV$6:AV$45,"曜"))))</f>
        <v/>
      </c>
      <c r="AW50" s="70">
        <f>IF(AW$4="","",IF(COUNTIF(設定!$W$6:$W$40,DATE(設定!$C$2,設定!$D$2,15))&gt;0,"假",IF(INDEX(設定!$U$50:$AL$50,(WEEKDAY(DATE(設定!$C$2,設定!$D$2,15),2)-1)*3+3)=0,"休",COUNTIF(AW$6:AW$45,"曜"))))</f>
        <v/>
      </c>
      <c r="AX50" s="69">
        <f>IF(AX$4="","",IF(COUNTIF(設定!$W$6:$W$40,DATE(設定!$C$2,設定!$D$2,16))&gt;0,"假",IF(INDEX(設定!$U$50:$AL$50,(WEEKDAY(DATE(設定!$C$2,設定!$D$2,16),2)-1)*3+1)=0,"休",COUNTIF(AX$6:AX$45,"曜"))))</f>
        <v/>
      </c>
      <c r="AY50" s="70">
        <f>IF(AY$4="","",IF(COUNTIF(設定!$W$6:$W$40,DATE(設定!$C$2,設定!$D$2,16))&gt;0,"假",IF(INDEX(設定!$U$50:$AL$50,(WEEKDAY(DATE(設定!$C$2,設定!$D$2,16),2)-1)*3+2)=0,"休",COUNTIF(AY$6:AY$45,"曜"))))</f>
        <v/>
      </c>
      <c r="AZ50" s="70">
        <f>IF(AZ$4="","",IF(COUNTIF(設定!$W$6:$W$40,DATE(設定!$C$2,設定!$D$2,16))&gt;0,"假",IF(INDEX(設定!$U$50:$AL$50,(WEEKDAY(DATE(設定!$C$2,設定!$D$2,16),2)-1)*3+3)=0,"休",COUNTIF(AZ$6:AZ$45,"曜"))))</f>
        <v/>
      </c>
      <c r="BA50" s="69">
        <f>IF(BA$4="","",IF(COUNTIF(設定!$W$6:$W$40,DATE(設定!$C$2,設定!$D$2,17))&gt;0,"假",IF(INDEX(設定!$U$50:$AL$50,(WEEKDAY(DATE(設定!$C$2,設定!$D$2,17),2)-1)*3+1)=0,"休",COUNTIF(BA$6:BA$45,"曜"))))</f>
        <v/>
      </c>
      <c r="BB50" s="70">
        <f>IF(BB$4="","",IF(COUNTIF(設定!$W$6:$W$40,DATE(設定!$C$2,設定!$D$2,17))&gt;0,"假",IF(INDEX(設定!$U$50:$AL$50,(WEEKDAY(DATE(設定!$C$2,設定!$D$2,17),2)-1)*3+2)=0,"休",COUNTIF(BB$6:BB$45,"曜"))))</f>
        <v/>
      </c>
      <c r="BC50" s="70">
        <f>IF(BC$4="","",IF(COUNTIF(設定!$W$6:$W$40,DATE(設定!$C$2,設定!$D$2,17))&gt;0,"假",IF(INDEX(設定!$U$50:$AL$50,(WEEKDAY(DATE(設定!$C$2,設定!$D$2,17),2)-1)*3+3)=0,"休",COUNTIF(BC$6:BC$45,"曜"))))</f>
        <v/>
      </c>
      <c r="BD50" s="69">
        <f>IF(BD$4="","",IF(COUNTIF(設定!$W$6:$W$40,DATE(設定!$C$2,設定!$D$2,18))&gt;0,"假",IF(INDEX(設定!$U$50:$AL$50,(WEEKDAY(DATE(設定!$C$2,設定!$D$2,18),2)-1)*3+1)=0,"休",COUNTIF(BD$6:BD$45,"曜"))))</f>
        <v/>
      </c>
      <c r="BE50" s="70">
        <f>IF(BE$4="","",IF(COUNTIF(設定!$W$6:$W$40,DATE(設定!$C$2,設定!$D$2,18))&gt;0,"假",IF(INDEX(設定!$U$50:$AL$50,(WEEKDAY(DATE(設定!$C$2,設定!$D$2,18),2)-1)*3+2)=0,"休",COUNTIF(BE$6:BE$45,"曜"))))</f>
        <v/>
      </c>
      <c r="BF50" s="70">
        <f>IF(BF$4="","",IF(COUNTIF(設定!$W$6:$W$40,DATE(設定!$C$2,設定!$D$2,18))&gt;0,"假",IF(INDEX(設定!$U$50:$AL$50,(WEEKDAY(DATE(設定!$C$2,設定!$D$2,18),2)-1)*3+3)=0,"休",COUNTIF(BF$6:BF$45,"曜"))))</f>
        <v/>
      </c>
      <c r="BG50" s="69">
        <f>IF(BG$4="","",IF(COUNTIF(設定!$W$6:$W$40,DATE(設定!$C$2,設定!$D$2,19))&gt;0,"假",IF(INDEX(設定!$U$50:$AL$50,(WEEKDAY(DATE(設定!$C$2,設定!$D$2,19),2)-1)*3+1)=0,"休",COUNTIF(BG$6:BG$45,"曜"))))</f>
        <v/>
      </c>
      <c r="BH50" s="70">
        <f>IF(BH$4="","",IF(COUNTIF(設定!$W$6:$W$40,DATE(設定!$C$2,設定!$D$2,19))&gt;0,"假",IF(INDEX(設定!$U$50:$AL$50,(WEEKDAY(DATE(設定!$C$2,設定!$D$2,19),2)-1)*3+2)=0,"休",COUNTIF(BH$6:BH$45,"曜"))))</f>
        <v/>
      </c>
      <c r="BI50" s="70">
        <f>IF(BI$4="","",IF(COUNTIF(設定!$W$6:$W$40,DATE(設定!$C$2,設定!$D$2,19))&gt;0,"假",IF(INDEX(設定!$U$50:$AL$50,(WEEKDAY(DATE(設定!$C$2,設定!$D$2,19),2)-1)*3+3)=0,"休",COUNTIF(BI$6:BI$45,"曜"))))</f>
        <v/>
      </c>
      <c r="BJ50" s="69">
        <f>IF(BJ$4="","",IF(COUNTIF(設定!$W$6:$W$40,DATE(設定!$C$2,設定!$D$2,20))&gt;0,"假",IF(INDEX(設定!$U$50:$AL$50,(WEEKDAY(DATE(設定!$C$2,設定!$D$2,20),2)-1)*3+1)=0,"休",COUNTIF(BJ$6:BJ$45,"曜"))))</f>
        <v/>
      </c>
      <c r="BK50" s="70">
        <f>IF(BK$4="","",IF(COUNTIF(設定!$W$6:$W$40,DATE(設定!$C$2,設定!$D$2,20))&gt;0,"假",IF(INDEX(設定!$U$50:$AL$50,(WEEKDAY(DATE(設定!$C$2,設定!$D$2,20),2)-1)*3+2)=0,"休",COUNTIF(BK$6:BK$45,"曜"))))</f>
        <v/>
      </c>
      <c r="BL50" s="70">
        <f>IF(BL$4="","",IF(COUNTIF(設定!$W$6:$W$40,DATE(設定!$C$2,設定!$D$2,20))&gt;0,"假",IF(INDEX(設定!$U$50:$AL$50,(WEEKDAY(DATE(設定!$C$2,設定!$D$2,20),2)-1)*3+3)=0,"休",COUNTIF(BL$6:BL$45,"曜"))))</f>
        <v/>
      </c>
      <c r="BM50" s="69">
        <f>IF(BM$4="","",IF(COUNTIF(設定!$W$6:$W$40,DATE(設定!$C$2,設定!$D$2,21))&gt;0,"假",IF(INDEX(設定!$U$50:$AL$50,(WEEKDAY(DATE(設定!$C$2,設定!$D$2,21),2)-1)*3+1)=0,"休",COUNTIF(BM$6:BM$45,"曜"))))</f>
        <v/>
      </c>
      <c r="BN50" s="70">
        <f>IF(BN$4="","",IF(COUNTIF(設定!$W$6:$W$40,DATE(設定!$C$2,設定!$D$2,21))&gt;0,"假",IF(INDEX(設定!$U$50:$AL$50,(WEEKDAY(DATE(設定!$C$2,設定!$D$2,21),2)-1)*3+2)=0,"休",COUNTIF(BN$6:BN$45,"曜"))))</f>
        <v/>
      </c>
      <c r="BO50" s="70">
        <f>IF(BO$4="","",IF(COUNTIF(設定!$W$6:$W$40,DATE(設定!$C$2,設定!$D$2,21))&gt;0,"假",IF(INDEX(設定!$U$50:$AL$50,(WEEKDAY(DATE(設定!$C$2,設定!$D$2,21),2)-1)*3+3)=0,"休",COUNTIF(BO$6:BO$45,"曜"))))</f>
        <v/>
      </c>
      <c r="BP50" s="69">
        <f>IF(BP$4="","",IF(COUNTIF(設定!$W$6:$W$40,DATE(設定!$C$2,設定!$D$2,22))&gt;0,"假",IF(INDEX(設定!$U$50:$AL$50,(WEEKDAY(DATE(設定!$C$2,設定!$D$2,22),2)-1)*3+1)=0,"休",COUNTIF(BP$6:BP$45,"曜"))))</f>
        <v/>
      </c>
      <c r="BQ50" s="70">
        <f>IF(BQ$4="","",IF(COUNTIF(設定!$W$6:$W$40,DATE(設定!$C$2,設定!$D$2,22))&gt;0,"假",IF(INDEX(設定!$U$50:$AL$50,(WEEKDAY(DATE(設定!$C$2,設定!$D$2,22),2)-1)*3+2)=0,"休",COUNTIF(BQ$6:BQ$45,"曜"))))</f>
        <v/>
      </c>
      <c r="BR50" s="70">
        <f>IF(BR$4="","",IF(COUNTIF(設定!$W$6:$W$40,DATE(設定!$C$2,設定!$D$2,22))&gt;0,"假",IF(INDEX(設定!$U$50:$AL$50,(WEEKDAY(DATE(設定!$C$2,設定!$D$2,22),2)-1)*3+3)=0,"休",COUNTIF(BR$6:BR$45,"曜"))))</f>
        <v/>
      </c>
      <c r="BS50" s="69">
        <f>IF(BS$4="","",IF(COUNTIF(設定!$W$6:$W$40,DATE(設定!$C$2,設定!$D$2,23))&gt;0,"假",IF(INDEX(設定!$U$50:$AL$50,(WEEKDAY(DATE(設定!$C$2,設定!$D$2,23),2)-1)*3+1)=0,"休",COUNTIF(BS$6:BS$45,"曜"))))</f>
        <v/>
      </c>
      <c r="BT50" s="70">
        <f>IF(BT$4="","",IF(COUNTIF(設定!$W$6:$W$40,DATE(設定!$C$2,設定!$D$2,23))&gt;0,"假",IF(INDEX(設定!$U$50:$AL$50,(WEEKDAY(DATE(設定!$C$2,設定!$D$2,23),2)-1)*3+2)=0,"休",COUNTIF(BT$6:BT$45,"曜"))))</f>
        <v/>
      </c>
      <c r="BU50" s="70">
        <f>IF(BU$4="","",IF(COUNTIF(設定!$W$6:$W$40,DATE(設定!$C$2,設定!$D$2,23))&gt;0,"假",IF(INDEX(設定!$U$50:$AL$50,(WEEKDAY(DATE(設定!$C$2,設定!$D$2,23),2)-1)*3+3)=0,"休",COUNTIF(BU$6:BU$45,"曜"))))</f>
        <v/>
      </c>
      <c r="BV50" s="69">
        <f>IF(BV$4="","",IF(COUNTIF(設定!$W$6:$W$40,DATE(設定!$C$2,設定!$D$2,24))&gt;0,"假",IF(INDEX(設定!$U$50:$AL$50,(WEEKDAY(DATE(設定!$C$2,設定!$D$2,24),2)-1)*3+1)=0,"休",COUNTIF(BV$6:BV$45,"曜"))))</f>
        <v/>
      </c>
      <c r="BW50" s="70">
        <f>IF(BW$4="","",IF(COUNTIF(設定!$W$6:$W$40,DATE(設定!$C$2,設定!$D$2,24))&gt;0,"假",IF(INDEX(設定!$U$50:$AL$50,(WEEKDAY(DATE(設定!$C$2,設定!$D$2,24),2)-1)*3+2)=0,"休",COUNTIF(BW$6:BW$45,"曜"))))</f>
        <v/>
      </c>
      <c r="BX50" s="70">
        <f>IF(BX$4="","",IF(COUNTIF(設定!$W$6:$W$40,DATE(設定!$C$2,設定!$D$2,24))&gt;0,"假",IF(INDEX(設定!$U$50:$AL$50,(WEEKDAY(DATE(設定!$C$2,設定!$D$2,24),2)-1)*3+3)=0,"休",COUNTIF(BX$6:BX$45,"曜"))))</f>
        <v/>
      </c>
      <c r="BY50" s="69">
        <f>IF(BY$4="","",IF(COUNTIF(設定!$W$6:$W$40,DATE(設定!$C$2,設定!$D$2,25))&gt;0,"假",IF(INDEX(設定!$U$50:$AL$50,(WEEKDAY(DATE(設定!$C$2,設定!$D$2,25),2)-1)*3+1)=0,"休",COUNTIF(BY$6:BY$45,"曜"))))</f>
        <v/>
      </c>
      <c r="BZ50" s="70">
        <f>IF(BZ$4="","",IF(COUNTIF(設定!$W$6:$W$40,DATE(設定!$C$2,設定!$D$2,25))&gt;0,"假",IF(INDEX(設定!$U$50:$AL$50,(WEEKDAY(DATE(設定!$C$2,設定!$D$2,25),2)-1)*3+2)=0,"休",COUNTIF(BZ$6:BZ$45,"曜"))))</f>
        <v/>
      </c>
      <c r="CA50" s="70">
        <f>IF(CA$4="","",IF(COUNTIF(設定!$W$6:$W$40,DATE(設定!$C$2,設定!$D$2,25))&gt;0,"假",IF(INDEX(設定!$U$50:$AL$50,(WEEKDAY(DATE(設定!$C$2,設定!$D$2,25),2)-1)*3+3)=0,"休",COUNTIF(CA$6:CA$45,"曜"))))</f>
        <v/>
      </c>
      <c r="CB50" s="69">
        <f>IF(CB$4="","",IF(COUNTIF(設定!$W$6:$W$40,DATE(設定!$C$2,設定!$D$2,26))&gt;0,"假",IF(INDEX(設定!$U$50:$AL$50,(WEEKDAY(DATE(設定!$C$2,設定!$D$2,26),2)-1)*3+1)=0,"休",COUNTIF(CB$6:CB$45,"曜"))))</f>
        <v/>
      </c>
      <c r="CC50" s="70">
        <f>IF(CC$4="","",IF(COUNTIF(設定!$W$6:$W$40,DATE(設定!$C$2,設定!$D$2,26))&gt;0,"假",IF(INDEX(設定!$U$50:$AL$50,(WEEKDAY(DATE(設定!$C$2,設定!$D$2,26),2)-1)*3+2)=0,"休",COUNTIF(CC$6:CC$45,"曜"))))</f>
        <v/>
      </c>
      <c r="CD50" s="70">
        <f>IF(CD$4="","",IF(COUNTIF(設定!$W$6:$W$40,DATE(設定!$C$2,設定!$D$2,26))&gt;0,"假",IF(INDEX(設定!$U$50:$AL$50,(WEEKDAY(DATE(設定!$C$2,設定!$D$2,26),2)-1)*3+3)=0,"休",COUNTIF(CD$6:CD$45,"曜"))))</f>
        <v/>
      </c>
      <c r="CE50" s="69">
        <f>IF(CE$4="","",IF(COUNTIF(設定!$W$6:$W$40,DATE(設定!$C$2,設定!$D$2,27))&gt;0,"假",IF(INDEX(設定!$U$50:$AL$50,(WEEKDAY(DATE(設定!$C$2,設定!$D$2,27),2)-1)*3+1)=0,"休",COUNTIF(CE$6:CE$45,"曜"))))</f>
        <v/>
      </c>
      <c r="CF50" s="70">
        <f>IF(CF$4="","",IF(COUNTIF(設定!$W$6:$W$40,DATE(設定!$C$2,設定!$D$2,27))&gt;0,"假",IF(INDEX(設定!$U$50:$AL$50,(WEEKDAY(DATE(設定!$C$2,設定!$D$2,27),2)-1)*3+2)=0,"休",COUNTIF(CF$6:CF$45,"曜"))))</f>
        <v/>
      </c>
      <c r="CG50" s="70">
        <f>IF(CG$4="","",IF(COUNTIF(設定!$W$6:$W$40,DATE(設定!$C$2,設定!$D$2,27))&gt;0,"假",IF(INDEX(設定!$U$50:$AL$50,(WEEKDAY(DATE(設定!$C$2,設定!$D$2,27),2)-1)*3+3)=0,"休",COUNTIF(CG$6:CG$45,"曜"))))</f>
        <v/>
      </c>
      <c r="CH50" s="69">
        <f>IF(CH$4="","",IF(COUNTIF(設定!$W$6:$W$40,DATE(設定!$C$2,設定!$D$2,28))&gt;0,"假",IF(INDEX(設定!$U$50:$AL$50,(WEEKDAY(DATE(設定!$C$2,設定!$D$2,28),2)-1)*3+1)=0,"休",COUNTIF(CH$6:CH$45,"曜"))))</f>
        <v/>
      </c>
      <c r="CI50" s="70">
        <f>IF(CI$4="","",IF(COUNTIF(設定!$W$6:$W$40,DATE(設定!$C$2,設定!$D$2,28))&gt;0,"假",IF(INDEX(設定!$U$50:$AL$50,(WEEKDAY(DATE(設定!$C$2,設定!$D$2,28),2)-1)*3+2)=0,"休",COUNTIF(CI$6:CI$45,"曜"))))</f>
        <v/>
      </c>
      <c r="CJ50" s="70">
        <f>IF(CJ$4="","",IF(COUNTIF(設定!$W$6:$W$40,DATE(設定!$C$2,設定!$D$2,28))&gt;0,"假",IF(INDEX(設定!$U$50:$AL$50,(WEEKDAY(DATE(設定!$C$2,設定!$D$2,28),2)-1)*3+3)=0,"休",COUNTIF(CJ$6:CJ$45,"曜"))))</f>
        <v/>
      </c>
      <c r="CK50" s="69">
        <f>IF(CK$4="","",IF(COUNTIF(設定!$W$6:$W$40,DATE(設定!$C$2,設定!$D$2,29))&gt;0,"假",IF(INDEX(設定!$U$50:$AL$50,(WEEKDAY(DATE(設定!$C$2,設定!$D$2,29),2)-1)*3+1)=0,"休",COUNTIF(CK$6:CK$45,"曜"))))</f>
        <v/>
      </c>
      <c r="CL50" s="70">
        <f>IF(CL$4="","",IF(COUNTIF(設定!$W$6:$W$40,DATE(設定!$C$2,設定!$D$2,29))&gt;0,"假",IF(INDEX(設定!$U$50:$AL$50,(WEEKDAY(DATE(設定!$C$2,設定!$D$2,29),2)-1)*3+2)=0,"休",COUNTIF(CL$6:CL$45,"曜"))))</f>
        <v/>
      </c>
      <c r="CM50" s="70">
        <f>IF(CM$4="","",IF(COUNTIF(設定!$W$6:$W$40,DATE(設定!$C$2,設定!$D$2,29))&gt;0,"假",IF(INDEX(設定!$U$50:$AL$50,(WEEKDAY(DATE(設定!$C$2,設定!$D$2,29),2)-1)*3+3)=0,"休",COUNTIF(CM$6:CM$45,"曜"))))</f>
        <v/>
      </c>
      <c r="CN50" s="69">
        <f>IF(CN$4="","",IF(COUNTIF(設定!$W$6:$W$40,DATE(設定!$C$2,設定!$D$2,30))&gt;0,"假",IF(INDEX(設定!$U$50:$AL$50,(WEEKDAY(DATE(設定!$C$2,設定!$D$2,30),2)-1)*3+1)=0,"休",COUNTIF(CN$6:CN$45,"曜"))))</f>
        <v/>
      </c>
      <c r="CO50" s="70">
        <f>IF(CO$4="","",IF(COUNTIF(設定!$W$6:$W$40,DATE(設定!$C$2,設定!$D$2,30))&gt;0,"假",IF(INDEX(設定!$U$50:$AL$50,(WEEKDAY(DATE(設定!$C$2,設定!$D$2,30),2)-1)*3+2)=0,"休",COUNTIF(CO$6:CO$45,"曜"))))</f>
        <v/>
      </c>
      <c r="CP50" s="70">
        <f>IF(CP$4="","",IF(COUNTIF(設定!$W$6:$W$40,DATE(設定!$C$2,設定!$D$2,30))&gt;0,"假",IF(INDEX(設定!$U$50:$AL$50,(WEEKDAY(DATE(設定!$C$2,設定!$D$2,30),2)-1)*3+3)=0,"休",COUNTIF(CP$6:CP$45,"曜"))))</f>
        <v/>
      </c>
      <c r="CQ50" s="69">
        <f>IF(CQ$4="","",IF(COUNTIF(設定!$W$6:$W$40,DATE(設定!$C$2,設定!$D$2,31))&gt;0,"假",IF(INDEX(設定!$U$50:$AL$50,(WEEKDAY(DATE(設定!$C$2,設定!$D$2,31),2)-1)*3+1)=0,"休",COUNTIF(CQ$6:CQ$45,"曜"))))</f>
        <v/>
      </c>
      <c r="CR50" s="70">
        <f>IF(CR$4="","",IF(COUNTIF(設定!$W$6:$W$40,DATE(設定!$C$2,設定!$D$2,31))&gt;0,"假",IF(INDEX(設定!$U$50:$AL$50,(WEEKDAY(DATE(設定!$C$2,設定!$D$2,31),2)-1)*3+2)=0,"休",COUNTIF(CR$6:CR$45,"曜"))))</f>
        <v/>
      </c>
      <c r="CS50" s="70">
        <f>IF(CS$4="","",IF(COUNTIF(設定!$W$6:$W$40,DATE(設定!$C$2,設定!$D$2,31))&gt;0,"假",IF(INDEX(設定!$U$50:$AL$50,(WEEKDAY(DATE(設定!$C$2,設定!$D$2,31),2)-1)*3+3)=0,"休",COUNTIF(CS$6:CS$45,"曜"))))</f>
        <v/>
      </c>
    </row>
    <row r="51">
      <c r="A51" s="74" t="inlineStr">
        <is>
          <t>寶 寶貝牙</t>
        </is>
      </c>
      <c r="B51" s="8" t="n"/>
      <c r="C51" s="8" t="n"/>
      <c r="D51" s="9" t="n"/>
      <c r="E51" s="69">
        <f>IF(E$4="","",IF(COUNTIF(設定!$W$6:$W$40,DATE(設定!$C$2,設定!$D$2,1))&gt;0,"假",IF(INDEX(設定!$U$51:$AL$51,(WEEKDAY(DATE(設定!$C$2,設定!$D$2,1),2)-1)*3+1)=0,"休",COUNTIF(E$6:E$45,"寶"))))</f>
        <v/>
      </c>
      <c r="F51" s="70">
        <f>IF(F$4="","",IF(COUNTIF(設定!$W$6:$W$40,DATE(設定!$C$2,設定!$D$2,1))&gt;0,"假",IF(INDEX(設定!$U$51:$AL$51,(WEEKDAY(DATE(設定!$C$2,設定!$D$2,1),2)-1)*3+2)=0,"休",COUNTIF(F$6:F$45,"寶"))))</f>
        <v/>
      </c>
      <c r="G51" s="70">
        <f>IF(G$4="","",IF(COUNTIF(設定!$W$6:$W$40,DATE(設定!$C$2,設定!$D$2,1))&gt;0,"假",IF(INDEX(設定!$U$51:$AL$51,(WEEKDAY(DATE(設定!$C$2,設定!$D$2,1),2)-1)*3+3)=0,"休",COUNTIF(G$6:G$45,"寶"))))</f>
        <v/>
      </c>
      <c r="H51" s="69">
        <f>IF(H$4="","",IF(COUNTIF(設定!$W$6:$W$40,DATE(設定!$C$2,設定!$D$2,2))&gt;0,"假",IF(INDEX(設定!$U$51:$AL$51,(WEEKDAY(DATE(設定!$C$2,設定!$D$2,2),2)-1)*3+1)=0,"休",COUNTIF(H$6:H$45,"寶"))))</f>
        <v/>
      </c>
      <c r="I51" s="70">
        <f>IF(I$4="","",IF(COUNTIF(設定!$W$6:$W$40,DATE(設定!$C$2,設定!$D$2,2))&gt;0,"假",IF(INDEX(設定!$U$51:$AL$51,(WEEKDAY(DATE(設定!$C$2,設定!$D$2,2),2)-1)*3+2)=0,"休",COUNTIF(I$6:I$45,"寶"))))</f>
        <v/>
      </c>
      <c r="J51" s="70">
        <f>IF(J$4="","",IF(COUNTIF(設定!$W$6:$W$40,DATE(設定!$C$2,設定!$D$2,2))&gt;0,"假",IF(INDEX(設定!$U$51:$AL$51,(WEEKDAY(DATE(設定!$C$2,設定!$D$2,2),2)-1)*3+3)=0,"休",COUNTIF(J$6:J$45,"寶"))))</f>
        <v/>
      </c>
      <c r="K51" s="69">
        <f>IF(K$4="","",IF(COUNTIF(設定!$W$6:$W$40,DATE(設定!$C$2,設定!$D$2,3))&gt;0,"假",IF(INDEX(設定!$U$51:$AL$51,(WEEKDAY(DATE(設定!$C$2,設定!$D$2,3),2)-1)*3+1)=0,"休",COUNTIF(K$6:K$45,"寶"))))</f>
        <v/>
      </c>
      <c r="L51" s="70">
        <f>IF(L$4="","",IF(COUNTIF(設定!$W$6:$W$40,DATE(設定!$C$2,設定!$D$2,3))&gt;0,"假",IF(INDEX(設定!$U$51:$AL$51,(WEEKDAY(DATE(設定!$C$2,設定!$D$2,3),2)-1)*3+2)=0,"休",COUNTIF(L$6:L$45,"寶"))))</f>
        <v/>
      </c>
      <c r="M51" s="70">
        <f>IF(M$4="","",IF(COUNTIF(設定!$W$6:$W$40,DATE(設定!$C$2,設定!$D$2,3))&gt;0,"假",IF(INDEX(設定!$U$51:$AL$51,(WEEKDAY(DATE(設定!$C$2,設定!$D$2,3),2)-1)*3+3)=0,"休",COUNTIF(M$6:M$45,"寶"))))</f>
        <v/>
      </c>
      <c r="N51" s="69">
        <f>IF(N$4="","",IF(COUNTIF(設定!$W$6:$W$40,DATE(設定!$C$2,設定!$D$2,4))&gt;0,"假",IF(INDEX(設定!$U$51:$AL$51,(WEEKDAY(DATE(設定!$C$2,設定!$D$2,4),2)-1)*3+1)=0,"休",COUNTIF(N$6:N$45,"寶"))))</f>
        <v/>
      </c>
      <c r="O51" s="70">
        <f>IF(O$4="","",IF(COUNTIF(設定!$W$6:$W$40,DATE(設定!$C$2,設定!$D$2,4))&gt;0,"假",IF(INDEX(設定!$U$51:$AL$51,(WEEKDAY(DATE(設定!$C$2,設定!$D$2,4),2)-1)*3+2)=0,"休",COUNTIF(O$6:O$45,"寶"))))</f>
        <v/>
      </c>
      <c r="P51" s="70">
        <f>IF(P$4="","",IF(COUNTIF(設定!$W$6:$W$40,DATE(設定!$C$2,設定!$D$2,4))&gt;0,"假",IF(INDEX(設定!$U$51:$AL$51,(WEEKDAY(DATE(設定!$C$2,設定!$D$2,4),2)-1)*3+3)=0,"休",COUNTIF(P$6:P$45,"寶"))))</f>
        <v/>
      </c>
      <c r="Q51" s="69">
        <f>IF(Q$4="","",IF(COUNTIF(設定!$W$6:$W$40,DATE(設定!$C$2,設定!$D$2,5))&gt;0,"假",IF(INDEX(設定!$U$51:$AL$51,(WEEKDAY(DATE(設定!$C$2,設定!$D$2,5),2)-1)*3+1)=0,"休",COUNTIF(Q$6:Q$45,"寶"))))</f>
        <v/>
      </c>
      <c r="R51" s="70">
        <f>IF(R$4="","",IF(COUNTIF(設定!$W$6:$W$40,DATE(設定!$C$2,設定!$D$2,5))&gt;0,"假",IF(INDEX(設定!$U$51:$AL$51,(WEEKDAY(DATE(設定!$C$2,設定!$D$2,5),2)-1)*3+2)=0,"休",COUNTIF(R$6:R$45,"寶"))))</f>
        <v/>
      </c>
      <c r="S51" s="70">
        <f>IF(S$4="","",IF(COUNTIF(設定!$W$6:$W$40,DATE(設定!$C$2,設定!$D$2,5))&gt;0,"假",IF(INDEX(設定!$U$51:$AL$51,(WEEKDAY(DATE(設定!$C$2,設定!$D$2,5),2)-1)*3+3)=0,"休",COUNTIF(S$6:S$45,"寶"))))</f>
        <v/>
      </c>
      <c r="T51" s="69">
        <f>IF(T$4="","",IF(COUNTIF(設定!$W$6:$W$40,DATE(設定!$C$2,設定!$D$2,6))&gt;0,"假",IF(INDEX(設定!$U$51:$AL$51,(WEEKDAY(DATE(設定!$C$2,設定!$D$2,6),2)-1)*3+1)=0,"休",COUNTIF(T$6:T$45,"寶"))))</f>
        <v/>
      </c>
      <c r="U51" s="70">
        <f>IF(U$4="","",IF(COUNTIF(設定!$W$6:$W$40,DATE(設定!$C$2,設定!$D$2,6))&gt;0,"假",IF(INDEX(設定!$U$51:$AL$51,(WEEKDAY(DATE(設定!$C$2,設定!$D$2,6),2)-1)*3+2)=0,"休",COUNTIF(U$6:U$45,"寶"))))</f>
        <v/>
      </c>
      <c r="V51" s="70">
        <f>IF(V$4="","",IF(COUNTIF(設定!$W$6:$W$40,DATE(設定!$C$2,設定!$D$2,6))&gt;0,"假",IF(INDEX(設定!$U$51:$AL$51,(WEEKDAY(DATE(設定!$C$2,設定!$D$2,6),2)-1)*3+3)=0,"休",COUNTIF(V$6:V$45,"寶"))))</f>
        <v/>
      </c>
      <c r="W51" s="69">
        <f>IF(W$4="","",IF(COUNTIF(設定!$W$6:$W$40,DATE(設定!$C$2,設定!$D$2,7))&gt;0,"假",IF(INDEX(設定!$U$51:$AL$51,(WEEKDAY(DATE(設定!$C$2,設定!$D$2,7),2)-1)*3+1)=0,"休",COUNTIF(W$6:W$45,"寶"))))</f>
        <v/>
      </c>
      <c r="X51" s="70">
        <f>IF(X$4="","",IF(COUNTIF(設定!$W$6:$W$40,DATE(設定!$C$2,設定!$D$2,7))&gt;0,"假",IF(INDEX(設定!$U$51:$AL$51,(WEEKDAY(DATE(設定!$C$2,設定!$D$2,7),2)-1)*3+2)=0,"休",COUNTIF(X$6:X$45,"寶"))))</f>
        <v/>
      </c>
      <c r="Y51" s="70">
        <f>IF(Y$4="","",IF(COUNTIF(設定!$W$6:$W$40,DATE(設定!$C$2,設定!$D$2,7))&gt;0,"假",IF(INDEX(設定!$U$51:$AL$51,(WEEKDAY(DATE(設定!$C$2,設定!$D$2,7),2)-1)*3+3)=0,"休",COUNTIF(Y$6:Y$45,"寶"))))</f>
        <v/>
      </c>
      <c r="Z51" s="69">
        <f>IF(Z$4="","",IF(COUNTIF(設定!$W$6:$W$40,DATE(設定!$C$2,設定!$D$2,8))&gt;0,"假",IF(INDEX(設定!$U$51:$AL$51,(WEEKDAY(DATE(設定!$C$2,設定!$D$2,8),2)-1)*3+1)=0,"休",COUNTIF(Z$6:Z$45,"寶"))))</f>
        <v/>
      </c>
      <c r="AA51" s="70">
        <f>IF(AA$4="","",IF(COUNTIF(設定!$W$6:$W$40,DATE(設定!$C$2,設定!$D$2,8))&gt;0,"假",IF(INDEX(設定!$U$51:$AL$51,(WEEKDAY(DATE(設定!$C$2,設定!$D$2,8),2)-1)*3+2)=0,"休",COUNTIF(AA$6:AA$45,"寶"))))</f>
        <v/>
      </c>
      <c r="AB51" s="70">
        <f>IF(AB$4="","",IF(COUNTIF(設定!$W$6:$W$40,DATE(設定!$C$2,設定!$D$2,8))&gt;0,"假",IF(INDEX(設定!$U$51:$AL$51,(WEEKDAY(DATE(設定!$C$2,設定!$D$2,8),2)-1)*3+3)=0,"休",COUNTIF(AB$6:AB$45,"寶"))))</f>
        <v/>
      </c>
      <c r="AC51" s="69">
        <f>IF(AC$4="","",IF(COUNTIF(設定!$W$6:$W$40,DATE(設定!$C$2,設定!$D$2,9))&gt;0,"假",IF(INDEX(設定!$U$51:$AL$51,(WEEKDAY(DATE(設定!$C$2,設定!$D$2,9),2)-1)*3+1)=0,"休",COUNTIF(AC$6:AC$45,"寶"))))</f>
        <v/>
      </c>
      <c r="AD51" s="70">
        <f>IF(AD$4="","",IF(COUNTIF(設定!$W$6:$W$40,DATE(設定!$C$2,設定!$D$2,9))&gt;0,"假",IF(INDEX(設定!$U$51:$AL$51,(WEEKDAY(DATE(設定!$C$2,設定!$D$2,9),2)-1)*3+2)=0,"休",COUNTIF(AD$6:AD$45,"寶"))))</f>
        <v/>
      </c>
      <c r="AE51" s="70">
        <f>IF(AE$4="","",IF(COUNTIF(設定!$W$6:$W$40,DATE(設定!$C$2,設定!$D$2,9))&gt;0,"假",IF(INDEX(設定!$U$51:$AL$51,(WEEKDAY(DATE(設定!$C$2,設定!$D$2,9),2)-1)*3+3)=0,"休",COUNTIF(AE$6:AE$45,"寶"))))</f>
        <v/>
      </c>
      <c r="AF51" s="69">
        <f>IF(AF$4="","",IF(COUNTIF(設定!$W$6:$W$40,DATE(設定!$C$2,設定!$D$2,10))&gt;0,"假",IF(INDEX(設定!$U$51:$AL$51,(WEEKDAY(DATE(設定!$C$2,設定!$D$2,10),2)-1)*3+1)=0,"休",COUNTIF(AF$6:AF$45,"寶"))))</f>
        <v/>
      </c>
      <c r="AG51" s="70">
        <f>IF(AG$4="","",IF(COUNTIF(設定!$W$6:$W$40,DATE(設定!$C$2,設定!$D$2,10))&gt;0,"假",IF(INDEX(設定!$U$51:$AL$51,(WEEKDAY(DATE(設定!$C$2,設定!$D$2,10),2)-1)*3+2)=0,"休",COUNTIF(AG$6:AG$45,"寶"))))</f>
        <v/>
      </c>
      <c r="AH51" s="70">
        <f>IF(AH$4="","",IF(COUNTIF(設定!$W$6:$W$40,DATE(設定!$C$2,設定!$D$2,10))&gt;0,"假",IF(INDEX(設定!$U$51:$AL$51,(WEEKDAY(DATE(設定!$C$2,設定!$D$2,10),2)-1)*3+3)=0,"休",COUNTIF(AH$6:AH$45,"寶"))))</f>
        <v/>
      </c>
      <c r="AI51" s="69">
        <f>IF(AI$4="","",IF(COUNTIF(設定!$W$6:$W$40,DATE(設定!$C$2,設定!$D$2,11))&gt;0,"假",IF(INDEX(設定!$U$51:$AL$51,(WEEKDAY(DATE(設定!$C$2,設定!$D$2,11),2)-1)*3+1)=0,"休",COUNTIF(AI$6:AI$45,"寶"))))</f>
        <v/>
      </c>
      <c r="AJ51" s="70">
        <f>IF(AJ$4="","",IF(COUNTIF(設定!$W$6:$W$40,DATE(設定!$C$2,設定!$D$2,11))&gt;0,"假",IF(INDEX(設定!$U$51:$AL$51,(WEEKDAY(DATE(設定!$C$2,設定!$D$2,11),2)-1)*3+2)=0,"休",COUNTIF(AJ$6:AJ$45,"寶"))))</f>
        <v/>
      </c>
      <c r="AK51" s="70">
        <f>IF(AK$4="","",IF(COUNTIF(設定!$W$6:$W$40,DATE(設定!$C$2,設定!$D$2,11))&gt;0,"假",IF(INDEX(設定!$U$51:$AL$51,(WEEKDAY(DATE(設定!$C$2,設定!$D$2,11),2)-1)*3+3)=0,"休",COUNTIF(AK$6:AK$45,"寶"))))</f>
        <v/>
      </c>
      <c r="AL51" s="69">
        <f>IF(AL$4="","",IF(COUNTIF(設定!$W$6:$W$40,DATE(設定!$C$2,設定!$D$2,12))&gt;0,"假",IF(INDEX(設定!$U$51:$AL$51,(WEEKDAY(DATE(設定!$C$2,設定!$D$2,12),2)-1)*3+1)=0,"休",COUNTIF(AL$6:AL$45,"寶"))))</f>
        <v/>
      </c>
      <c r="AM51" s="70">
        <f>IF(AM$4="","",IF(COUNTIF(設定!$W$6:$W$40,DATE(設定!$C$2,設定!$D$2,12))&gt;0,"假",IF(INDEX(設定!$U$51:$AL$51,(WEEKDAY(DATE(設定!$C$2,設定!$D$2,12),2)-1)*3+2)=0,"休",COUNTIF(AM$6:AM$45,"寶"))))</f>
        <v/>
      </c>
      <c r="AN51" s="70">
        <f>IF(AN$4="","",IF(COUNTIF(設定!$W$6:$W$40,DATE(設定!$C$2,設定!$D$2,12))&gt;0,"假",IF(INDEX(設定!$U$51:$AL$51,(WEEKDAY(DATE(設定!$C$2,設定!$D$2,12),2)-1)*3+3)=0,"休",COUNTIF(AN$6:AN$45,"寶"))))</f>
        <v/>
      </c>
      <c r="AO51" s="69">
        <f>IF(AO$4="","",IF(COUNTIF(設定!$W$6:$W$40,DATE(設定!$C$2,設定!$D$2,13))&gt;0,"假",IF(INDEX(設定!$U$51:$AL$51,(WEEKDAY(DATE(設定!$C$2,設定!$D$2,13),2)-1)*3+1)=0,"休",COUNTIF(AO$6:AO$45,"寶"))))</f>
        <v/>
      </c>
      <c r="AP51" s="70">
        <f>IF(AP$4="","",IF(COUNTIF(設定!$W$6:$W$40,DATE(設定!$C$2,設定!$D$2,13))&gt;0,"假",IF(INDEX(設定!$U$51:$AL$51,(WEEKDAY(DATE(設定!$C$2,設定!$D$2,13),2)-1)*3+2)=0,"休",COUNTIF(AP$6:AP$45,"寶"))))</f>
        <v/>
      </c>
      <c r="AQ51" s="70">
        <f>IF(AQ$4="","",IF(COUNTIF(設定!$W$6:$W$40,DATE(設定!$C$2,設定!$D$2,13))&gt;0,"假",IF(INDEX(設定!$U$51:$AL$51,(WEEKDAY(DATE(設定!$C$2,設定!$D$2,13),2)-1)*3+3)=0,"休",COUNTIF(AQ$6:AQ$45,"寶"))))</f>
        <v/>
      </c>
      <c r="AR51" s="69">
        <f>IF(AR$4="","",IF(COUNTIF(設定!$W$6:$W$40,DATE(設定!$C$2,設定!$D$2,14))&gt;0,"假",IF(INDEX(設定!$U$51:$AL$51,(WEEKDAY(DATE(設定!$C$2,設定!$D$2,14),2)-1)*3+1)=0,"休",COUNTIF(AR$6:AR$45,"寶"))))</f>
        <v/>
      </c>
      <c r="AS51" s="70">
        <f>IF(AS$4="","",IF(COUNTIF(設定!$W$6:$W$40,DATE(設定!$C$2,設定!$D$2,14))&gt;0,"假",IF(INDEX(設定!$U$51:$AL$51,(WEEKDAY(DATE(設定!$C$2,設定!$D$2,14),2)-1)*3+2)=0,"休",COUNTIF(AS$6:AS$45,"寶"))))</f>
        <v/>
      </c>
      <c r="AT51" s="70">
        <f>IF(AT$4="","",IF(COUNTIF(設定!$W$6:$W$40,DATE(設定!$C$2,設定!$D$2,14))&gt;0,"假",IF(INDEX(設定!$U$51:$AL$51,(WEEKDAY(DATE(設定!$C$2,設定!$D$2,14),2)-1)*3+3)=0,"休",COUNTIF(AT$6:AT$45,"寶"))))</f>
        <v/>
      </c>
      <c r="AU51" s="69">
        <f>IF(AU$4="","",IF(COUNTIF(設定!$W$6:$W$40,DATE(設定!$C$2,設定!$D$2,15))&gt;0,"假",IF(INDEX(設定!$U$51:$AL$51,(WEEKDAY(DATE(設定!$C$2,設定!$D$2,15),2)-1)*3+1)=0,"休",COUNTIF(AU$6:AU$45,"寶"))))</f>
        <v/>
      </c>
      <c r="AV51" s="70">
        <f>IF(AV$4="","",IF(COUNTIF(設定!$W$6:$W$40,DATE(設定!$C$2,設定!$D$2,15))&gt;0,"假",IF(INDEX(設定!$U$51:$AL$51,(WEEKDAY(DATE(設定!$C$2,設定!$D$2,15),2)-1)*3+2)=0,"休",COUNTIF(AV$6:AV$45,"寶"))))</f>
        <v/>
      </c>
      <c r="AW51" s="70">
        <f>IF(AW$4="","",IF(COUNTIF(設定!$W$6:$W$40,DATE(設定!$C$2,設定!$D$2,15))&gt;0,"假",IF(INDEX(設定!$U$51:$AL$51,(WEEKDAY(DATE(設定!$C$2,設定!$D$2,15),2)-1)*3+3)=0,"休",COUNTIF(AW$6:AW$45,"寶"))))</f>
        <v/>
      </c>
      <c r="AX51" s="69">
        <f>IF(AX$4="","",IF(COUNTIF(設定!$W$6:$W$40,DATE(設定!$C$2,設定!$D$2,16))&gt;0,"假",IF(INDEX(設定!$U$51:$AL$51,(WEEKDAY(DATE(設定!$C$2,設定!$D$2,16),2)-1)*3+1)=0,"休",COUNTIF(AX$6:AX$45,"寶"))))</f>
        <v/>
      </c>
      <c r="AY51" s="70">
        <f>IF(AY$4="","",IF(COUNTIF(設定!$W$6:$W$40,DATE(設定!$C$2,設定!$D$2,16))&gt;0,"假",IF(INDEX(設定!$U$51:$AL$51,(WEEKDAY(DATE(設定!$C$2,設定!$D$2,16),2)-1)*3+2)=0,"休",COUNTIF(AY$6:AY$45,"寶"))))</f>
        <v/>
      </c>
      <c r="AZ51" s="70">
        <f>IF(AZ$4="","",IF(COUNTIF(設定!$W$6:$W$40,DATE(設定!$C$2,設定!$D$2,16))&gt;0,"假",IF(INDEX(設定!$U$51:$AL$51,(WEEKDAY(DATE(設定!$C$2,設定!$D$2,16),2)-1)*3+3)=0,"休",COUNTIF(AZ$6:AZ$45,"寶"))))</f>
        <v/>
      </c>
      <c r="BA51" s="69">
        <f>IF(BA$4="","",IF(COUNTIF(設定!$W$6:$W$40,DATE(設定!$C$2,設定!$D$2,17))&gt;0,"假",IF(INDEX(設定!$U$51:$AL$51,(WEEKDAY(DATE(設定!$C$2,設定!$D$2,17),2)-1)*3+1)=0,"休",COUNTIF(BA$6:BA$45,"寶"))))</f>
        <v/>
      </c>
      <c r="BB51" s="70">
        <f>IF(BB$4="","",IF(COUNTIF(設定!$W$6:$W$40,DATE(設定!$C$2,設定!$D$2,17))&gt;0,"假",IF(INDEX(設定!$U$51:$AL$51,(WEEKDAY(DATE(設定!$C$2,設定!$D$2,17),2)-1)*3+2)=0,"休",COUNTIF(BB$6:BB$45,"寶"))))</f>
        <v/>
      </c>
      <c r="BC51" s="70">
        <f>IF(BC$4="","",IF(COUNTIF(設定!$W$6:$W$40,DATE(設定!$C$2,設定!$D$2,17))&gt;0,"假",IF(INDEX(設定!$U$51:$AL$51,(WEEKDAY(DATE(設定!$C$2,設定!$D$2,17),2)-1)*3+3)=0,"休",COUNTIF(BC$6:BC$45,"寶"))))</f>
        <v/>
      </c>
      <c r="BD51" s="69">
        <f>IF(BD$4="","",IF(COUNTIF(設定!$W$6:$W$40,DATE(設定!$C$2,設定!$D$2,18))&gt;0,"假",IF(INDEX(設定!$U$51:$AL$51,(WEEKDAY(DATE(設定!$C$2,設定!$D$2,18),2)-1)*3+1)=0,"休",COUNTIF(BD$6:BD$45,"寶"))))</f>
        <v/>
      </c>
      <c r="BE51" s="70">
        <f>IF(BE$4="","",IF(COUNTIF(設定!$W$6:$W$40,DATE(設定!$C$2,設定!$D$2,18))&gt;0,"假",IF(INDEX(設定!$U$51:$AL$51,(WEEKDAY(DATE(設定!$C$2,設定!$D$2,18),2)-1)*3+2)=0,"休",COUNTIF(BE$6:BE$45,"寶"))))</f>
        <v/>
      </c>
      <c r="BF51" s="70">
        <f>IF(BF$4="","",IF(COUNTIF(設定!$W$6:$W$40,DATE(設定!$C$2,設定!$D$2,18))&gt;0,"假",IF(INDEX(設定!$U$51:$AL$51,(WEEKDAY(DATE(設定!$C$2,設定!$D$2,18),2)-1)*3+3)=0,"休",COUNTIF(BF$6:BF$45,"寶"))))</f>
        <v/>
      </c>
      <c r="BG51" s="69">
        <f>IF(BG$4="","",IF(COUNTIF(設定!$W$6:$W$40,DATE(設定!$C$2,設定!$D$2,19))&gt;0,"假",IF(INDEX(設定!$U$51:$AL$51,(WEEKDAY(DATE(設定!$C$2,設定!$D$2,19),2)-1)*3+1)=0,"休",COUNTIF(BG$6:BG$45,"寶"))))</f>
        <v/>
      </c>
      <c r="BH51" s="70">
        <f>IF(BH$4="","",IF(COUNTIF(設定!$W$6:$W$40,DATE(設定!$C$2,設定!$D$2,19))&gt;0,"假",IF(INDEX(設定!$U$51:$AL$51,(WEEKDAY(DATE(設定!$C$2,設定!$D$2,19),2)-1)*3+2)=0,"休",COUNTIF(BH$6:BH$45,"寶"))))</f>
        <v/>
      </c>
      <c r="BI51" s="70">
        <f>IF(BI$4="","",IF(COUNTIF(設定!$W$6:$W$40,DATE(設定!$C$2,設定!$D$2,19))&gt;0,"假",IF(INDEX(設定!$U$51:$AL$51,(WEEKDAY(DATE(設定!$C$2,設定!$D$2,19),2)-1)*3+3)=0,"休",COUNTIF(BI$6:BI$45,"寶"))))</f>
        <v/>
      </c>
      <c r="BJ51" s="69">
        <f>IF(BJ$4="","",IF(COUNTIF(設定!$W$6:$W$40,DATE(設定!$C$2,設定!$D$2,20))&gt;0,"假",IF(INDEX(設定!$U$51:$AL$51,(WEEKDAY(DATE(設定!$C$2,設定!$D$2,20),2)-1)*3+1)=0,"休",COUNTIF(BJ$6:BJ$45,"寶"))))</f>
        <v/>
      </c>
      <c r="BK51" s="70">
        <f>IF(BK$4="","",IF(COUNTIF(設定!$W$6:$W$40,DATE(設定!$C$2,設定!$D$2,20))&gt;0,"假",IF(INDEX(設定!$U$51:$AL$51,(WEEKDAY(DATE(設定!$C$2,設定!$D$2,20),2)-1)*3+2)=0,"休",COUNTIF(BK$6:BK$45,"寶"))))</f>
        <v/>
      </c>
      <c r="BL51" s="70">
        <f>IF(BL$4="","",IF(COUNTIF(設定!$W$6:$W$40,DATE(設定!$C$2,設定!$D$2,20))&gt;0,"假",IF(INDEX(設定!$U$51:$AL$51,(WEEKDAY(DATE(設定!$C$2,設定!$D$2,20),2)-1)*3+3)=0,"休",COUNTIF(BL$6:BL$45,"寶"))))</f>
        <v/>
      </c>
      <c r="BM51" s="69">
        <f>IF(BM$4="","",IF(COUNTIF(設定!$W$6:$W$40,DATE(設定!$C$2,設定!$D$2,21))&gt;0,"假",IF(INDEX(設定!$U$51:$AL$51,(WEEKDAY(DATE(設定!$C$2,設定!$D$2,21),2)-1)*3+1)=0,"休",COUNTIF(BM$6:BM$45,"寶"))))</f>
        <v/>
      </c>
      <c r="BN51" s="70">
        <f>IF(BN$4="","",IF(COUNTIF(設定!$W$6:$W$40,DATE(設定!$C$2,設定!$D$2,21))&gt;0,"假",IF(INDEX(設定!$U$51:$AL$51,(WEEKDAY(DATE(設定!$C$2,設定!$D$2,21),2)-1)*3+2)=0,"休",COUNTIF(BN$6:BN$45,"寶"))))</f>
        <v/>
      </c>
      <c r="BO51" s="70">
        <f>IF(BO$4="","",IF(COUNTIF(設定!$W$6:$W$40,DATE(設定!$C$2,設定!$D$2,21))&gt;0,"假",IF(INDEX(設定!$U$51:$AL$51,(WEEKDAY(DATE(設定!$C$2,設定!$D$2,21),2)-1)*3+3)=0,"休",COUNTIF(BO$6:BO$45,"寶"))))</f>
        <v/>
      </c>
      <c r="BP51" s="69">
        <f>IF(BP$4="","",IF(COUNTIF(設定!$W$6:$W$40,DATE(設定!$C$2,設定!$D$2,22))&gt;0,"假",IF(INDEX(設定!$U$51:$AL$51,(WEEKDAY(DATE(設定!$C$2,設定!$D$2,22),2)-1)*3+1)=0,"休",COUNTIF(BP$6:BP$45,"寶"))))</f>
        <v/>
      </c>
      <c r="BQ51" s="70">
        <f>IF(BQ$4="","",IF(COUNTIF(設定!$W$6:$W$40,DATE(設定!$C$2,設定!$D$2,22))&gt;0,"假",IF(INDEX(設定!$U$51:$AL$51,(WEEKDAY(DATE(設定!$C$2,設定!$D$2,22),2)-1)*3+2)=0,"休",COUNTIF(BQ$6:BQ$45,"寶"))))</f>
        <v/>
      </c>
      <c r="BR51" s="70">
        <f>IF(BR$4="","",IF(COUNTIF(設定!$W$6:$W$40,DATE(設定!$C$2,設定!$D$2,22))&gt;0,"假",IF(INDEX(設定!$U$51:$AL$51,(WEEKDAY(DATE(設定!$C$2,設定!$D$2,22),2)-1)*3+3)=0,"休",COUNTIF(BR$6:BR$45,"寶"))))</f>
        <v/>
      </c>
      <c r="BS51" s="69">
        <f>IF(BS$4="","",IF(COUNTIF(設定!$W$6:$W$40,DATE(設定!$C$2,設定!$D$2,23))&gt;0,"假",IF(INDEX(設定!$U$51:$AL$51,(WEEKDAY(DATE(設定!$C$2,設定!$D$2,23),2)-1)*3+1)=0,"休",COUNTIF(BS$6:BS$45,"寶"))))</f>
        <v/>
      </c>
      <c r="BT51" s="70">
        <f>IF(BT$4="","",IF(COUNTIF(設定!$W$6:$W$40,DATE(設定!$C$2,設定!$D$2,23))&gt;0,"假",IF(INDEX(設定!$U$51:$AL$51,(WEEKDAY(DATE(設定!$C$2,設定!$D$2,23),2)-1)*3+2)=0,"休",COUNTIF(BT$6:BT$45,"寶"))))</f>
        <v/>
      </c>
      <c r="BU51" s="70">
        <f>IF(BU$4="","",IF(COUNTIF(設定!$W$6:$W$40,DATE(設定!$C$2,設定!$D$2,23))&gt;0,"假",IF(INDEX(設定!$U$51:$AL$51,(WEEKDAY(DATE(設定!$C$2,設定!$D$2,23),2)-1)*3+3)=0,"休",COUNTIF(BU$6:BU$45,"寶"))))</f>
        <v/>
      </c>
      <c r="BV51" s="69">
        <f>IF(BV$4="","",IF(COUNTIF(設定!$W$6:$W$40,DATE(設定!$C$2,設定!$D$2,24))&gt;0,"假",IF(INDEX(設定!$U$51:$AL$51,(WEEKDAY(DATE(設定!$C$2,設定!$D$2,24),2)-1)*3+1)=0,"休",COUNTIF(BV$6:BV$45,"寶"))))</f>
        <v/>
      </c>
      <c r="BW51" s="70">
        <f>IF(BW$4="","",IF(COUNTIF(設定!$W$6:$W$40,DATE(設定!$C$2,設定!$D$2,24))&gt;0,"假",IF(INDEX(設定!$U$51:$AL$51,(WEEKDAY(DATE(設定!$C$2,設定!$D$2,24),2)-1)*3+2)=0,"休",COUNTIF(BW$6:BW$45,"寶"))))</f>
        <v/>
      </c>
      <c r="BX51" s="70">
        <f>IF(BX$4="","",IF(COUNTIF(設定!$W$6:$W$40,DATE(設定!$C$2,設定!$D$2,24))&gt;0,"假",IF(INDEX(設定!$U$51:$AL$51,(WEEKDAY(DATE(設定!$C$2,設定!$D$2,24),2)-1)*3+3)=0,"休",COUNTIF(BX$6:BX$45,"寶"))))</f>
        <v/>
      </c>
      <c r="BY51" s="69">
        <f>IF(BY$4="","",IF(COUNTIF(設定!$W$6:$W$40,DATE(設定!$C$2,設定!$D$2,25))&gt;0,"假",IF(INDEX(設定!$U$51:$AL$51,(WEEKDAY(DATE(設定!$C$2,設定!$D$2,25),2)-1)*3+1)=0,"休",COUNTIF(BY$6:BY$45,"寶"))))</f>
        <v/>
      </c>
      <c r="BZ51" s="70">
        <f>IF(BZ$4="","",IF(COUNTIF(設定!$W$6:$W$40,DATE(設定!$C$2,設定!$D$2,25))&gt;0,"假",IF(INDEX(設定!$U$51:$AL$51,(WEEKDAY(DATE(設定!$C$2,設定!$D$2,25),2)-1)*3+2)=0,"休",COUNTIF(BZ$6:BZ$45,"寶"))))</f>
        <v/>
      </c>
      <c r="CA51" s="70">
        <f>IF(CA$4="","",IF(COUNTIF(設定!$W$6:$W$40,DATE(設定!$C$2,設定!$D$2,25))&gt;0,"假",IF(INDEX(設定!$U$51:$AL$51,(WEEKDAY(DATE(設定!$C$2,設定!$D$2,25),2)-1)*3+3)=0,"休",COUNTIF(CA$6:CA$45,"寶"))))</f>
        <v/>
      </c>
      <c r="CB51" s="69">
        <f>IF(CB$4="","",IF(COUNTIF(設定!$W$6:$W$40,DATE(設定!$C$2,設定!$D$2,26))&gt;0,"假",IF(INDEX(設定!$U$51:$AL$51,(WEEKDAY(DATE(設定!$C$2,設定!$D$2,26),2)-1)*3+1)=0,"休",COUNTIF(CB$6:CB$45,"寶"))))</f>
        <v/>
      </c>
      <c r="CC51" s="70">
        <f>IF(CC$4="","",IF(COUNTIF(設定!$W$6:$W$40,DATE(設定!$C$2,設定!$D$2,26))&gt;0,"假",IF(INDEX(設定!$U$51:$AL$51,(WEEKDAY(DATE(設定!$C$2,設定!$D$2,26),2)-1)*3+2)=0,"休",COUNTIF(CC$6:CC$45,"寶"))))</f>
        <v/>
      </c>
      <c r="CD51" s="70">
        <f>IF(CD$4="","",IF(COUNTIF(設定!$W$6:$W$40,DATE(設定!$C$2,設定!$D$2,26))&gt;0,"假",IF(INDEX(設定!$U$51:$AL$51,(WEEKDAY(DATE(設定!$C$2,設定!$D$2,26),2)-1)*3+3)=0,"休",COUNTIF(CD$6:CD$45,"寶"))))</f>
        <v/>
      </c>
      <c r="CE51" s="69">
        <f>IF(CE$4="","",IF(COUNTIF(設定!$W$6:$W$40,DATE(設定!$C$2,設定!$D$2,27))&gt;0,"假",IF(INDEX(設定!$U$51:$AL$51,(WEEKDAY(DATE(設定!$C$2,設定!$D$2,27),2)-1)*3+1)=0,"休",COUNTIF(CE$6:CE$45,"寶"))))</f>
        <v/>
      </c>
      <c r="CF51" s="70">
        <f>IF(CF$4="","",IF(COUNTIF(設定!$W$6:$W$40,DATE(設定!$C$2,設定!$D$2,27))&gt;0,"假",IF(INDEX(設定!$U$51:$AL$51,(WEEKDAY(DATE(設定!$C$2,設定!$D$2,27),2)-1)*3+2)=0,"休",COUNTIF(CF$6:CF$45,"寶"))))</f>
        <v/>
      </c>
      <c r="CG51" s="70">
        <f>IF(CG$4="","",IF(COUNTIF(設定!$W$6:$W$40,DATE(設定!$C$2,設定!$D$2,27))&gt;0,"假",IF(INDEX(設定!$U$51:$AL$51,(WEEKDAY(DATE(設定!$C$2,設定!$D$2,27),2)-1)*3+3)=0,"休",COUNTIF(CG$6:CG$45,"寶"))))</f>
        <v/>
      </c>
      <c r="CH51" s="69">
        <f>IF(CH$4="","",IF(COUNTIF(設定!$W$6:$W$40,DATE(設定!$C$2,設定!$D$2,28))&gt;0,"假",IF(INDEX(設定!$U$51:$AL$51,(WEEKDAY(DATE(設定!$C$2,設定!$D$2,28),2)-1)*3+1)=0,"休",COUNTIF(CH$6:CH$45,"寶"))))</f>
        <v/>
      </c>
      <c r="CI51" s="70">
        <f>IF(CI$4="","",IF(COUNTIF(設定!$W$6:$W$40,DATE(設定!$C$2,設定!$D$2,28))&gt;0,"假",IF(INDEX(設定!$U$51:$AL$51,(WEEKDAY(DATE(設定!$C$2,設定!$D$2,28),2)-1)*3+2)=0,"休",COUNTIF(CI$6:CI$45,"寶"))))</f>
        <v/>
      </c>
      <c r="CJ51" s="70">
        <f>IF(CJ$4="","",IF(COUNTIF(設定!$W$6:$W$40,DATE(設定!$C$2,設定!$D$2,28))&gt;0,"假",IF(INDEX(設定!$U$51:$AL$51,(WEEKDAY(DATE(設定!$C$2,設定!$D$2,28),2)-1)*3+3)=0,"休",COUNTIF(CJ$6:CJ$45,"寶"))))</f>
        <v/>
      </c>
      <c r="CK51" s="69">
        <f>IF(CK$4="","",IF(COUNTIF(設定!$W$6:$W$40,DATE(設定!$C$2,設定!$D$2,29))&gt;0,"假",IF(INDEX(設定!$U$51:$AL$51,(WEEKDAY(DATE(設定!$C$2,設定!$D$2,29),2)-1)*3+1)=0,"休",COUNTIF(CK$6:CK$45,"寶"))))</f>
        <v/>
      </c>
      <c r="CL51" s="70">
        <f>IF(CL$4="","",IF(COUNTIF(設定!$W$6:$W$40,DATE(設定!$C$2,設定!$D$2,29))&gt;0,"假",IF(INDEX(設定!$U$51:$AL$51,(WEEKDAY(DATE(設定!$C$2,設定!$D$2,29),2)-1)*3+2)=0,"休",COUNTIF(CL$6:CL$45,"寶"))))</f>
        <v/>
      </c>
      <c r="CM51" s="70">
        <f>IF(CM$4="","",IF(COUNTIF(設定!$W$6:$W$40,DATE(設定!$C$2,設定!$D$2,29))&gt;0,"假",IF(INDEX(設定!$U$51:$AL$51,(WEEKDAY(DATE(設定!$C$2,設定!$D$2,29),2)-1)*3+3)=0,"休",COUNTIF(CM$6:CM$45,"寶"))))</f>
        <v/>
      </c>
      <c r="CN51" s="69">
        <f>IF(CN$4="","",IF(COUNTIF(設定!$W$6:$W$40,DATE(設定!$C$2,設定!$D$2,30))&gt;0,"假",IF(INDEX(設定!$U$51:$AL$51,(WEEKDAY(DATE(設定!$C$2,設定!$D$2,30),2)-1)*3+1)=0,"休",COUNTIF(CN$6:CN$45,"寶"))))</f>
        <v/>
      </c>
      <c r="CO51" s="70">
        <f>IF(CO$4="","",IF(COUNTIF(設定!$W$6:$W$40,DATE(設定!$C$2,設定!$D$2,30))&gt;0,"假",IF(INDEX(設定!$U$51:$AL$51,(WEEKDAY(DATE(設定!$C$2,設定!$D$2,30),2)-1)*3+2)=0,"休",COUNTIF(CO$6:CO$45,"寶"))))</f>
        <v/>
      </c>
      <c r="CP51" s="70">
        <f>IF(CP$4="","",IF(COUNTIF(設定!$W$6:$W$40,DATE(設定!$C$2,設定!$D$2,30))&gt;0,"假",IF(INDEX(設定!$U$51:$AL$51,(WEEKDAY(DATE(設定!$C$2,設定!$D$2,30),2)-1)*3+3)=0,"休",COUNTIF(CP$6:CP$45,"寶"))))</f>
        <v/>
      </c>
      <c r="CQ51" s="69">
        <f>IF(CQ$4="","",IF(COUNTIF(設定!$W$6:$W$40,DATE(設定!$C$2,設定!$D$2,31))&gt;0,"假",IF(INDEX(設定!$U$51:$AL$51,(WEEKDAY(DATE(設定!$C$2,設定!$D$2,31),2)-1)*3+1)=0,"休",COUNTIF(CQ$6:CQ$45,"寶"))))</f>
        <v/>
      </c>
      <c r="CR51" s="70">
        <f>IF(CR$4="","",IF(COUNTIF(設定!$W$6:$W$40,DATE(設定!$C$2,設定!$D$2,31))&gt;0,"假",IF(INDEX(設定!$U$51:$AL$51,(WEEKDAY(DATE(設定!$C$2,設定!$D$2,31),2)-1)*3+2)=0,"休",COUNTIF(CR$6:CR$45,"寶"))))</f>
        <v/>
      </c>
      <c r="CS51" s="70">
        <f>IF(CS$4="","",IF(COUNTIF(設定!$W$6:$W$40,DATE(設定!$C$2,設定!$D$2,31))&gt;0,"假",IF(INDEX(設定!$U$51:$AL$51,(WEEKDAY(DATE(設定!$C$2,設定!$D$2,31),2)-1)*3+3)=0,"休",COUNTIF(CS$6:CS$45,"寶"))))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5" t="inlineStr">
        <is>
          <t>牙周植牙專科</t>
        </is>
      </c>
      <c r="D5" s="16" t="inlineStr">
        <is>
          <t>晶悅院長</t>
        </is>
      </c>
      <c r="E5" s="57">
        <f>IF($A5="","",COUNTIF(醫師班表!$E6:$CS6,"悅"))</f>
        <v/>
      </c>
      <c r="F5" s="58">
        <f>IF($A5="","",COUNTIF(醫師班表!$E6:$CS6,"睿"))</f>
        <v/>
      </c>
      <c r="G5" s="59">
        <f>IF($A5="","",COUNTIF(醫師班表!$E6:$CS6,"匯"))</f>
        <v/>
      </c>
      <c r="H5" s="60">
        <f>IF($A5="","",COUNTIF(醫師班表!$E6:$CS6,"曜"))</f>
        <v/>
      </c>
      <c r="I5" s="61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 t="inlineStr">
        <is>
          <t>D002</t>
        </is>
      </c>
      <c r="B6" s="16" t="inlineStr">
        <is>
          <t>劉立德</t>
        </is>
      </c>
      <c r="C6" s="65" t="inlineStr">
        <is>
          <t>植牙專科 家庭牙醫專科</t>
        </is>
      </c>
      <c r="D6" s="16" t="inlineStr">
        <is>
          <t>晶曜院長</t>
        </is>
      </c>
      <c r="E6" s="57">
        <f>IF($A6="","",COUNTIF(醫師班表!$E7:$CS7,"悅"))</f>
        <v/>
      </c>
      <c r="F6" s="58">
        <f>IF($A6="","",COUNTIF(醫師班表!$E7:$CS7,"睿"))</f>
        <v/>
      </c>
      <c r="G6" s="59">
        <f>IF($A6="","",COUNTIF(醫師班表!$E7:$CS7,"匯"))</f>
        <v/>
      </c>
      <c r="H6" s="60">
        <f>IF($A6="","",COUNTIF(醫師班表!$E7:$CS7,"曜"))</f>
        <v/>
      </c>
      <c r="I6" s="61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 t="inlineStr">
        <is>
          <t>D003</t>
        </is>
      </c>
      <c r="B7" s="16" t="inlineStr">
        <is>
          <t>王泳泉</t>
        </is>
      </c>
      <c r="C7" s="65" t="inlineStr">
        <is>
          <t>矯正專科</t>
        </is>
      </c>
      <c r="D7" s="16" t="inlineStr"/>
      <c r="E7" s="57">
        <f>IF($A7="","",COUNTIF(醫師班表!$E8:$CS8,"悅"))</f>
        <v/>
      </c>
      <c r="F7" s="58">
        <f>IF($A7="","",COUNTIF(醫師班表!$E8:$CS8,"睿"))</f>
        <v/>
      </c>
      <c r="G7" s="59">
        <f>IF($A7="","",COUNTIF(醫師班表!$E8:$CS8,"匯"))</f>
        <v/>
      </c>
      <c r="H7" s="60">
        <f>IF($A7="","",COUNTIF(醫師班表!$E8:$CS8,"曜"))</f>
        <v/>
      </c>
      <c r="I7" s="61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 t="inlineStr">
        <is>
          <t>D004</t>
        </is>
      </c>
      <c r="B8" s="16" t="inlineStr">
        <is>
          <t>劉玠旻</t>
        </is>
      </c>
      <c r="C8" s="65" t="inlineStr">
        <is>
          <t>兒童專科</t>
        </is>
      </c>
      <c r="D8" s="16" t="inlineStr"/>
      <c r="E8" s="57">
        <f>IF($A8="","",COUNTIF(醫師班表!$E9:$CS9,"悅"))</f>
        <v/>
      </c>
      <c r="F8" s="58">
        <f>IF($A8="","",COUNTIF(醫師班表!$E9:$CS9,"睿"))</f>
        <v/>
      </c>
      <c r="G8" s="59">
        <f>IF($A8="","",COUNTIF(醫師班表!$E9:$CS9,"匯"))</f>
        <v/>
      </c>
      <c r="H8" s="60">
        <f>IF($A8="","",COUNTIF(醫師班表!$E9:$CS9,"曜"))</f>
        <v/>
      </c>
      <c r="I8" s="61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 t="inlineStr">
        <is>
          <t>D005</t>
        </is>
      </c>
      <c r="B9" s="16" t="inlineStr">
        <is>
          <t>陳志僑</t>
        </is>
      </c>
      <c r="C9" s="65" t="inlineStr">
        <is>
          <t>口外專科</t>
        </is>
      </c>
      <c r="D9" s="16" t="inlineStr"/>
      <c r="E9" s="57">
        <f>IF($A9="","",COUNTIF(醫師班表!$E10:$CS10,"悅"))</f>
        <v/>
      </c>
      <c r="F9" s="58">
        <f>IF($A9="","",COUNTIF(醫師班表!$E10:$CS10,"睿"))</f>
        <v/>
      </c>
      <c r="G9" s="59">
        <f>IF($A9="","",COUNTIF(醫師班表!$E10:$CS10,"匯"))</f>
        <v/>
      </c>
      <c r="H9" s="60">
        <f>IF($A9="","",COUNTIF(醫師班表!$E10:$CS10,"曜"))</f>
        <v/>
      </c>
      <c r="I9" s="61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5" t="inlineStr">
        <is>
          <t>矯正專科</t>
        </is>
      </c>
      <c r="D10" s="16" t="inlineStr"/>
      <c r="E10" s="57">
        <f>IF($A10="","",COUNTIF(醫師班表!$E11:$CS11,"悅"))</f>
        <v/>
      </c>
      <c r="F10" s="58">
        <f>IF($A10="","",COUNTIF(醫師班表!$E11:$CS11,"睿"))</f>
        <v/>
      </c>
      <c r="G10" s="59">
        <f>IF($A10="","",COUNTIF(醫師班表!$E11:$CS11,"匯"))</f>
        <v/>
      </c>
      <c r="H10" s="60">
        <f>IF($A10="","",COUNTIF(醫師班表!$E11:$CS11,"曜"))</f>
        <v/>
      </c>
      <c r="I10" s="61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5" t="inlineStr">
        <is>
          <t>根管治療專科</t>
        </is>
      </c>
      <c r="D11" s="16" t="inlineStr"/>
      <c r="E11" s="57">
        <f>IF($A11="","",COUNTIF(醫師班表!$E12:$CS12,"悅"))</f>
        <v/>
      </c>
      <c r="F11" s="58">
        <f>IF($A11="","",COUNTIF(醫師班表!$E12:$CS12,"睿"))</f>
        <v/>
      </c>
      <c r="G11" s="59">
        <f>IF($A11="","",COUNTIF(醫師班表!$E12:$CS12,"匯"))</f>
        <v/>
      </c>
      <c r="H11" s="60">
        <f>IF($A11="","",COUNTIF(醫師班表!$E12:$CS12,"曜"))</f>
        <v/>
      </c>
      <c r="I11" s="61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5" t="inlineStr"/>
      <c r="D12" s="16" t="inlineStr"/>
      <c r="E12" s="57">
        <f>IF($A12="","",COUNTIF(醫師班表!$E13:$CS13,"悅"))</f>
        <v/>
      </c>
      <c r="F12" s="58">
        <f>IF($A12="","",COUNTIF(醫師班表!$E13:$CS13,"睿"))</f>
        <v/>
      </c>
      <c r="G12" s="59">
        <f>IF($A12="","",COUNTIF(醫師班表!$E13:$CS13,"匯"))</f>
        <v/>
      </c>
      <c r="H12" s="60">
        <f>IF($A12="","",COUNTIF(醫師班表!$E13:$CS13,"曜"))</f>
        <v/>
      </c>
      <c r="I12" s="61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5" t="inlineStr">
        <is>
          <t>美學植牙專科</t>
        </is>
      </c>
      <c r="D13" s="16" t="inlineStr">
        <is>
          <t>晶匯院長</t>
        </is>
      </c>
      <c r="E13" s="57">
        <f>IF($A13="","",COUNTIF(醫師班表!$E14:$CS14,"悅"))</f>
        <v/>
      </c>
      <c r="F13" s="58">
        <f>IF($A13="","",COUNTIF(醫師班表!$E14:$CS14,"睿"))</f>
        <v/>
      </c>
      <c r="G13" s="59">
        <f>IF($A13="","",COUNTIF(醫師班表!$E14:$CS14,"匯"))</f>
        <v/>
      </c>
      <c r="H13" s="60">
        <f>IF($A13="","",COUNTIF(醫師班表!$E14:$CS14,"曜"))</f>
        <v/>
      </c>
      <c r="I13" s="61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5" t="inlineStr"/>
      <c r="D14" s="16" t="inlineStr"/>
      <c r="E14" s="57">
        <f>IF($A14="","",COUNTIF(醫師班表!$E15:$CS15,"悅"))</f>
        <v/>
      </c>
      <c r="F14" s="58">
        <f>IF($A14="","",COUNTIF(醫師班表!$E15:$CS15,"睿"))</f>
        <v/>
      </c>
      <c r="G14" s="59">
        <f>IF($A14="","",COUNTIF(醫師班表!$E15:$CS15,"匯"))</f>
        <v/>
      </c>
      <c r="H14" s="60">
        <f>IF($A14="","",COUNTIF(醫師班表!$E15:$CS15,"曜"))</f>
        <v/>
      </c>
      <c r="I14" s="61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5" t="inlineStr"/>
      <c r="D15" s="16" t="inlineStr">
        <is>
          <t>晶睿院長</t>
        </is>
      </c>
      <c r="E15" s="57">
        <f>IF($A15="","",COUNTIF(醫師班表!$E16:$CS16,"悅"))</f>
        <v/>
      </c>
      <c r="F15" s="58">
        <f>IF($A15="","",COUNTIF(醫師班表!$E16:$CS16,"睿"))</f>
        <v/>
      </c>
      <c r="G15" s="59">
        <f>IF($A15="","",COUNTIF(醫師班表!$E16:$CS16,"匯"))</f>
        <v/>
      </c>
      <c r="H15" s="60">
        <f>IF($A15="","",COUNTIF(醫師班表!$E16:$CS16,"曜"))</f>
        <v/>
      </c>
      <c r="I15" s="61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5" t="inlineStr"/>
      <c r="D16" s="16" t="inlineStr"/>
      <c r="E16" s="57">
        <f>IF($A16="","",COUNTIF(醫師班表!$E17:$CS17,"悅"))</f>
        <v/>
      </c>
      <c r="F16" s="58">
        <f>IF($A16="","",COUNTIF(醫師班表!$E17:$CS17,"睿"))</f>
        <v/>
      </c>
      <c r="G16" s="59">
        <f>IF($A16="","",COUNTIF(醫師班表!$E17:$CS17,"匯"))</f>
        <v/>
      </c>
      <c r="H16" s="60">
        <f>IF($A16="","",COUNTIF(醫師班表!$E17:$CS17,"曜"))</f>
        <v/>
      </c>
      <c r="I16" s="61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5" t="inlineStr"/>
      <c r="D17" s="16" t="inlineStr"/>
      <c r="E17" s="57">
        <f>IF($A17="","",COUNTIF(醫師班表!$E18:$CS18,"悅"))</f>
        <v/>
      </c>
      <c r="F17" s="58">
        <f>IF($A17="","",COUNTIF(醫師班表!$E18:$CS18,"睿"))</f>
        <v/>
      </c>
      <c r="G17" s="59">
        <f>IF($A17="","",COUNTIF(醫師班表!$E18:$CS18,"匯"))</f>
        <v/>
      </c>
      <c r="H17" s="60">
        <f>IF($A17="","",COUNTIF(醫師班表!$E18:$CS18,"曜"))</f>
        <v/>
      </c>
      <c r="I17" s="61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5" t="inlineStr"/>
      <c r="D18" s="16" t="inlineStr"/>
      <c r="E18" s="57">
        <f>IF($A18="","",COUNTIF(醫師班表!$E19:$CS19,"悅"))</f>
        <v/>
      </c>
      <c r="F18" s="58">
        <f>IF($A18="","",COUNTIF(醫師班表!$E19:$CS19,"睿"))</f>
        <v/>
      </c>
      <c r="G18" s="59">
        <f>IF($A18="","",COUNTIF(醫師班表!$E19:$CS19,"匯"))</f>
        <v/>
      </c>
      <c r="H18" s="60">
        <f>IF($A18="","",COUNTIF(醫師班表!$E19:$CS19,"曜"))</f>
        <v/>
      </c>
      <c r="I18" s="61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5" t="inlineStr"/>
      <c r="D19" s="16" t="inlineStr"/>
      <c r="E19" s="57">
        <f>IF($A19="","",COUNTIF(醫師班表!$E20:$CS20,"悅"))</f>
        <v/>
      </c>
      <c r="F19" s="58">
        <f>IF($A19="","",COUNTIF(醫師班表!$E20:$CS20,"睿"))</f>
        <v/>
      </c>
      <c r="G19" s="59">
        <f>IF($A19="","",COUNTIF(醫師班表!$E20:$CS20,"匯"))</f>
        <v/>
      </c>
      <c r="H19" s="60">
        <f>IF($A19="","",COUNTIF(醫師班表!$E20:$CS20,"曜"))</f>
        <v/>
      </c>
      <c r="I19" s="61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5" t="inlineStr"/>
      <c r="D20" s="16" t="inlineStr"/>
      <c r="E20" s="57">
        <f>IF($A20="","",COUNTIF(醫師班表!$E21:$CS21,"悅"))</f>
        <v/>
      </c>
      <c r="F20" s="58">
        <f>IF($A20="","",COUNTIF(醫師班表!$E21:$CS21,"睿"))</f>
        <v/>
      </c>
      <c r="G20" s="59">
        <f>IF($A20="","",COUNTIF(醫師班表!$E21:$CS21,"匯"))</f>
        <v/>
      </c>
      <c r="H20" s="60">
        <f>IF($A20="","",COUNTIF(醫師班表!$E21:$CS21,"曜"))</f>
        <v/>
      </c>
      <c r="I20" s="61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5" t="inlineStr"/>
      <c r="D21" s="16" t="inlineStr"/>
      <c r="E21" s="57">
        <f>IF($A21="","",COUNTIF(醫師班表!$E22:$CS22,"悅"))</f>
        <v/>
      </c>
      <c r="F21" s="58">
        <f>IF($A21="","",COUNTIF(醫師班表!$E22:$CS22,"睿"))</f>
        <v/>
      </c>
      <c r="G21" s="59">
        <f>IF($A21="","",COUNTIF(醫師班表!$E22:$CS22,"匯"))</f>
        <v/>
      </c>
      <c r="H21" s="60">
        <f>IF($A21="","",COUNTIF(醫師班表!$E22:$CS22,"曜"))</f>
        <v/>
      </c>
      <c r="I21" s="61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5" t="inlineStr"/>
      <c r="D22" s="16" t="inlineStr"/>
      <c r="E22" s="57">
        <f>IF($A22="","",COUNTIF(醫師班表!$E23:$CS23,"悅"))</f>
        <v/>
      </c>
      <c r="F22" s="58">
        <f>IF($A22="","",COUNTIF(醫師班表!$E23:$CS23,"睿"))</f>
        <v/>
      </c>
      <c r="G22" s="59">
        <f>IF($A22="","",COUNTIF(醫師班表!$E23:$CS23,"匯"))</f>
        <v/>
      </c>
      <c r="H22" s="60">
        <f>IF($A22="","",COUNTIF(醫師班表!$E23:$CS23,"曜"))</f>
        <v/>
      </c>
      <c r="I22" s="61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5" t="inlineStr"/>
      <c r="D23" s="16" t="inlineStr"/>
      <c r="E23" s="57">
        <f>IF($A23="","",COUNTIF(醫師班表!$E24:$CS24,"悅"))</f>
        <v/>
      </c>
      <c r="F23" s="58">
        <f>IF($A23="","",COUNTIF(醫師班表!$E24:$CS24,"睿"))</f>
        <v/>
      </c>
      <c r="G23" s="59">
        <f>IF($A23="","",COUNTIF(醫師班表!$E24:$CS24,"匯"))</f>
        <v/>
      </c>
      <c r="H23" s="60">
        <f>IF($A23="","",COUNTIF(醫師班表!$E24:$CS24,"曜"))</f>
        <v/>
      </c>
      <c r="I23" s="61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5" t="inlineStr"/>
      <c r="D24" s="16" t="inlineStr"/>
      <c r="E24" s="57">
        <f>IF($A24="","",COUNTIF(醫師班表!$E25:$CS25,"悅"))</f>
        <v/>
      </c>
      <c r="F24" s="58">
        <f>IF($A24="","",COUNTIF(醫師班表!$E25:$CS25,"睿"))</f>
        <v/>
      </c>
      <c r="G24" s="59">
        <f>IF($A24="","",COUNTIF(醫師班表!$E25:$CS25,"匯"))</f>
        <v/>
      </c>
      <c r="H24" s="60">
        <f>IF($A24="","",COUNTIF(醫師班表!$E25:$CS25,"曜"))</f>
        <v/>
      </c>
      <c r="I24" s="61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5" t="inlineStr"/>
      <c r="D25" s="16" t="inlineStr"/>
      <c r="E25" s="57">
        <f>IF($A25="","",COUNTIF(醫師班表!$E26:$CS26,"悅"))</f>
        <v/>
      </c>
      <c r="F25" s="58">
        <f>IF($A25="","",COUNTIF(醫師班表!$E26:$CS26,"睿"))</f>
        <v/>
      </c>
      <c r="G25" s="59">
        <f>IF($A25="","",COUNTIF(醫師班表!$E26:$CS26,"匯"))</f>
        <v/>
      </c>
      <c r="H25" s="60">
        <f>IF($A25="","",COUNTIF(醫師班表!$E26:$CS26,"曜"))</f>
        <v/>
      </c>
      <c r="I25" s="61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5" t="inlineStr">
        <is>
          <t>兒童</t>
        </is>
      </c>
      <c r="D26" s="16" t="inlineStr">
        <is>
          <t>寶貝牙院長</t>
        </is>
      </c>
      <c r="E26" s="57">
        <f>IF($A26="","",COUNTIF(醫師班表!$E27:$CS27,"悅"))</f>
        <v/>
      </c>
      <c r="F26" s="58">
        <f>IF($A26="","",COUNTIF(醫師班表!$E27:$CS27,"睿"))</f>
        <v/>
      </c>
      <c r="G26" s="59">
        <f>IF($A26="","",COUNTIF(醫師班表!$E27:$CS27,"匯"))</f>
        <v/>
      </c>
      <c r="H26" s="60">
        <f>IF($A26="","",COUNTIF(醫師班表!$E27:$CS27,"曜"))</f>
        <v/>
      </c>
      <c r="I26" s="61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5" t="inlineStr">
        <is>
          <t>口外</t>
        </is>
      </c>
      <c r="D27" s="16" t="inlineStr"/>
      <c r="E27" s="57">
        <f>IF($A27="","",COUNTIF(醫師班表!$E28:$CS28,"悅"))</f>
        <v/>
      </c>
      <c r="F27" s="58">
        <f>IF($A27="","",COUNTIF(醫師班表!$E28:$CS28,"睿"))</f>
        <v/>
      </c>
      <c r="G27" s="59">
        <f>IF($A27="","",COUNTIF(醫師班表!$E28:$CS28,"匯"))</f>
        <v/>
      </c>
      <c r="H27" s="60">
        <f>IF($A27="","",COUNTIF(醫師班表!$E28:$CS28,"曜"))</f>
        <v/>
      </c>
      <c r="I27" s="61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5" t="inlineStr">
        <is>
          <t>兒童</t>
        </is>
      </c>
      <c r="D28" s="16" t="inlineStr"/>
      <c r="E28" s="57">
        <f>IF($A28="","",COUNTIF(醫師班表!$E29:$CS29,"悅"))</f>
        <v/>
      </c>
      <c r="F28" s="58">
        <f>IF($A28="","",COUNTIF(醫師班表!$E29:$CS29,"睿"))</f>
        <v/>
      </c>
      <c r="G28" s="59">
        <f>IF($A28="","",COUNTIF(醫師班表!$E29:$CS29,"匯"))</f>
        <v/>
      </c>
      <c r="H28" s="60">
        <f>IF($A28="","",COUNTIF(醫師班表!$E29:$CS29,"曜"))</f>
        <v/>
      </c>
      <c r="I28" s="61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5" t="inlineStr"/>
      <c r="D29" s="16" t="inlineStr"/>
      <c r="E29" s="57">
        <f>IF($A29="","",COUNTIF(醫師班表!$E30:$CS30,"悅"))</f>
        <v/>
      </c>
      <c r="F29" s="58">
        <f>IF($A29="","",COUNTIF(醫師班表!$E30:$CS30,"睿"))</f>
        <v/>
      </c>
      <c r="G29" s="59">
        <f>IF($A29="","",COUNTIF(醫師班表!$E30:$CS30,"匯"))</f>
        <v/>
      </c>
      <c r="H29" s="60">
        <f>IF($A29="","",COUNTIF(醫師班表!$E30:$CS30,"曜"))</f>
        <v/>
      </c>
      <c r="I29" s="61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5" t="inlineStr"/>
      <c r="D30" s="16" t="inlineStr"/>
      <c r="E30" s="57">
        <f>IF($A30="","",COUNTIF(醫師班表!$E31:$CS31,"悅"))</f>
        <v/>
      </c>
      <c r="F30" s="58">
        <f>IF($A30="","",COUNTIF(醫師班表!$E31:$CS31,"睿"))</f>
        <v/>
      </c>
      <c r="G30" s="59">
        <f>IF($A30="","",COUNTIF(醫師班表!$E31:$CS31,"匯"))</f>
        <v/>
      </c>
      <c r="H30" s="60">
        <f>IF($A30="","",COUNTIF(醫師班表!$E31:$CS31,"曜"))</f>
        <v/>
      </c>
      <c r="I30" s="61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5" t="inlineStr"/>
      <c r="D31" s="16" t="inlineStr"/>
      <c r="E31" s="57">
        <f>IF($A31="","",COUNTIF(醫師班表!$E32:$CS32,"悅"))</f>
        <v/>
      </c>
      <c r="F31" s="58">
        <f>IF($A31="","",COUNTIF(醫師班表!$E32:$CS32,"睿"))</f>
        <v/>
      </c>
      <c r="G31" s="59">
        <f>IF($A31="","",COUNTIF(醫師班表!$E32:$CS32,"匯"))</f>
        <v/>
      </c>
      <c r="H31" s="60">
        <f>IF($A31="","",COUNTIF(醫師班表!$E32:$CS32,"曜"))</f>
        <v/>
      </c>
      <c r="I31" s="61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5">
        <f>IF($A32="","",醫師班表!$C33)</f>
        <v/>
      </c>
      <c r="D32" s="16">
        <f>IF($A32="","",醫師班表!$D33)</f>
        <v/>
      </c>
      <c r="E32" s="57">
        <f>IF($A32="","",COUNTIF(醫師班表!$E33:$CS33,"悅"))</f>
        <v/>
      </c>
      <c r="F32" s="58">
        <f>IF($A32="","",COUNTIF(醫師班表!$E33:$CS33,"睿"))</f>
        <v/>
      </c>
      <c r="G32" s="59">
        <f>IF($A32="","",COUNTIF(醫師班表!$E33:$CS33,"匯"))</f>
        <v/>
      </c>
      <c r="H32" s="60">
        <f>IF($A32="","",COUNTIF(醫師班表!$E33:$CS33,"曜"))</f>
        <v/>
      </c>
      <c r="I32" s="61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5">
        <f>IF($A33="","",醫師班表!$C34)</f>
        <v/>
      </c>
      <c r="D33" s="16">
        <f>IF($A33="","",醫師班表!$D34)</f>
        <v/>
      </c>
      <c r="E33" s="57">
        <f>IF($A33="","",COUNTIF(醫師班表!$E34:$CS34,"悅"))</f>
        <v/>
      </c>
      <c r="F33" s="58">
        <f>IF($A33="","",COUNTIF(醫師班表!$E34:$CS34,"睿"))</f>
        <v/>
      </c>
      <c r="G33" s="59">
        <f>IF($A33="","",COUNTIF(醫師班表!$E34:$CS34,"匯"))</f>
        <v/>
      </c>
      <c r="H33" s="60">
        <f>IF($A33="","",COUNTIF(醫師班表!$E34:$CS34,"曜"))</f>
        <v/>
      </c>
      <c r="I33" s="61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5">
        <f>IF($A34="","",醫師班表!$C35)</f>
        <v/>
      </c>
      <c r="D34" s="16">
        <f>IF($A34="","",醫師班表!$D35)</f>
        <v/>
      </c>
      <c r="E34" s="57">
        <f>IF($A34="","",COUNTIF(醫師班表!$E35:$CS35,"悅"))</f>
        <v/>
      </c>
      <c r="F34" s="58">
        <f>IF($A34="","",COUNTIF(醫師班表!$E35:$CS35,"睿"))</f>
        <v/>
      </c>
      <c r="G34" s="59">
        <f>IF($A34="","",COUNTIF(醫師班表!$E35:$CS35,"匯"))</f>
        <v/>
      </c>
      <c r="H34" s="60">
        <f>IF($A34="","",COUNTIF(醫師班表!$E35:$CS35,"曜"))</f>
        <v/>
      </c>
      <c r="I34" s="61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5">
        <f>IF($A35="","",醫師班表!$C36)</f>
        <v/>
      </c>
      <c r="D35" s="16">
        <f>IF($A35="","",醫師班表!$D36)</f>
        <v/>
      </c>
      <c r="E35" s="57">
        <f>IF($A35="","",COUNTIF(醫師班表!$E36:$CS36,"悅"))</f>
        <v/>
      </c>
      <c r="F35" s="58">
        <f>IF($A35="","",COUNTIF(醫師班表!$E36:$CS36,"睿"))</f>
        <v/>
      </c>
      <c r="G35" s="59">
        <f>IF($A35="","",COUNTIF(醫師班表!$E36:$CS36,"匯"))</f>
        <v/>
      </c>
      <c r="H35" s="60">
        <f>IF($A35="","",COUNTIF(醫師班表!$E36:$CS36,"曜"))</f>
        <v/>
      </c>
      <c r="I35" s="61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5">
        <f>IF($A36="","",醫師班表!$C37)</f>
        <v/>
      </c>
      <c r="D36" s="16">
        <f>IF($A36="","",醫師班表!$D37)</f>
        <v/>
      </c>
      <c r="E36" s="57">
        <f>IF($A36="","",COUNTIF(醫師班表!$E37:$CS37,"悅"))</f>
        <v/>
      </c>
      <c r="F36" s="58">
        <f>IF($A36="","",COUNTIF(醫師班表!$E37:$CS37,"睿"))</f>
        <v/>
      </c>
      <c r="G36" s="59">
        <f>IF($A36="","",COUNTIF(醫師班表!$E37:$CS37,"匯"))</f>
        <v/>
      </c>
      <c r="H36" s="60">
        <f>IF($A36="","",COUNTIF(醫師班表!$E37:$CS37,"曜"))</f>
        <v/>
      </c>
      <c r="I36" s="61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5">
        <f>IF($A37="","",醫師班表!$C38)</f>
        <v/>
      </c>
      <c r="D37" s="16">
        <f>IF($A37="","",醫師班表!$D38)</f>
        <v/>
      </c>
      <c r="E37" s="57">
        <f>IF($A37="","",COUNTIF(醫師班表!$E38:$CS38,"悅"))</f>
        <v/>
      </c>
      <c r="F37" s="58">
        <f>IF($A37="","",COUNTIF(醫師班表!$E38:$CS38,"睿"))</f>
        <v/>
      </c>
      <c r="G37" s="59">
        <f>IF($A37="","",COUNTIF(醫師班表!$E38:$CS38,"匯"))</f>
        <v/>
      </c>
      <c r="H37" s="60">
        <f>IF($A37="","",COUNTIF(醫師班表!$E38:$CS38,"曜"))</f>
        <v/>
      </c>
      <c r="I37" s="61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5">
        <f>IF($A38="","",醫師班表!$C39)</f>
        <v/>
      </c>
      <c r="D38" s="16">
        <f>IF($A38="","",醫師班表!$D39)</f>
        <v/>
      </c>
      <c r="E38" s="57">
        <f>IF($A38="","",COUNTIF(醫師班表!$E39:$CS39,"悅"))</f>
        <v/>
      </c>
      <c r="F38" s="58">
        <f>IF($A38="","",COUNTIF(醫師班表!$E39:$CS39,"睿"))</f>
        <v/>
      </c>
      <c r="G38" s="59">
        <f>IF($A38="","",COUNTIF(醫師班表!$E39:$CS39,"匯"))</f>
        <v/>
      </c>
      <c r="H38" s="60">
        <f>IF($A38="","",COUNTIF(醫師班表!$E39:$CS39,"曜"))</f>
        <v/>
      </c>
      <c r="I38" s="61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5">
        <f>IF($A39="","",醫師班表!$C40)</f>
        <v/>
      </c>
      <c r="D39" s="16">
        <f>IF($A39="","",醫師班表!$D40)</f>
        <v/>
      </c>
      <c r="E39" s="57">
        <f>IF($A39="","",COUNTIF(醫師班表!$E40:$CS40,"悅"))</f>
        <v/>
      </c>
      <c r="F39" s="58">
        <f>IF($A39="","",COUNTIF(醫師班表!$E40:$CS40,"睿"))</f>
        <v/>
      </c>
      <c r="G39" s="59">
        <f>IF($A39="","",COUNTIF(醫師班表!$E40:$CS40,"匯"))</f>
        <v/>
      </c>
      <c r="H39" s="60">
        <f>IF($A39="","",COUNTIF(醫師班表!$E40:$CS40,"曜"))</f>
        <v/>
      </c>
      <c r="I39" s="61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5">
        <f>IF($A40="","",醫師班表!$C41)</f>
        <v/>
      </c>
      <c r="D40" s="16">
        <f>IF($A40="","",醫師班表!$D41)</f>
        <v/>
      </c>
      <c r="E40" s="57">
        <f>IF($A40="","",COUNTIF(醫師班表!$E41:$CS41,"悅"))</f>
        <v/>
      </c>
      <c r="F40" s="58">
        <f>IF($A40="","",COUNTIF(醫師班表!$E41:$CS41,"睿"))</f>
        <v/>
      </c>
      <c r="G40" s="59">
        <f>IF($A40="","",COUNTIF(醫師班表!$E41:$CS41,"匯"))</f>
        <v/>
      </c>
      <c r="H40" s="60">
        <f>IF($A40="","",COUNTIF(醫師班表!$E41:$CS41,"曜"))</f>
        <v/>
      </c>
      <c r="I40" s="61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5">
        <f>IF($A41="","",醫師班表!$C42)</f>
        <v/>
      </c>
      <c r="D41" s="16">
        <f>IF($A41="","",醫師班表!$D42)</f>
        <v/>
      </c>
      <c r="E41" s="57">
        <f>IF($A41="","",COUNTIF(醫師班表!$E42:$CS42,"悅"))</f>
        <v/>
      </c>
      <c r="F41" s="58">
        <f>IF($A41="","",COUNTIF(醫師班表!$E42:$CS42,"睿"))</f>
        <v/>
      </c>
      <c r="G41" s="59">
        <f>IF($A41="","",COUNTIF(醫師班表!$E42:$CS42,"匯"))</f>
        <v/>
      </c>
      <c r="H41" s="60">
        <f>IF($A41="","",COUNTIF(醫師班表!$E42:$CS42,"曜"))</f>
        <v/>
      </c>
      <c r="I41" s="61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5">
        <f>IF($A42="","",醫師班表!$C43)</f>
        <v/>
      </c>
      <c r="D42" s="16">
        <f>IF($A42="","",醫師班表!$D43)</f>
        <v/>
      </c>
      <c r="E42" s="57">
        <f>IF($A42="","",COUNTIF(醫師班表!$E43:$CS43,"悅"))</f>
        <v/>
      </c>
      <c r="F42" s="58">
        <f>IF($A42="","",COUNTIF(醫師班表!$E43:$CS43,"睿"))</f>
        <v/>
      </c>
      <c r="G42" s="59">
        <f>IF($A42="","",COUNTIF(醫師班表!$E43:$CS43,"匯"))</f>
        <v/>
      </c>
      <c r="H42" s="60">
        <f>IF($A42="","",COUNTIF(醫師班表!$E43:$CS43,"曜"))</f>
        <v/>
      </c>
      <c r="I42" s="61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5">
        <f>IF($A43="","",醫師班表!$C44)</f>
        <v/>
      </c>
      <c r="D43" s="16">
        <f>IF($A43="","",醫師班表!$D44)</f>
        <v/>
      </c>
      <c r="E43" s="57">
        <f>IF($A43="","",COUNTIF(醫師班表!$E44:$CS44,"悅"))</f>
        <v/>
      </c>
      <c r="F43" s="58">
        <f>IF($A43="","",COUNTIF(醫師班表!$E44:$CS44,"睿"))</f>
        <v/>
      </c>
      <c r="G43" s="59">
        <f>IF($A43="","",COUNTIF(醫師班表!$E44:$CS44,"匯"))</f>
        <v/>
      </c>
      <c r="H43" s="60">
        <f>IF($A43="","",COUNTIF(醫師班表!$E44:$CS44,"曜"))</f>
        <v/>
      </c>
      <c r="I43" s="61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5">
        <f>IF($A44="","",醫師班表!$C45)</f>
        <v/>
      </c>
      <c r="D44" s="16">
        <f>IF($A44="","",醫師班表!$D45)</f>
        <v/>
      </c>
      <c r="E44" s="57">
        <f>IF($A44="","",COUNTIF(醫師班表!$E45:$CS45,"悅"))</f>
        <v/>
      </c>
      <c r="F44" s="58">
        <f>IF($A44="","",COUNTIF(醫師班表!$E45:$CS45,"睿"))</f>
        <v/>
      </c>
      <c r="G44" s="59">
        <f>IF($A44="","",COUNTIF(醫師班表!$E45:$CS45,"匯"))</f>
        <v/>
      </c>
      <c r="H44" s="60">
        <f>IF($A44="","",COUNTIF(醫師班表!$E45:$CS45,"曜"))</f>
        <v/>
      </c>
      <c r="I44" s="61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5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0" t="n"/>
      <c r="B4" s="40" t="n"/>
      <c r="C4" s="40" t="n"/>
      <c r="D4" s="40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68" t="inlineStr">
        <is>
          <t>悅 晶悅</t>
        </is>
      </c>
      <c r="B66" s="8" t="n"/>
      <c r="C66" s="8" t="n"/>
      <c r="D66" s="9" t="n"/>
      <c r="E66" s="76">
        <f>IF(E$3="","",IF(COUNTIF(設定!$W$6:$W$40,DATE(設定!$C$2,設定!$D$2,1))&gt;0,"假",IF(E$4="日","休",SUMPRODUCT(($D$5:$D$64="晶悅")*(COUNTIF(設定!$B$6:$B$11,E$5:E$64)&gt;0)))))</f>
        <v/>
      </c>
      <c r="F66" s="76">
        <f>IF(F$3="","",IF(COUNTIF(設定!$W$6:$W$40,DATE(設定!$C$2,設定!$D$2,2))&gt;0,"假",IF(F$4="日","休",SUMPRODUCT(($D$5:$D$64="晶悅")*(COUNTIF(設定!$B$6:$B$11,F$5:F$64)&gt;0)))))</f>
        <v/>
      </c>
      <c r="G66" s="76">
        <f>IF(G$3="","",IF(COUNTIF(設定!$W$6:$W$40,DATE(設定!$C$2,設定!$D$2,3))&gt;0,"假",IF(G$4="日","休",SUMPRODUCT(($D$5:$D$64="晶悅")*(COUNTIF(設定!$B$6:$B$11,G$5:G$64)&gt;0)))))</f>
        <v/>
      </c>
      <c r="H66" s="76">
        <f>IF(H$3="","",IF(COUNTIF(設定!$W$6:$W$40,DATE(設定!$C$2,設定!$D$2,4))&gt;0,"假",IF(H$4="日","休",SUMPRODUCT(($D$5:$D$64="晶悅")*(COUNTIF(設定!$B$6:$B$11,H$5:H$64)&gt;0)))))</f>
        <v/>
      </c>
      <c r="I66" s="76">
        <f>IF(I$3="","",IF(COUNTIF(設定!$W$6:$W$40,DATE(設定!$C$2,設定!$D$2,5))&gt;0,"假",IF(I$4="日","休",SUMPRODUCT(($D$5:$D$64="晶悅")*(COUNTIF(設定!$B$6:$B$11,I$5:I$64)&gt;0)))))</f>
        <v/>
      </c>
      <c r="J66" s="76">
        <f>IF(J$3="","",IF(COUNTIF(設定!$W$6:$W$40,DATE(設定!$C$2,設定!$D$2,6))&gt;0,"假",IF(J$4="日","休",SUMPRODUCT(($D$5:$D$64="晶悅")*(COUNTIF(設定!$B$6:$B$11,J$5:J$64)&gt;0)))))</f>
        <v/>
      </c>
      <c r="K66" s="76">
        <f>IF(K$3="","",IF(COUNTIF(設定!$W$6:$W$40,DATE(設定!$C$2,設定!$D$2,7))&gt;0,"假",IF(K$4="日","休",SUMPRODUCT(($D$5:$D$64="晶悅")*(COUNTIF(設定!$B$6:$B$11,K$5:K$64)&gt;0)))))</f>
        <v/>
      </c>
      <c r="L66" s="76">
        <f>IF(L$3="","",IF(COUNTIF(設定!$W$6:$W$40,DATE(設定!$C$2,設定!$D$2,8))&gt;0,"假",IF(L$4="日","休",SUMPRODUCT(($D$5:$D$64="晶悅")*(COUNTIF(設定!$B$6:$B$11,L$5:L$64)&gt;0)))))</f>
        <v/>
      </c>
      <c r="M66" s="76">
        <f>IF(M$3="","",IF(COUNTIF(設定!$W$6:$W$40,DATE(設定!$C$2,設定!$D$2,9))&gt;0,"假",IF(M$4="日","休",SUMPRODUCT(($D$5:$D$64="晶悅")*(COUNTIF(設定!$B$6:$B$11,M$5:M$64)&gt;0)))))</f>
        <v/>
      </c>
      <c r="N66" s="76">
        <f>IF(N$3="","",IF(COUNTIF(設定!$W$6:$W$40,DATE(設定!$C$2,設定!$D$2,10))&gt;0,"假",IF(N$4="日","休",SUMPRODUCT(($D$5:$D$64="晶悅")*(COUNTIF(設定!$B$6:$B$11,N$5:N$64)&gt;0)))))</f>
        <v/>
      </c>
      <c r="O66" s="76">
        <f>IF(O$3="","",IF(COUNTIF(設定!$W$6:$W$40,DATE(設定!$C$2,設定!$D$2,11))&gt;0,"假",IF(O$4="日","休",SUMPRODUCT(($D$5:$D$64="晶悅")*(COUNTIF(設定!$B$6:$B$11,O$5:O$64)&gt;0)))))</f>
        <v/>
      </c>
      <c r="P66" s="76">
        <f>IF(P$3="","",IF(COUNTIF(設定!$W$6:$W$40,DATE(設定!$C$2,設定!$D$2,12))&gt;0,"假",IF(P$4="日","休",SUMPRODUCT(($D$5:$D$64="晶悅")*(COUNTIF(設定!$B$6:$B$11,P$5:P$64)&gt;0)))))</f>
        <v/>
      </c>
      <c r="Q66" s="76">
        <f>IF(Q$3="","",IF(COUNTIF(設定!$W$6:$W$40,DATE(設定!$C$2,設定!$D$2,13))&gt;0,"假",IF(Q$4="日","休",SUMPRODUCT(($D$5:$D$64="晶悅")*(COUNTIF(設定!$B$6:$B$11,Q$5:Q$64)&gt;0)))))</f>
        <v/>
      </c>
      <c r="R66" s="76">
        <f>IF(R$3="","",IF(COUNTIF(設定!$W$6:$W$40,DATE(設定!$C$2,設定!$D$2,14))&gt;0,"假",IF(R$4="日","休",SUMPRODUCT(($D$5:$D$64="晶悅")*(COUNTIF(設定!$B$6:$B$11,R$5:R$64)&gt;0)))))</f>
        <v/>
      </c>
      <c r="S66" s="76">
        <f>IF(S$3="","",IF(COUNTIF(設定!$W$6:$W$40,DATE(設定!$C$2,設定!$D$2,15))&gt;0,"假",IF(S$4="日","休",SUMPRODUCT(($D$5:$D$64="晶悅")*(COUNTIF(設定!$B$6:$B$11,S$5:S$64)&gt;0)))))</f>
        <v/>
      </c>
      <c r="T66" s="76">
        <f>IF(T$3="","",IF(COUNTIF(設定!$W$6:$W$40,DATE(設定!$C$2,設定!$D$2,16))&gt;0,"假",IF(T$4="日","休",SUMPRODUCT(($D$5:$D$64="晶悅")*(COUNTIF(設定!$B$6:$B$11,T$5:T$64)&gt;0)))))</f>
        <v/>
      </c>
      <c r="U66" s="76">
        <f>IF(U$3="","",IF(COUNTIF(設定!$W$6:$W$40,DATE(設定!$C$2,設定!$D$2,17))&gt;0,"假",IF(U$4="日","休",SUMPRODUCT(($D$5:$D$64="晶悅")*(COUNTIF(設定!$B$6:$B$11,U$5:U$64)&gt;0)))))</f>
        <v/>
      </c>
      <c r="V66" s="76">
        <f>IF(V$3="","",IF(COUNTIF(設定!$W$6:$W$40,DATE(設定!$C$2,設定!$D$2,18))&gt;0,"假",IF(V$4="日","休",SUMPRODUCT(($D$5:$D$64="晶悅")*(COUNTIF(設定!$B$6:$B$11,V$5:V$64)&gt;0)))))</f>
        <v/>
      </c>
      <c r="W66" s="76">
        <f>IF(W$3="","",IF(COUNTIF(設定!$W$6:$W$40,DATE(設定!$C$2,設定!$D$2,19))&gt;0,"假",IF(W$4="日","休",SUMPRODUCT(($D$5:$D$64="晶悅")*(COUNTIF(設定!$B$6:$B$11,W$5:W$64)&gt;0)))))</f>
        <v/>
      </c>
      <c r="X66" s="76">
        <f>IF(X$3="","",IF(COUNTIF(設定!$W$6:$W$40,DATE(設定!$C$2,設定!$D$2,20))&gt;0,"假",IF(X$4="日","休",SUMPRODUCT(($D$5:$D$64="晶悅")*(COUNTIF(設定!$B$6:$B$11,X$5:X$64)&gt;0)))))</f>
        <v/>
      </c>
      <c r="Y66" s="76">
        <f>IF(Y$3="","",IF(COUNTIF(設定!$W$6:$W$40,DATE(設定!$C$2,設定!$D$2,21))&gt;0,"假",IF(Y$4="日","休",SUMPRODUCT(($D$5:$D$64="晶悅")*(COUNTIF(設定!$B$6:$B$11,Y$5:Y$64)&gt;0)))))</f>
        <v/>
      </c>
      <c r="Z66" s="76">
        <f>IF(Z$3="","",IF(COUNTIF(設定!$W$6:$W$40,DATE(設定!$C$2,設定!$D$2,22))&gt;0,"假",IF(Z$4="日","休",SUMPRODUCT(($D$5:$D$64="晶悅")*(COUNTIF(設定!$B$6:$B$11,Z$5:Z$64)&gt;0)))))</f>
        <v/>
      </c>
      <c r="AA66" s="76">
        <f>IF(AA$3="","",IF(COUNTIF(設定!$W$6:$W$40,DATE(設定!$C$2,設定!$D$2,23))&gt;0,"假",IF(AA$4="日","休",SUMPRODUCT(($D$5:$D$64="晶悅")*(COUNTIF(設定!$B$6:$B$11,AA$5:AA$64)&gt;0)))))</f>
        <v/>
      </c>
      <c r="AB66" s="76">
        <f>IF(AB$3="","",IF(COUNTIF(設定!$W$6:$W$40,DATE(設定!$C$2,設定!$D$2,24))&gt;0,"假",IF(AB$4="日","休",SUMPRODUCT(($D$5:$D$64="晶悅")*(COUNTIF(設定!$B$6:$B$11,AB$5:AB$64)&gt;0)))))</f>
        <v/>
      </c>
      <c r="AC66" s="76">
        <f>IF(AC$3="","",IF(COUNTIF(設定!$W$6:$W$40,DATE(設定!$C$2,設定!$D$2,25))&gt;0,"假",IF(AC$4="日","休",SUMPRODUCT(($D$5:$D$64="晶悅")*(COUNTIF(設定!$B$6:$B$11,AC$5:AC$64)&gt;0)))))</f>
        <v/>
      </c>
      <c r="AD66" s="76">
        <f>IF(AD$3="","",IF(COUNTIF(設定!$W$6:$W$40,DATE(設定!$C$2,設定!$D$2,26))&gt;0,"假",IF(AD$4="日","休",SUMPRODUCT(($D$5:$D$64="晶悅")*(COUNTIF(設定!$B$6:$B$11,AD$5:AD$64)&gt;0)))))</f>
        <v/>
      </c>
      <c r="AE66" s="76">
        <f>IF(AE$3="","",IF(COUNTIF(設定!$W$6:$W$40,DATE(設定!$C$2,設定!$D$2,27))&gt;0,"假",IF(AE$4="日","休",SUMPRODUCT(($D$5:$D$64="晶悅")*(COUNTIF(設定!$B$6:$B$11,AE$5:AE$64)&gt;0)))))</f>
        <v/>
      </c>
      <c r="AF66" s="76">
        <f>IF(AF$3="","",IF(COUNTIF(設定!$W$6:$W$40,DATE(設定!$C$2,設定!$D$2,28))&gt;0,"假",IF(AF$4="日","休",SUMPRODUCT(($D$5:$D$64="晶悅")*(COUNTIF(設定!$B$6:$B$11,AF$5:AF$64)&gt;0)))))</f>
        <v/>
      </c>
      <c r="AG66" s="76">
        <f>IF(AG$3="","",IF(COUNTIF(設定!$W$6:$W$40,DATE(設定!$C$2,設定!$D$2,29))&gt;0,"假",IF(AG$4="日","休",SUMPRODUCT(($D$5:$D$64="晶悅")*(COUNTIF(設定!$B$6:$B$11,AG$5:AG$64)&gt;0)))))</f>
        <v/>
      </c>
      <c r="AH66" s="76">
        <f>IF(AH$3="","",IF(COUNTIF(設定!$W$6:$W$40,DATE(設定!$C$2,設定!$D$2,30))&gt;0,"假",IF(AH$4="日","休",SUMPRODUCT(($D$5:$D$64="晶悅")*(COUNTIF(設定!$B$6:$B$11,AH$5:AH$64)&gt;0)))))</f>
        <v/>
      </c>
      <c r="AI66" s="76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1" t="inlineStr">
        <is>
          <t>睿 晶睿</t>
        </is>
      </c>
      <c r="B67" s="8" t="n"/>
      <c r="C67" s="8" t="n"/>
      <c r="D67" s="9" t="n"/>
      <c r="E67" s="76">
        <f>IF(E$3="","",IF(COUNTIF(設定!$W$6:$W$40,DATE(設定!$C$2,設定!$D$2,1))&gt;0,"假",IF(E$4="日","休",SUMPRODUCT(($D$5:$D$64="晶睿")*(COUNTIF(設定!$B$6:$B$11,E$5:E$64)&gt;0)))))</f>
        <v/>
      </c>
      <c r="F67" s="76">
        <f>IF(F$3="","",IF(COUNTIF(設定!$W$6:$W$40,DATE(設定!$C$2,設定!$D$2,2))&gt;0,"假",IF(F$4="日","休",SUMPRODUCT(($D$5:$D$64="晶睿")*(COUNTIF(設定!$B$6:$B$11,F$5:F$64)&gt;0)))))</f>
        <v/>
      </c>
      <c r="G67" s="76">
        <f>IF(G$3="","",IF(COUNTIF(設定!$W$6:$W$40,DATE(設定!$C$2,設定!$D$2,3))&gt;0,"假",IF(G$4="日","休",SUMPRODUCT(($D$5:$D$64="晶睿")*(COUNTIF(設定!$B$6:$B$11,G$5:G$64)&gt;0)))))</f>
        <v/>
      </c>
      <c r="H67" s="76">
        <f>IF(H$3="","",IF(COUNTIF(設定!$W$6:$W$40,DATE(設定!$C$2,設定!$D$2,4))&gt;0,"假",IF(H$4="日","休",SUMPRODUCT(($D$5:$D$64="晶睿")*(COUNTIF(設定!$B$6:$B$11,H$5:H$64)&gt;0)))))</f>
        <v/>
      </c>
      <c r="I67" s="76">
        <f>IF(I$3="","",IF(COUNTIF(設定!$W$6:$W$40,DATE(設定!$C$2,設定!$D$2,5))&gt;0,"假",IF(I$4="日","休",SUMPRODUCT(($D$5:$D$64="晶睿")*(COUNTIF(設定!$B$6:$B$11,I$5:I$64)&gt;0)))))</f>
        <v/>
      </c>
      <c r="J67" s="76">
        <f>IF(J$3="","",IF(COUNTIF(設定!$W$6:$W$40,DATE(設定!$C$2,設定!$D$2,6))&gt;0,"假",IF(J$4="日","休",SUMPRODUCT(($D$5:$D$64="晶睿")*(COUNTIF(設定!$B$6:$B$11,J$5:J$64)&gt;0)))))</f>
        <v/>
      </c>
      <c r="K67" s="76">
        <f>IF(K$3="","",IF(COUNTIF(設定!$W$6:$W$40,DATE(設定!$C$2,設定!$D$2,7))&gt;0,"假",IF(K$4="日","休",SUMPRODUCT(($D$5:$D$64="晶睿")*(COUNTIF(設定!$B$6:$B$11,K$5:K$64)&gt;0)))))</f>
        <v/>
      </c>
      <c r="L67" s="76">
        <f>IF(L$3="","",IF(COUNTIF(設定!$W$6:$W$40,DATE(設定!$C$2,設定!$D$2,8))&gt;0,"假",IF(L$4="日","休",SUMPRODUCT(($D$5:$D$64="晶睿")*(COUNTIF(設定!$B$6:$B$11,L$5:L$64)&gt;0)))))</f>
        <v/>
      </c>
      <c r="M67" s="76">
        <f>IF(M$3="","",IF(COUNTIF(設定!$W$6:$W$40,DATE(設定!$C$2,設定!$D$2,9))&gt;0,"假",IF(M$4="日","休",SUMPRODUCT(($D$5:$D$64="晶睿")*(COUNTIF(設定!$B$6:$B$11,M$5:M$64)&gt;0)))))</f>
        <v/>
      </c>
      <c r="N67" s="76">
        <f>IF(N$3="","",IF(COUNTIF(設定!$W$6:$W$40,DATE(設定!$C$2,設定!$D$2,10))&gt;0,"假",IF(N$4="日","休",SUMPRODUCT(($D$5:$D$64="晶睿")*(COUNTIF(設定!$B$6:$B$11,N$5:N$64)&gt;0)))))</f>
        <v/>
      </c>
      <c r="O67" s="76">
        <f>IF(O$3="","",IF(COUNTIF(設定!$W$6:$W$40,DATE(設定!$C$2,設定!$D$2,11))&gt;0,"假",IF(O$4="日","休",SUMPRODUCT(($D$5:$D$64="晶睿")*(COUNTIF(設定!$B$6:$B$11,O$5:O$64)&gt;0)))))</f>
        <v/>
      </c>
      <c r="P67" s="76">
        <f>IF(P$3="","",IF(COUNTIF(設定!$W$6:$W$40,DATE(設定!$C$2,設定!$D$2,12))&gt;0,"假",IF(P$4="日","休",SUMPRODUCT(($D$5:$D$64="晶睿")*(COUNTIF(設定!$B$6:$B$11,P$5:P$64)&gt;0)))))</f>
        <v/>
      </c>
      <c r="Q67" s="76">
        <f>IF(Q$3="","",IF(COUNTIF(設定!$W$6:$W$40,DATE(設定!$C$2,設定!$D$2,13))&gt;0,"假",IF(Q$4="日","休",SUMPRODUCT(($D$5:$D$64="晶睿")*(COUNTIF(設定!$B$6:$B$11,Q$5:Q$64)&gt;0)))))</f>
        <v/>
      </c>
      <c r="R67" s="76">
        <f>IF(R$3="","",IF(COUNTIF(設定!$W$6:$W$40,DATE(設定!$C$2,設定!$D$2,14))&gt;0,"假",IF(R$4="日","休",SUMPRODUCT(($D$5:$D$64="晶睿")*(COUNTIF(設定!$B$6:$B$11,R$5:R$64)&gt;0)))))</f>
        <v/>
      </c>
      <c r="S67" s="76">
        <f>IF(S$3="","",IF(COUNTIF(設定!$W$6:$W$40,DATE(設定!$C$2,設定!$D$2,15))&gt;0,"假",IF(S$4="日","休",SUMPRODUCT(($D$5:$D$64="晶睿")*(COUNTIF(設定!$B$6:$B$11,S$5:S$64)&gt;0)))))</f>
        <v/>
      </c>
      <c r="T67" s="76">
        <f>IF(T$3="","",IF(COUNTIF(設定!$W$6:$W$40,DATE(設定!$C$2,設定!$D$2,16))&gt;0,"假",IF(T$4="日","休",SUMPRODUCT(($D$5:$D$64="晶睿")*(COUNTIF(設定!$B$6:$B$11,T$5:T$64)&gt;0)))))</f>
        <v/>
      </c>
      <c r="U67" s="76">
        <f>IF(U$3="","",IF(COUNTIF(設定!$W$6:$W$40,DATE(設定!$C$2,設定!$D$2,17))&gt;0,"假",IF(U$4="日","休",SUMPRODUCT(($D$5:$D$64="晶睿")*(COUNTIF(設定!$B$6:$B$11,U$5:U$64)&gt;0)))))</f>
        <v/>
      </c>
      <c r="V67" s="76">
        <f>IF(V$3="","",IF(COUNTIF(設定!$W$6:$W$40,DATE(設定!$C$2,設定!$D$2,18))&gt;0,"假",IF(V$4="日","休",SUMPRODUCT(($D$5:$D$64="晶睿")*(COUNTIF(設定!$B$6:$B$11,V$5:V$64)&gt;0)))))</f>
        <v/>
      </c>
      <c r="W67" s="76">
        <f>IF(W$3="","",IF(COUNTIF(設定!$W$6:$W$40,DATE(設定!$C$2,設定!$D$2,19))&gt;0,"假",IF(W$4="日","休",SUMPRODUCT(($D$5:$D$64="晶睿")*(COUNTIF(設定!$B$6:$B$11,W$5:W$64)&gt;0)))))</f>
        <v/>
      </c>
      <c r="X67" s="76">
        <f>IF(X$3="","",IF(COUNTIF(設定!$W$6:$W$40,DATE(設定!$C$2,設定!$D$2,20))&gt;0,"假",IF(X$4="日","休",SUMPRODUCT(($D$5:$D$64="晶睿")*(COUNTIF(設定!$B$6:$B$11,X$5:X$64)&gt;0)))))</f>
        <v/>
      </c>
      <c r="Y67" s="76">
        <f>IF(Y$3="","",IF(COUNTIF(設定!$W$6:$W$40,DATE(設定!$C$2,設定!$D$2,21))&gt;0,"假",IF(Y$4="日","休",SUMPRODUCT(($D$5:$D$64="晶睿")*(COUNTIF(設定!$B$6:$B$11,Y$5:Y$64)&gt;0)))))</f>
        <v/>
      </c>
      <c r="Z67" s="76">
        <f>IF(Z$3="","",IF(COUNTIF(設定!$W$6:$W$40,DATE(設定!$C$2,設定!$D$2,22))&gt;0,"假",IF(Z$4="日","休",SUMPRODUCT(($D$5:$D$64="晶睿")*(COUNTIF(設定!$B$6:$B$11,Z$5:Z$64)&gt;0)))))</f>
        <v/>
      </c>
      <c r="AA67" s="76">
        <f>IF(AA$3="","",IF(COUNTIF(設定!$W$6:$W$40,DATE(設定!$C$2,設定!$D$2,23))&gt;0,"假",IF(AA$4="日","休",SUMPRODUCT(($D$5:$D$64="晶睿")*(COUNTIF(設定!$B$6:$B$11,AA$5:AA$64)&gt;0)))))</f>
        <v/>
      </c>
      <c r="AB67" s="76">
        <f>IF(AB$3="","",IF(COUNTIF(設定!$W$6:$W$40,DATE(設定!$C$2,設定!$D$2,24))&gt;0,"假",IF(AB$4="日","休",SUMPRODUCT(($D$5:$D$64="晶睿")*(COUNTIF(設定!$B$6:$B$11,AB$5:AB$64)&gt;0)))))</f>
        <v/>
      </c>
      <c r="AC67" s="76">
        <f>IF(AC$3="","",IF(COUNTIF(設定!$W$6:$W$40,DATE(設定!$C$2,設定!$D$2,25))&gt;0,"假",IF(AC$4="日","休",SUMPRODUCT(($D$5:$D$64="晶睿")*(COUNTIF(設定!$B$6:$B$11,AC$5:AC$64)&gt;0)))))</f>
        <v/>
      </c>
      <c r="AD67" s="76">
        <f>IF(AD$3="","",IF(COUNTIF(設定!$W$6:$W$40,DATE(設定!$C$2,設定!$D$2,26))&gt;0,"假",IF(AD$4="日","休",SUMPRODUCT(($D$5:$D$64="晶睿")*(COUNTIF(設定!$B$6:$B$11,AD$5:AD$64)&gt;0)))))</f>
        <v/>
      </c>
      <c r="AE67" s="76">
        <f>IF(AE$3="","",IF(COUNTIF(設定!$W$6:$W$40,DATE(設定!$C$2,設定!$D$2,27))&gt;0,"假",IF(AE$4="日","休",SUMPRODUCT(($D$5:$D$64="晶睿")*(COUNTIF(設定!$B$6:$B$11,AE$5:AE$64)&gt;0)))))</f>
        <v/>
      </c>
      <c r="AF67" s="76">
        <f>IF(AF$3="","",IF(COUNTIF(設定!$W$6:$W$40,DATE(設定!$C$2,設定!$D$2,28))&gt;0,"假",IF(AF$4="日","休",SUMPRODUCT(($D$5:$D$64="晶睿")*(COUNTIF(設定!$B$6:$B$11,AF$5:AF$64)&gt;0)))))</f>
        <v/>
      </c>
      <c r="AG67" s="76">
        <f>IF(AG$3="","",IF(COUNTIF(設定!$W$6:$W$40,DATE(設定!$C$2,設定!$D$2,29))&gt;0,"假",IF(AG$4="日","休",SUMPRODUCT(($D$5:$D$64="晶睿")*(COUNTIF(設定!$B$6:$B$11,AG$5:AG$64)&gt;0)))))</f>
        <v/>
      </c>
      <c r="AH67" s="76">
        <f>IF(AH$3="","",IF(COUNTIF(設定!$W$6:$W$40,DATE(設定!$C$2,設定!$D$2,30))&gt;0,"假",IF(AH$4="日","休",SUMPRODUCT(($D$5:$D$64="晶睿")*(COUNTIF(設定!$B$6:$B$11,AH$5:AH$64)&gt;0)))))</f>
        <v/>
      </c>
      <c r="AI67" s="76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2" t="inlineStr">
        <is>
          <t>匯 晶匯</t>
        </is>
      </c>
      <c r="B68" s="8" t="n"/>
      <c r="C68" s="8" t="n"/>
      <c r="D68" s="9" t="n"/>
      <c r="E68" s="76">
        <f>IF(E$3="","",IF(COUNTIF(設定!$W$6:$W$40,DATE(設定!$C$2,設定!$D$2,1))&gt;0,"假",IF(E$4="日","休",SUMPRODUCT(($D$5:$D$64="晶匯")*(COUNTIF(設定!$B$6:$B$11,E$5:E$64)&gt;0)))))</f>
        <v/>
      </c>
      <c r="F68" s="76">
        <f>IF(F$3="","",IF(COUNTIF(設定!$W$6:$W$40,DATE(設定!$C$2,設定!$D$2,2))&gt;0,"假",IF(F$4="日","休",SUMPRODUCT(($D$5:$D$64="晶匯")*(COUNTIF(設定!$B$6:$B$11,F$5:F$64)&gt;0)))))</f>
        <v/>
      </c>
      <c r="G68" s="76">
        <f>IF(G$3="","",IF(COUNTIF(設定!$W$6:$W$40,DATE(設定!$C$2,設定!$D$2,3))&gt;0,"假",IF(G$4="日","休",SUMPRODUCT(($D$5:$D$64="晶匯")*(COUNTIF(設定!$B$6:$B$11,G$5:G$64)&gt;0)))))</f>
        <v/>
      </c>
      <c r="H68" s="76">
        <f>IF(H$3="","",IF(COUNTIF(設定!$W$6:$W$40,DATE(設定!$C$2,設定!$D$2,4))&gt;0,"假",IF(H$4="日","休",SUMPRODUCT(($D$5:$D$64="晶匯")*(COUNTIF(設定!$B$6:$B$11,H$5:H$64)&gt;0)))))</f>
        <v/>
      </c>
      <c r="I68" s="76">
        <f>IF(I$3="","",IF(COUNTIF(設定!$W$6:$W$40,DATE(設定!$C$2,設定!$D$2,5))&gt;0,"假",IF(I$4="日","休",SUMPRODUCT(($D$5:$D$64="晶匯")*(COUNTIF(設定!$B$6:$B$11,I$5:I$64)&gt;0)))))</f>
        <v/>
      </c>
      <c r="J68" s="76">
        <f>IF(J$3="","",IF(COUNTIF(設定!$W$6:$W$40,DATE(設定!$C$2,設定!$D$2,6))&gt;0,"假",IF(J$4="日","休",SUMPRODUCT(($D$5:$D$64="晶匯")*(COUNTIF(設定!$B$6:$B$11,J$5:J$64)&gt;0)))))</f>
        <v/>
      </c>
      <c r="K68" s="76">
        <f>IF(K$3="","",IF(COUNTIF(設定!$W$6:$W$40,DATE(設定!$C$2,設定!$D$2,7))&gt;0,"假",IF(K$4="日","休",SUMPRODUCT(($D$5:$D$64="晶匯")*(COUNTIF(設定!$B$6:$B$11,K$5:K$64)&gt;0)))))</f>
        <v/>
      </c>
      <c r="L68" s="76">
        <f>IF(L$3="","",IF(COUNTIF(設定!$W$6:$W$40,DATE(設定!$C$2,設定!$D$2,8))&gt;0,"假",IF(L$4="日","休",SUMPRODUCT(($D$5:$D$64="晶匯")*(COUNTIF(設定!$B$6:$B$11,L$5:L$64)&gt;0)))))</f>
        <v/>
      </c>
      <c r="M68" s="76">
        <f>IF(M$3="","",IF(COUNTIF(設定!$W$6:$W$40,DATE(設定!$C$2,設定!$D$2,9))&gt;0,"假",IF(M$4="日","休",SUMPRODUCT(($D$5:$D$64="晶匯")*(COUNTIF(設定!$B$6:$B$11,M$5:M$64)&gt;0)))))</f>
        <v/>
      </c>
      <c r="N68" s="76">
        <f>IF(N$3="","",IF(COUNTIF(設定!$W$6:$W$40,DATE(設定!$C$2,設定!$D$2,10))&gt;0,"假",IF(N$4="日","休",SUMPRODUCT(($D$5:$D$64="晶匯")*(COUNTIF(設定!$B$6:$B$11,N$5:N$64)&gt;0)))))</f>
        <v/>
      </c>
      <c r="O68" s="76">
        <f>IF(O$3="","",IF(COUNTIF(設定!$W$6:$W$40,DATE(設定!$C$2,設定!$D$2,11))&gt;0,"假",IF(O$4="日","休",SUMPRODUCT(($D$5:$D$64="晶匯")*(COUNTIF(設定!$B$6:$B$11,O$5:O$64)&gt;0)))))</f>
        <v/>
      </c>
      <c r="P68" s="76">
        <f>IF(P$3="","",IF(COUNTIF(設定!$W$6:$W$40,DATE(設定!$C$2,設定!$D$2,12))&gt;0,"假",IF(P$4="日","休",SUMPRODUCT(($D$5:$D$64="晶匯")*(COUNTIF(設定!$B$6:$B$11,P$5:P$64)&gt;0)))))</f>
        <v/>
      </c>
      <c r="Q68" s="76">
        <f>IF(Q$3="","",IF(COUNTIF(設定!$W$6:$W$40,DATE(設定!$C$2,設定!$D$2,13))&gt;0,"假",IF(Q$4="日","休",SUMPRODUCT(($D$5:$D$64="晶匯")*(COUNTIF(設定!$B$6:$B$11,Q$5:Q$64)&gt;0)))))</f>
        <v/>
      </c>
      <c r="R68" s="76">
        <f>IF(R$3="","",IF(COUNTIF(設定!$W$6:$W$40,DATE(設定!$C$2,設定!$D$2,14))&gt;0,"假",IF(R$4="日","休",SUMPRODUCT(($D$5:$D$64="晶匯")*(COUNTIF(設定!$B$6:$B$11,R$5:R$64)&gt;0)))))</f>
        <v/>
      </c>
      <c r="S68" s="76">
        <f>IF(S$3="","",IF(COUNTIF(設定!$W$6:$W$40,DATE(設定!$C$2,設定!$D$2,15))&gt;0,"假",IF(S$4="日","休",SUMPRODUCT(($D$5:$D$64="晶匯")*(COUNTIF(設定!$B$6:$B$11,S$5:S$64)&gt;0)))))</f>
        <v/>
      </c>
      <c r="T68" s="76">
        <f>IF(T$3="","",IF(COUNTIF(設定!$W$6:$W$40,DATE(設定!$C$2,設定!$D$2,16))&gt;0,"假",IF(T$4="日","休",SUMPRODUCT(($D$5:$D$64="晶匯")*(COUNTIF(設定!$B$6:$B$11,T$5:T$64)&gt;0)))))</f>
        <v/>
      </c>
      <c r="U68" s="76">
        <f>IF(U$3="","",IF(COUNTIF(設定!$W$6:$W$40,DATE(設定!$C$2,設定!$D$2,17))&gt;0,"假",IF(U$4="日","休",SUMPRODUCT(($D$5:$D$64="晶匯")*(COUNTIF(設定!$B$6:$B$11,U$5:U$64)&gt;0)))))</f>
        <v/>
      </c>
      <c r="V68" s="76">
        <f>IF(V$3="","",IF(COUNTIF(設定!$W$6:$W$40,DATE(設定!$C$2,設定!$D$2,18))&gt;0,"假",IF(V$4="日","休",SUMPRODUCT(($D$5:$D$64="晶匯")*(COUNTIF(設定!$B$6:$B$11,V$5:V$64)&gt;0)))))</f>
        <v/>
      </c>
      <c r="W68" s="76">
        <f>IF(W$3="","",IF(COUNTIF(設定!$W$6:$W$40,DATE(設定!$C$2,設定!$D$2,19))&gt;0,"假",IF(W$4="日","休",SUMPRODUCT(($D$5:$D$64="晶匯")*(COUNTIF(設定!$B$6:$B$11,W$5:W$64)&gt;0)))))</f>
        <v/>
      </c>
      <c r="X68" s="76">
        <f>IF(X$3="","",IF(COUNTIF(設定!$W$6:$W$40,DATE(設定!$C$2,設定!$D$2,20))&gt;0,"假",IF(X$4="日","休",SUMPRODUCT(($D$5:$D$64="晶匯")*(COUNTIF(設定!$B$6:$B$11,X$5:X$64)&gt;0)))))</f>
        <v/>
      </c>
      <c r="Y68" s="76">
        <f>IF(Y$3="","",IF(COUNTIF(設定!$W$6:$W$40,DATE(設定!$C$2,設定!$D$2,21))&gt;0,"假",IF(Y$4="日","休",SUMPRODUCT(($D$5:$D$64="晶匯")*(COUNTIF(設定!$B$6:$B$11,Y$5:Y$64)&gt;0)))))</f>
        <v/>
      </c>
      <c r="Z68" s="76">
        <f>IF(Z$3="","",IF(COUNTIF(設定!$W$6:$W$40,DATE(設定!$C$2,設定!$D$2,22))&gt;0,"假",IF(Z$4="日","休",SUMPRODUCT(($D$5:$D$64="晶匯")*(COUNTIF(設定!$B$6:$B$11,Z$5:Z$64)&gt;0)))))</f>
        <v/>
      </c>
      <c r="AA68" s="76">
        <f>IF(AA$3="","",IF(COUNTIF(設定!$W$6:$W$40,DATE(設定!$C$2,設定!$D$2,23))&gt;0,"假",IF(AA$4="日","休",SUMPRODUCT(($D$5:$D$64="晶匯")*(COUNTIF(設定!$B$6:$B$11,AA$5:AA$64)&gt;0)))))</f>
        <v/>
      </c>
      <c r="AB68" s="76">
        <f>IF(AB$3="","",IF(COUNTIF(設定!$W$6:$W$40,DATE(設定!$C$2,設定!$D$2,24))&gt;0,"假",IF(AB$4="日","休",SUMPRODUCT(($D$5:$D$64="晶匯")*(COUNTIF(設定!$B$6:$B$11,AB$5:AB$64)&gt;0)))))</f>
        <v/>
      </c>
      <c r="AC68" s="76">
        <f>IF(AC$3="","",IF(COUNTIF(設定!$W$6:$W$40,DATE(設定!$C$2,設定!$D$2,25))&gt;0,"假",IF(AC$4="日","休",SUMPRODUCT(($D$5:$D$64="晶匯")*(COUNTIF(設定!$B$6:$B$11,AC$5:AC$64)&gt;0)))))</f>
        <v/>
      </c>
      <c r="AD68" s="76">
        <f>IF(AD$3="","",IF(COUNTIF(設定!$W$6:$W$40,DATE(設定!$C$2,設定!$D$2,26))&gt;0,"假",IF(AD$4="日","休",SUMPRODUCT(($D$5:$D$64="晶匯")*(COUNTIF(設定!$B$6:$B$11,AD$5:AD$64)&gt;0)))))</f>
        <v/>
      </c>
      <c r="AE68" s="76">
        <f>IF(AE$3="","",IF(COUNTIF(設定!$W$6:$W$40,DATE(設定!$C$2,設定!$D$2,27))&gt;0,"假",IF(AE$4="日","休",SUMPRODUCT(($D$5:$D$64="晶匯")*(COUNTIF(設定!$B$6:$B$11,AE$5:AE$64)&gt;0)))))</f>
        <v/>
      </c>
      <c r="AF68" s="76">
        <f>IF(AF$3="","",IF(COUNTIF(設定!$W$6:$W$40,DATE(設定!$C$2,設定!$D$2,28))&gt;0,"假",IF(AF$4="日","休",SUMPRODUCT(($D$5:$D$64="晶匯")*(COUNTIF(設定!$B$6:$B$11,AF$5:AF$64)&gt;0)))))</f>
        <v/>
      </c>
      <c r="AG68" s="76">
        <f>IF(AG$3="","",IF(COUNTIF(設定!$W$6:$W$40,DATE(設定!$C$2,設定!$D$2,29))&gt;0,"假",IF(AG$4="日","休",SUMPRODUCT(($D$5:$D$64="晶匯")*(COUNTIF(設定!$B$6:$B$11,AG$5:AG$64)&gt;0)))))</f>
        <v/>
      </c>
      <c r="AH68" s="76">
        <f>IF(AH$3="","",IF(COUNTIF(設定!$W$6:$W$40,DATE(設定!$C$2,設定!$D$2,30))&gt;0,"假",IF(AH$4="日","休",SUMPRODUCT(($D$5:$D$64="晶匯")*(COUNTIF(設定!$B$6:$B$11,AH$5:AH$64)&gt;0)))))</f>
        <v/>
      </c>
      <c r="AI68" s="76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3" t="inlineStr">
        <is>
          <t>曜 晶曜</t>
        </is>
      </c>
      <c r="B69" s="8" t="n"/>
      <c r="C69" s="8" t="n"/>
      <c r="D69" s="9" t="n"/>
      <c r="E69" s="76">
        <f>IF(E$3="","",IF(COUNTIF(設定!$W$6:$W$40,DATE(設定!$C$2,設定!$D$2,1))&gt;0,"假",IF(E$4="日","休",SUMPRODUCT(($D$5:$D$64="晶曜")*(COUNTIF(設定!$B$6:$B$11,E$5:E$64)&gt;0)))))</f>
        <v/>
      </c>
      <c r="F69" s="76">
        <f>IF(F$3="","",IF(COUNTIF(設定!$W$6:$W$40,DATE(設定!$C$2,設定!$D$2,2))&gt;0,"假",IF(F$4="日","休",SUMPRODUCT(($D$5:$D$64="晶曜")*(COUNTIF(設定!$B$6:$B$11,F$5:F$64)&gt;0)))))</f>
        <v/>
      </c>
      <c r="G69" s="76">
        <f>IF(G$3="","",IF(COUNTIF(設定!$W$6:$W$40,DATE(設定!$C$2,設定!$D$2,3))&gt;0,"假",IF(G$4="日","休",SUMPRODUCT(($D$5:$D$64="晶曜")*(COUNTIF(設定!$B$6:$B$11,G$5:G$64)&gt;0)))))</f>
        <v/>
      </c>
      <c r="H69" s="76">
        <f>IF(H$3="","",IF(COUNTIF(設定!$W$6:$W$40,DATE(設定!$C$2,設定!$D$2,4))&gt;0,"假",IF(H$4="日","休",SUMPRODUCT(($D$5:$D$64="晶曜")*(COUNTIF(設定!$B$6:$B$11,H$5:H$64)&gt;0)))))</f>
        <v/>
      </c>
      <c r="I69" s="76">
        <f>IF(I$3="","",IF(COUNTIF(設定!$W$6:$W$40,DATE(設定!$C$2,設定!$D$2,5))&gt;0,"假",IF(I$4="日","休",SUMPRODUCT(($D$5:$D$64="晶曜")*(COUNTIF(設定!$B$6:$B$11,I$5:I$64)&gt;0)))))</f>
        <v/>
      </c>
      <c r="J69" s="76">
        <f>IF(J$3="","",IF(COUNTIF(設定!$W$6:$W$40,DATE(設定!$C$2,設定!$D$2,6))&gt;0,"假",IF(J$4="日","休",SUMPRODUCT(($D$5:$D$64="晶曜")*(COUNTIF(設定!$B$6:$B$11,J$5:J$64)&gt;0)))))</f>
        <v/>
      </c>
      <c r="K69" s="76">
        <f>IF(K$3="","",IF(COUNTIF(設定!$W$6:$W$40,DATE(設定!$C$2,設定!$D$2,7))&gt;0,"假",IF(K$4="日","休",SUMPRODUCT(($D$5:$D$64="晶曜")*(COUNTIF(設定!$B$6:$B$11,K$5:K$64)&gt;0)))))</f>
        <v/>
      </c>
      <c r="L69" s="76">
        <f>IF(L$3="","",IF(COUNTIF(設定!$W$6:$W$40,DATE(設定!$C$2,設定!$D$2,8))&gt;0,"假",IF(L$4="日","休",SUMPRODUCT(($D$5:$D$64="晶曜")*(COUNTIF(設定!$B$6:$B$11,L$5:L$64)&gt;0)))))</f>
        <v/>
      </c>
      <c r="M69" s="76">
        <f>IF(M$3="","",IF(COUNTIF(設定!$W$6:$W$40,DATE(設定!$C$2,設定!$D$2,9))&gt;0,"假",IF(M$4="日","休",SUMPRODUCT(($D$5:$D$64="晶曜")*(COUNTIF(設定!$B$6:$B$11,M$5:M$64)&gt;0)))))</f>
        <v/>
      </c>
      <c r="N69" s="76">
        <f>IF(N$3="","",IF(COUNTIF(設定!$W$6:$W$40,DATE(設定!$C$2,設定!$D$2,10))&gt;0,"假",IF(N$4="日","休",SUMPRODUCT(($D$5:$D$64="晶曜")*(COUNTIF(設定!$B$6:$B$11,N$5:N$64)&gt;0)))))</f>
        <v/>
      </c>
      <c r="O69" s="76">
        <f>IF(O$3="","",IF(COUNTIF(設定!$W$6:$W$40,DATE(設定!$C$2,設定!$D$2,11))&gt;0,"假",IF(O$4="日","休",SUMPRODUCT(($D$5:$D$64="晶曜")*(COUNTIF(設定!$B$6:$B$11,O$5:O$64)&gt;0)))))</f>
        <v/>
      </c>
      <c r="P69" s="76">
        <f>IF(P$3="","",IF(COUNTIF(設定!$W$6:$W$40,DATE(設定!$C$2,設定!$D$2,12))&gt;0,"假",IF(P$4="日","休",SUMPRODUCT(($D$5:$D$64="晶曜")*(COUNTIF(設定!$B$6:$B$11,P$5:P$64)&gt;0)))))</f>
        <v/>
      </c>
      <c r="Q69" s="76">
        <f>IF(Q$3="","",IF(COUNTIF(設定!$W$6:$W$40,DATE(設定!$C$2,設定!$D$2,13))&gt;0,"假",IF(Q$4="日","休",SUMPRODUCT(($D$5:$D$64="晶曜")*(COUNTIF(設定!$B$6:$B$11,Q$5:Q$64)&gt;0)))))</f>
        <v/>
      </c>
      <c r="R69" s="76">
        <f>IF(R$3="","",IF(COUNTIF(設定!$W$6:$W$40,DATE(設定!$C$2,設定!$D$2,14))&gt;0,"假",IF(R$4="日","休",SUMPRODUCT(($D$5:$D$64="晶曜")*(COUNTIF(設定!$B$6:$B$11,R$5:R$64)&gt;0)))))</f>
        <v/>
      </c>
      <c r="S69" s="76">
        <f>IF(S$3="","",IF(COUNTIF(設定!$W$6:$W$40,DATE(設定!$C$2,設定!$D$2,15))&gt;0,"假",IF(S$4="日","休",SUMPRODUCT(($D$5:$D$64="晶曜")*(COUNTIF(設定!$B$6:$B$11,S$5:S$64)&gt;0)))))</f>
        <v/>
      </c>
      <c r="T69" s="76">
        <f>IF(T$3="","",IF(COUNTIF(設定!$W$6:$W$40,DATE(設定!$C$2,設定!$D$2,16))&gt;0,"假",IF(T$4="日","休",SUMPRODUCT(($D$5:$D$64="晶曜")*(COUNTIF(設定!$B$6:$B$11,T$5:T$64)&gt;0)))))</f>
        <v/>
      </c>
      <c r="U69" s="76">
        <f>IF(U$3="","",IF(COUNTIF(設定!$W$6:$W$40,DATE(設定!$C$2,設定!$D$2,17))&gt;0,"假",IF(U$4="日","休",SUMPRODUCT(($D$5:$D$64="晶曜")*(COUNTIF(設定!$B$6:$B$11,U$5:U$64)&gt;0)))))</f>
        <v/>
      </c>
      <c r="V69" s="76">
        <f>IF(V$3="","",IF(COUNTIF(設定!$W$6:$W$40,DATE(設定!$C$2,設定!$D$2,18))&gt;0,"假",IF(V$4="日","休",SUMPRODUCT(($D$5:$D$64="晶曜")*(COUNTIF(設定!$B$6:$B$11,V$5:V$64)&gt;0)))))</f>
        <v/>
      </c>
      <c r="W69" s="76">
        <f>IF(W$3="","",IF(COUNTIF(設定!$W$6:$W$40,DATE(設定!$C$2,設定!$D$2,19))&gt;0,"假",IF(W$4="日","休",SUMPRODUCT(($D$5:$D$64="晶曜")*(COUNTIF(設定!$B$6:$B$11,W$5:W$64)&gt;0)))))</f>
        <v/>
      </c>
      <c r="X69" s="76">
        <f>IF(X$3="","",IF(COUNTIF(設定!$W$6:$W$40,DATE(設定!$C$2,設定!$D$2,20))&gt;0,"假",IF(X$4="日","休",SUMPRODUCT(($D$5:$D$64="晶曜")*(COUNTIF(設定!$B$6:$B$11,X$5:X$64)&gt;0)))))</f>
        <v/>
      </c>
      <c r="Y69" s="76">
        <f>IF(Y$3="","",IF(COUNTIF(設定!$W$6:$W$40,DATE(設定!$C$2,設定!$D$2,21))&gt;0,"假",IF(Y$4="日","休",SUMPRODUCT(($D$5:$D$64="晶曜")*(COUNTIF(設定!$B$6:$B$11,Y$5:Y$64)&gt;0)))))</f>
        <v/>
      </c>
      <c r="Z69" s="76">
        <f>IF(Z$3="","",IF(COUNTIF(設定!$W$6:$W$40,DATE(設定!$C$2,設定!$D$2,22))&gt;0,"假",IF(Z$4="日","休",SUMPRODUCT(($D$5:$D$64="晶曜")*(COUNTIF(設定!$B$6:$B$11,Z$5:Z$64)&gt;0)))))</f>
        <v/>
      </c>
      <c r="AA69" s="76">
        <f>IF(AA$3="","",IF(COUNTIF(設定!$W$6:$W$40,DATE(設定!$C$2,設定!$D$2,23))&gt;0,"假",IF(AA$4="日","休",SUMPRODUCT(($D$5:$D$64="晶曜")*(COUNTIF(設定!$B$6:$B$11,AA$5:AA$64)&gt;0)))))</f>
        <v/>
      </c>
      <c r="AB69" s="76">
        <f>IF(AB$3="","",IF(COUNTIF(設定!$W$6:$W$40,DATE(設定!$C$2,設定!$D$2,24))&gt;0,"假",IF(AB$4="日","休",SUMPRODUCT(($D$5:$D$64="晶曜")*(COUNTIF(設定!$B$6:$B$11,AB$5:AB$64)&gt;0)))))</f>
        <v/>
      </c>
      <c r="AC69" s="76">
        <f>IF(AC$3="","",IF(COUNTIF(設定!$W$6:$W$40,DATE(設定!$C$2,設定!$D$2,25))&gt;0,"假",IF(AC$4="日","休",SUMPRODUCT(($D$5:$D$64="晶曜")*(COUNTIF(設定!$B$6:$B$11,AC$5:AC$64)&gt;0)))))</f>
        <v/>
      </c>
      <c r="AD69" s="76">
        <f>IF(AD$3="","",IF(COUNTIF(設定!$W$6:$W$40,DATE(設定!$C$2,設定!$D$2,26))&gt;0,"假",IF(AD$4="日","休",SUMPRODUCT(($D$5:$D$64="晶曜")*(COUNTIF(設定!$B$6:$B$11,AD$5:AD$64)&gt;0)))))</f>
        <v/>
      </c>
      <c r="AE69" s="76">
        <f>IF(AE$3="","",IF(COUNTIF(設定!$W$6:$W$40,DATE(設定!$C$2,設定!$D$2,27))&gt;0,"假",IF(AE$4="日","休",SUMPRODUCT(($D$5:$D$64="晶曜")*(COUNTIF(設定!$B$6:$B$11,AE$5:AE$64)&gt;0)))))</f>
        <v/>
      </c>
      <c r="AF69" s="76">
        <f>IF(AF$3="","",IF(COUNTIF(設定!$W$6:$W$40,DATE(設定!$C$2,設定!$D$2,28))&gt;0,"假",IF(AF$4="日","休",SUMPRODUCT(($D$5:$D$64="晶曜")*(COUNTIF(設定!$B$6:$B$11,AF$5:AF$64)&gt;0)))))</f>
        <v/>
      </c>
      <c r="AG69" s="76">
        <f>IF(AG$3="","",IF(COUNTIF(設定!$W$6:$W$40,DATE(設定!$C$2,設定!$D$2,29))&gt;0,"假",IF(AG$4="日","休",SUMPRODUCT(($D$5:$D$64="晶曜")*(COUNTIF(設定!$B$6:$B$11,AG$5:AG$64)&gt;0)))))</f>
        <v/>
      </c>
      <c r="AH69" s="76">
        <f>IF(AH$3="","",IF(COUNTIF(設定!$W$6:$W$40,DATE(設定!$C$2,設定!$D$2,30))&gt;0,"假",IF(AH$4="日","休",SUMPRODUCT(($D$5:$D$64="晶曜")*(COUNTIF(設定!$B$6:$B$11,AH$5:AH$64)&gt;0)))))</f>
        <v/>
      </c>
      <c r="AI69" s="76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4" t="inlineStr">
        <is>
          <t>寶 寶貝牙</t>
        </is>
      </c>
      <c r="B70" s="8" t="n"/>
      <c r="C70" s="8" t="n"/>
      <c r="D70" s="9" t="n"/>
      <c r="E70" s="76">
        <f>IF(E$3="","",IF(COUNTIF(設定!$W$6:$W$40,DATE(設定!$C$2,設定!$D$2,1))&gt;0,"假",IF(E$4="日","休",SUMPRODUCT(($D$5:$D$64="寶貝牙")*(COUNTIF(設定!$B$6:$B$11,E$5:E$64)&gt;0)))))</f>
        <v/>
      </c>
      <c r="F70" s="76">
        <f>IF(F$3="","",IF(COUNTIF(設定!$W$6:$W$40,DATE(設定!$C$2,設定!$D$2,2))&gt;0,"假",IF(F$4="日","休",SUMPRODUCT(($D$5:$D$64="寶貝牙")*(COUNTIF(設定!$B$6:$B$11,F$5:F$64)&gt;0)))))</f>
        <v/>
      </c>
      <c r="G70" s="76">
        <f>IF(G$3="","",IF(COUNTIF(設定!$W$6:$W$40,DATE(設定!$C$2,設定!$D$2,3))&gt;0,"假",IF(G$4="日","休",SUMPRODUCT(($D$5:$D$64="寶貝牙")*(COUNTIF(設定!$B$6:$B$11,G$5:G$64)&gt;0)))))</f>
        <v/>
      </c>
      <c r="H70" s="76">
        <f>IF(H$3="","",IF(COUNTIF(設定!$W$6:$W$40,DATE(設定!$C$2,設定!$D$2,4))&gt;0,"假",IF(H$4="日","休",SUMPRODUCT(($D$5:$D$64="寶貝牙")*(COUNTIF(設定!$B$6:$B$11,H$5:H$64)&gt;0)))))</f>
        <v/>
      </c>
      <c r="I70" s="76">
        <f>IF(I$3="","",IF(COUNTIF(設定!$W$6:$W$40,DATE(設定!$C$2,設定!$D$2,5))&gt;0,"假",IF(I$4="日","休",SUMPRODUCT(($D$5:$D$64="寶貝牙")*(COUNTIF(設定!$B$6:$B$11,I$5:I$64)&gt;0)))))</f>
        <v/>
      </c>
      <c r="J70" s="76">
        <f>IF(J$3="","",IF(COUNTIF(設定!$W$6:$W$40,DATE(設定!$C$2,設定!$D$2,6))&gt;0,"假",IF(J$4="日","休",SUMPRODUCT(($D$5:$D$64="寶貝牙")*(COUNTIF(設定!$B$6:$B$11,J$5:J$64)&gt;0)))))</f>
        <v/>
      </c>
      <c r="K70" s="76">
        <f>IF(K$3="","",IF(COUNTIF(設定!$W$6:$W$40,DATE(設定!$C$2,設定!$D$2,7))&gt;0,"假",IF(K$4="日","休",SUMPRODUCT(($D$5:$D$64="寶貝牙")*(COUNTIF(設定!$B$6:$B$11,K$5:K$64)&gt;0)))))</f>
        <v/>
      </c>
      <c r="L70" s="76">
        <f>IF(L$3="","",IF(COUNTIF(設定!$W$6:$W$40,DATE(設定!$C$2,設定!$D$2,8))&gt;0,"假",IF(L$4="日","休",SUMPRODUCT(($D$5:$D$64="寶貝牙")*(COUNTIF(設定!$B$6:$B$11,L$5:L$64)&gt;0)))))</f>
        <v/>
      </c>
      <c r="M70" s="76">
        <f>IF(M$3="","",IF(COUNTIF(設定!$W$6:$W$40,DATE(設定!$C$2,設定!$D$2,9))&gt;0,"假",IF(M$4="日","休",SUMPRODUCT(($D$5:$D$64="寶貝牙")*(COUNTIF(設定!$B$6:$B$11,M$5:M$64)&gt;0)))))</f>
        <v/>
      </c>
      <c r="N70" s="76">
        <f>IF(N$3="","",IF(COUNTIF(設定!$W$6:$W$40,DATE(設定!$C$2,設定!$D$2,10))&gt;0,"假",IF(N$4="日","休",SUMPRODUCT(($D$5:$D$64="寶貝牙")*(COUNTIF(設定!$B$6:$B$11,N$5:N$64)&gt;0)))))</f>
        <v/>
      </c>
      <c r="O70" s="76">
        <f>IF(O$3="","",IF(COUNTIF(設定!$W$6:$W$40,DATE(設定!$C$2,設定!$D$2,11))&gt;0,"假",IF(O$4="日","休",SUMPRODUCT(($D$5:$D$64="寶貝牙")*(COUNTIF(設定!$B$6:$B$11,O$5:O$64)&gt;0)))))</f>
        <v/>
      </c>
      <c r="P70" s="76">
        <f>IF(P$3="","",IF(COUNTIF(設定!$W$6:$W$40,DATE(設定!$C$2,設定!$D$2,12))&gt;0,"假",IF(P$4="日","休",SUMPRODUCT(($D$5:$D$64="寶貝牙")*(COUNTIF(設定!$B$6:$B$11,P$5:P$64)&gt;0)))))</f>
        <v/>
      </c>
      <c r="Q70" s="76">
        <f>IF(Q$3="","",IF(COUNTIF(設定!$W$6:$W$40,DATE(設定!$C$2,設定!$D$2,13))&gt;0,"假",IF(Q$4="日","休",SUMPRODUCT(($D$5:$D$64="寶貝牙")*(COUNTIF(設定!$B$6:$B$11,Q$5:Q$64)&gt;0)))))</f>
        <v/>
      </c>
      <c r="R70" s="76">
        <f>IF(R$3="","",IF(COUNTIF(設定!$W$6:$W$40,DATE(設定!$C$2,設定!$D$2,14))&gt;0,"假",IF(R$4="日","休",SUMPRODUCT(($D$5:$D$64="寶貝牙")*(COUNTIF(設定!$B$6:$B$11,R$5:R$64)&gt;0)))))</f>
        <v/>
      </c>
      <c r="S70" s="76">
        <f>IF(S$3="","",IF(COUNTIF(設定!$W$6:$W$40,DATE(設定!$C$2,設定!$D$2,15))&gt;0,"假",IF(S$4="日","休",SUMPRODUCT(($D$5:$D$64="寶貝牙")*(COUNTIF(設定!$B$6:$B$11,S$5:S$64)&gt;0)))))</f>
        <v/>
      </c>
      <c r="T70" s="76">
        <f>IF(T$3="","",IF(COUNTIF(設定!$W$6:$W$40,DATE(設定!$C$2,設定!$D$2,16))&gt;0,"假",IF(T$4="日","休",SUMPRODUCT(($D$5:$D$64="寶貝牙")*(COUNTIF(設定!$B$6:$B$11,T$5:T$64)&gt;0)))))</f>
        <v/>
      </c>
      <c r="U70" s="76">
        <f>IF(U$3="","",IF(COUNTIF(設定!$W$6:$W$40,DATE(設定!$C$2,設定!$D$2,17))&gt;0,"假",IF(U$4="日","休",SUMPRODUCT(($D$5:$D$64="寶貝牙")*(COUNTIF(設定!$B$6:$B$11,U$5:U$64)&gt;0)))))</f>
        <v/>
      </c>
      <c r="V70" s="76">
        <f>IF(V$3="","",IF(COUNTIF(設定!$W$6:$W$40,DATE(設定!$C$2,設定!$D$2,18))&gt;0,"假",IF(V$4="日","休",SUMPRODUCT(($D$5:$D$64="寶貝牙")*(COUNTIF(設定!$B$6:$B$11,V$5:V$64)&gt;0)))))</f>
        <v/>
      </c>
      <c r="W70" s="76">
        <f>IF(W$3="","",IF(COUNTIF(設定!$W$6:$W$40,DATE(設定!$C$2,設定!$D$2,19))&gt;0,"假",IF(W$4="日","休",SUMPRODUCT(($D$5:$D$64="寶貝牙")*(COUNTIF(設定!$B$6:$B$11,W$5:W$64)&gt;0)))))</f>
        <v/>
      </c>
      <c r="X70" s="76">
        <f>IF(X$3="","",IF(COUNTIF(設定!$W$6:$W$40,DATE(設定!$C$2,設定!$D$2,20))&gt;0,"假",IF(X$4="日","休",SUMPRODUCT(($D$5:$D$64="寶貝牙")*(COUNTIF(設定!$B$6:$B$11,X$5:X$64)&gt;0)))))</f>
        <v/>
      </c>
      <c r="Y70" s="76">
        <f>IF(Y$3="","",IF(COUNTIF(設定!$W$6:$W$40,DATE(設定!$C$2,設定!$D$2,21))&gt;0,"假",IF(Y$4="日","休",SUMPRODUCT(($D$5:$D$64="寶貝牙")*(COUNTIF(設定!$B$6:$B$11,Y$5:Y$64)&gt;0)))))</f>
        <v/>
      </c>
      <c r="Z70" s="76">
        <f>IF(Z$3="","",IF(COUNTIF(設定!$W$6:$W$40,DATE(設定!$C$2,設定!$D$2,22))&gt;0,"假",IF(Z$4="日","休",SUMPRODUCT(($D$5:$D$64="寶貝牙")*(COUNTIF(設定!$B$6:$B$11,Z$5:Z$64)&gt;0)))))</f>
        <v/>
      </c>
      <c r="AA70" s="76">
        <f>IF(AA$3="","",IF(COUNTIF(設定!$W$6:$W$40,DATE(設定!$C$2,設定!$D$2,23))&gt;0,"假",IF(AA$4="日","休",SUMPRODUCT(($D$5:$D$64="寶貝牙")*(COUNTIF(設定!$B$6:$B$11,AA$5:AA$64)&gt;0)))))</f>
        <v/>
      </c>
      <c r="AB70" s="76">
        <f>IF(AB$3="","",IF(COUNTIF(設定!$W$6:$W$40,DATE(設定!$C$2,設定!$D$2,24))&gt;0,"假",IF(AB$4="日","休",SUMPRODUCT(($D$5:$D$64="寶貝牙")*(COUNTIF(設定!$B$6:$B$11,AB$5:AB$64)&gt;0)))))</f>
        <v/>
      </c>
      <c r="AC70" s="76">
        <f>IF(AC$3="","",IF(COUNTIF(設定!$W$6:$W$40,DATE(設定!$C$2,設定!$D$2,25))&gt;0,"假",IF(AC$4="日","休",SUMPRODUCT(($D$5:$D$64="寶貝牙")*(COUNTIF(設定!$B$6:$B$11,AC$5:AC$64)&gt;0)))))</f>
        <v/>
      </c>
      <c r="AD70" s="76">
        <f>IF(AD$3="","",IF(COUNTIF(設定!$W$6:$W$40,DATE(設定!$C$2,設定!$D$2,26))&gt;0,"假",IF(AD$4="日","休",SUMPRODUCT(($D$5:$D$64="寶貝牙")*(COUNTIF(設定!$B$6:$B$11,AD$5:AD$64)&gt;0)))))</f>
        <v/>
      </c>
      <c r="AE70" s="76">
        <f>IF(AE$3="","",IF(COUNTIF(設定!$W$6:$W$40,DATE(設定!$C$2,設定!$D$2,27))&gt;0,"假",IF(AE$4="日","休",SUMPRODUCT(($D$5:$D$64="寶貝牙")*(COUNTIF(設定!$B$6:$B$11,AE$5:AE$64)&gt;0)))))</f>
        <v/>
      </c>
      <c r="AF70" s="76">
        <f>IF(AF$3="","",IF(COUNTIF(設定!$W$6:$W$40,DATE(設定!$C$2,設定!$D$2,28))&gt;0,"假",IF(AF$4="日","休",SUMPRODUCT(($D$5:$D$64="寶貝牙")*(COUNTIF(設定!$B$6:$B$11,AF$5:AF$64)&gt;0)))))</f>
        <v/>
      </c>
      <c r="AG70" s="76">
        <f>IF(AG$3="","",IF(COUNTIF(設定!$W$6:$W$40,DATE(設定!$C$2,設定!$D$2,29))&gt;0,"假",IF(AG$4="日","休",SUMPRODUCT(($D$5:$D$64="寶貝牙")*(COUNTIF(設定!$B$6:$B$11,AG$5:AG$64)&gt;0)))))</f>
        <v/>
      </c>
      <c r="AH70" s="76">
        <f>IF(AH$3="","",IF(COUNTIF(設定!$W$6:$W$40,DATE(設定!$C$2,設定!$D$2,30))&gt;0,"假",IF(AH$4="日","休",SUMPRODUCT(($D$5:$D$64="寶貝牙")*(COUNTIF(設定!$B$6:$B$11,AH$5:AH$64)&gt;0)))))</f>
        <v/>
      </c>
      <c r="AI70" s="76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1" allowBlank="1" errorTitle="不在助理名冊中" error="這個編號不在助理/醫護長名冊裡。確定要用請按「是」。" type="list" errorStyle="warning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5" t="inlineStr">
        <is>
          <t>打卡匯入(把打卡機匯出的資料貼在下面四欄)　　⚠ 助理與醫護長名單尚未匯入,本分頁目前是空的</t>
        </is>
      </c>
      <c r="H1" s="77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78" t="n"/>
      <c r="D3" s="78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78" t="n"/>
      <c r="D4" s="78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78" t="n"/>
      <c r="D5" s="78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78" t="n"/>
      <c r="D6" s="78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78" t="n"/>
      <c r="D7" s="78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78" t="n"/>
      <c r="D8" s="78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78" t="n"/>
      <c r="D9" s="78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78" t="n"/>
      <c r="D10" s="78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78" t="n"/>
      <c r="D11" s="78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78" t="n"/>
      <c r="D12" s="78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78" t="n"/>
      <c r="D13" s="78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78" t="n"/>
      <c r="D14" s="78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78" t="n"/>
      <c r="D15" s="78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78" t="n"/>
      <c r="D16" s="78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78" t="n"/>
      <c r="D17" s="78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78" t="n"/>
      <c r="D18" s="78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78" t="n"/>
      <c r="D19" s="78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78" t="n"/>
      <c r="D20" s="78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78" t="n"/>
      <c r="D21" s="78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78" t="n"/>
      <c r="D22" s="78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78" t="n"/>
      <c r="D23" s="78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78" t="n"/>
      <c r="D24" s="78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78" t="n"/>
      <c r="D25" s="78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78" t="n"/>
      <c r="D26" s="78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78" t="n"/>
      <c r="D27" s="78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78" t="n"/>
      <c r="D28" s="78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78" t="n"/>
      <c r="D29" s="78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78" t="n"/>
      <c r="D30" s="78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78" t="n"/>
      <c r="D31" s="78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78" t="n"/>
      <c r="D32" s="78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78" t="n"/>
      <c r="D33" s="78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78" t="n"/>
      <c r="D34" s="78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78" t="n"/>
      <c r="D35" s="78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78" t="n"/>
      <c r="D36" s="78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78" t="n"/>
      <c r="D37" s="78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78" t="n"/>
      <c r="D38" s="78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78" t="n"/>
      <c r="D39" s="78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78" t="n"/>
      <c r="D40" s="78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78" t="n"/>
      <c r="D41" s="78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78" t="n"/>
      <c r="D42" s="78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78" t="n"/>
      <c r="D43" s="78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78" t="n"/>
      <c r="D44" s="78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78" t="n"/>
      <c r="D45" s="78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78" t="n"/>
      <c r="D46" s="78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78" t="n"/>
      <c r="D47" s="78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78" t="n"/>
      <c r="D48" s="78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78" t="n"/>
      <c r="D49" s="78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78" t="n"/>
      <c r="D50" s="78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78" t="n"/>
      <c r="D51" s="78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78" t="n"/>
      <c r="D52" s="78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78" t="n"/>
      <c r="D53" s="78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78" t="n"/>
      <c r="D54" s="78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78" t="n"/>
      <c r="D55" s="78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78" t="n"/>
      <c r="D56" s="78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78" t="n"/>
      <c r="D57" s="78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78" t="n"/>
      <c r="D58" s="78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78" t="n"/>
      <c r="D59" s="78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78" t="n"/>
      <c r="D60" s="78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78" t="n"/>
      <c r="D61" s="78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78" t="n"/>
      <c r="D62" s="78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78" t="n"/>
      <c r="D63" s="78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78" t="n"/>
      <c r="D64" s="78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78" t="n"/>
      <c r="D65" s="78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78" t="n"/>
      <c r="D66" s="78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78" t="n"/>
      <c r="D67" s="78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78" t="n"/>
      <c r="D68" s="78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78" t="n"/>
      <c r="D69" s="78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78" t="n"/>
      <c r="D70" s="78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78" t="n"/>
      <c r="D71" s="78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78" t="n"/>
      <c r="D72" s="78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78" t="n"/>
      <c r="D73" s="78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78" t="n"/>
      <c r="D74" s="78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78" t="n"/>
      <c r="D75" s="78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78" t="n"/>
      <c r="D76" s="78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78" t="n"/>
      <c r="D77" s="78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78" t="n"/>
      <c r="D78" s="78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78" t="n"/>
      <c r="D79" s="78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78" t="n"/>
      <c r="D80" s="78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78" t="n"/>
      <c r="D81" s="78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78" t="n"/>
      <c r="D82" s="78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78" t="n"/>
      <c r="D83" s="78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78" t="n"/>
      <c r="D84" s="78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78" t="n"/>
      <c r="D85" s="78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78" t="n"/>
      <c r="D86" s="78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78" t="n"/>
      <c r="D87" s="78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78" t="n"/>
      <c r="D88" s="78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78" t="n"/>
      <c r="D89" s="78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78" t="n"/>
      <c r="D90" s="78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78" t="n"/>
      <c r="D91" s="78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78" t="n"/>
      <c r="D92" s="78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78" t="n"/>
      <c r="D93" s="78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78" t="n"/>
      <c r="D94" s="78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78" t="n"/>
      <c r="D95" s="78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78" t="n"/>
      <c r="D96" s="78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78" t="n"/>
      <c r="D97" s="78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78" t="n"/>
      <c r="D98" s="78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78" t="n"/>
      <c r="D99" s="78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78" t="n"/>
      <c r="D100" s="78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78" t="n"/>
      <c r="D101" s="78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78" t="n"/>
      <c r="D102" s="78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78" t="n"/>
      <c r="D103" s="78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78" t="n"/>
      <c r="D104" s="78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78" t="n"/>
      <c r="D105" s="78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78" t="n"/>
      <c r="D106" s="78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78" t="n"/>
      <c r="D107" s="78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78" t="n"/>
      <c r="D108" s="78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78" t="n"/>
      <c r="D109" s="78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78" t="n"/>
      <c r="D110" s="78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78" t="n"/>
      <c r="D111" s="78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78" t="n"/>
      <c r="D112" s="78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78" t="n"/>
      <c r="D113" s="78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78" t="n"/>
      <c r="D114" s="78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78" t="n"/>
      <c r="D115" s="78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78" t="n"/>
      <c r="D116" s="78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78" t="n"/>
      <c r="D117" s="78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78" t="n"/>
      <c r="D118" s="78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78" t="n"/>
      <c r="D119" s="78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78" t="n"/>
      <c r="D120" s="78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78" t="n"/>
      <c r="D121" s="78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78" t="n"/>
      <c r="D122" s="78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78" t="n"/>
      <c r="D123" s="78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78" t="n"/>
      <c r="D124" s="78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78" t="n"/>
      <c r="D125" s="78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78" t="n"/>
      <c r="D126" s="78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78" t="n"/>
      <c r="D127" s="78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78" t="n"/>
      <c r="D128" s="78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78" t="n"/>
      <c r="D129" s="78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78" t="n"/>
      <c r="D130" s="78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78" t="n"/>
      <c r="D131" s="78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78" t="n"/>
      <c r="D132" s="78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78" t="n"/>
      <c r="D133" s="78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78" t="n"/>
      <c r="D134" s="78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78" t="n"/>
      <c r="D135" s="78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78" t="n"/>
      <c r="D136" s="78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78" t="n"/>
      <c r="D137" s="78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78" t="n"/>
      <c r="D138" s="78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78" t="n"/>
      <c r="D139" s="78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78" t="n"/>
      <c r="D140" s="78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78" t="n"/>
      <c r="D141" s="78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78" t="n"/>
      <c r="D142" s="78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78" t="n"/>
      <c r="D143" s="78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78" t="n"/>
      <c r="D144" s="78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78" t="n"/>
      <c r="D145" s="78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78" t="n"/>
      <c r="D146" s="78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78" t="n"/>
      <c r="D147" s="78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78" t="n"/>
      <c r="D148" s="78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78" t="n"/>
      <c r="D149" s="78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78" t="n"/>
      <c r="D150" s="78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78" t="n"/>
      <c r="D151" s="78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78" t="n"/>
      <c r="D152" s="78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78" t="n"/>
      <c r="D153" s="78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78" t="n"/>
      <c r="D154" s="78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78" t="n"/>
      <c r="D155" s="78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78" t="n"/>
      <c r="D156" s="78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78" t="n"/>
      <c r="D157" s="78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78" t="n"/>
      <c r="D158" s="78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78" t="n"/>
      <c r="D159" s="78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78" t="n"/>
      <c r="D160" s="78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78" t="n"/>
      <c r="D161" s="78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78" t="n"/>
      <c r="D162" s="78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78" t="n"/>
      <c r="D163" s="78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78" t="n"/>
      <c r="D164" s="78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78" t="n"/>
      <c r="D165" s="78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78" t="n"/>
      <c r="D166" s="78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78" t="n"/>
      <c r="D167" s="78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78" t="n"/>
      <c r="D168" s="78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78" t="n"/>
      <c r="D169" s="78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78" t="n"/>
      <c r="D170" s="78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78" t="n"/>
      <c r="D171" s="78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78" t="n"/>
      <c r="D172" s="78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78" t="n"/>
      <c r="D173" s="78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78" t="n"/>
      <c r="D174" s="78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78" t="n"/>
      <c r="D175" s="78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78" t="n"/>
      <c r="D176" s="78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78" t="n"/>
      <c r="D177" s="78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78" t="n"/>
      <c r="D178" s="78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78" t="n"/>
      <c r="D179" s="78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78" t="n"/>
      <c r="D180" s="78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78" t="n"/>
      <c r="D181" s="78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78" t="n"/>
      <c r="D182" s="78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78" t="n"/>
      <c r="D183" s="78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78" t="n"/>
      <c r="D184" s="78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78" t="n"/>
      <c r="D185" s="78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78" t="n"/>
      <c r="D186" s="78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78" t="n"/>
      <c r="D187" s="78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78" t="n"/>
      <c r="D188" s="78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78" t="n"/>
      <c r="D189" s="78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78" t="n"/>
      <c r="D190" s="78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78" t="n"/>
      <c r="D191" s="78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78" t="n"/>
      <c r="D192" s="78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78" t="n"/>
      <c r="D193" s="78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78" t="n"/>
      <c r="D194" s="78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78" t="n"/>
      <c r="D195" s="78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78" t="n"/>
      <c r="D196" s="78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78" t="n"/>
      <c r="D197" s="78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78" t="n"/>
      <c r="D198" s="78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78" t="n"/>
      <c r="D199" s="78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78" t="n"/>
      <c r="D200" s="78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78" t="n"/>
      <c r="D201" s="78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78" t="n"/>
      <c r="D202" s="78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78" t="n"/>
      <c r="D203" s="78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78" t="n"/>
      <c r="D204" s="78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78" t="n"/>
      <c r="D205" s="78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78" t="n"/>
      <c r="D206" s="78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78" t="n"/>
      <c r="D207" s="78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78" t="n"/>
      <c r="D208" s="78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78" t="n"/>
      <c r="D209" s="78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78" t="n"/>
      <c r="D210" s="78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78" t="n"/>
      <c r="D211" s="78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78" t="n"/>
      <c r="D212" s="78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78" t="n"/>
      <c r="D213" s="78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78" t="n"/>
      <c r="D214" s="78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78" t="n"/>
      <c r="D215" s="78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78" t="n"/>
      <c r="D216" s="78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78" t="n"/>
      <c r="D217" s="78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78" t="n"/>
      <c r="D218" s="78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78" t="n"/>
      <c r="D219" s="78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78" t="n"/>
      <c r="D220" s="78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78" t="n"/>
      <c r="D221" s="78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78" t="n"/>
      <c r="D222" s="78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78" t="n"/>
      <c r="D223" s="78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78" t="n"/>
      <c r="D224" s="78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78" t="n"/>
      <c r="D225" s="78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78" t="n"/>
      <c r="D226" s="78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78" t="n"/>
      <c r="D227" s="78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78" t="n"/>
      <c r="D228" s="78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78" t="n"/>
      <c r="D229" s="78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78" t="n"/>
      <c r="D230" s="78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78" t="n"/>
      <c r="D231" s="78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78" t="n"/>
      <c r="D232" s="78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78" t="n"/>
      <c r="D233" s="78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78" t="n"/>
      <c r="D234" s="78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78" t="n"/>
      <c r="D235" s="78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78" t="n"/>
      <c r="D236" s="78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78" t="n"/>
      <c r="D237" s="78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78" t="n"/>
      <c r="D238" s="78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78" t="n"/>
      <c r="D239" s="78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78" t="n"/>
      <c r="D240" s="78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78" t="n"/>
      <c r="D241" s="78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78" t="n"/>
      <c r="D242" s="78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78" t="n"/>
      <c r="D243" s="78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78" t="n"/>
      <c r="D244" s="78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78" t="n"/>
      <c r="D245" s="78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78" t="n"/>
      <c r="D246" s="78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78" t="n"/>
      <c r="D247" s="78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78" t="n"/>
      <c r="D248" s="78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78" t="n"/>
      <c r="D249" s="78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78" t="n"/>
      <c r="D250" s="78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78" t="n"/>
      <c r="D251" s="78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78" t="n"/>
      <c r="D252" s="78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78" t="n"/>
      <c r="D253" s="78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78" t="n"/>
      <c r="D254" s="78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78" t="n"/>
      <c r="D255" s="78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78" t="n"/>
      <c r="D256" s="78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78" t="n"/>
      <c r="D257" s="78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78" t="n"/>
      <c r="D258" s="78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78" t="n"/>
      <c r="D259" s="78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78" t="n"/>
      <c r="D260" s="78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78" t="n"/>
      <c r="D261" s="78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78" t="n"/>
      <c r="D262" s="78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78" t="n"/>
      <c r="D263" s="78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78" t="n"/>
      <c r="D264" s="78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78" t="n"/>
      <c r="D265" s="78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78" t="n"/>
      <c r="D266" s="78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78" t="n"/>
      <c r="D267" s="78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78" t="n"/>
      <c r="D268" s="78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78" t="n"/>
      <c r="D269" s="78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78" t="n"/>
      <c r="D270" s="78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78" t="n"/>
      <c r="D271" s="78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78" t="n"/>
      <c r="D272" s="78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78" t="n"/>
      <c r="D273" s="78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78" t="n"/>
      <c r="D274" s="78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78" t="n"/>
      <c r="D275" s="78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78" t="n"/>
      <c r="D276" s="78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78" t="n"/>
      <c r="D277" s="78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78" t="n"/>
      <c r="D278" s="78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78" t="n"/>
      <c r="D279" s="78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78" t="n"/>
      <c r="D280" s="78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78" t="n"/>
      <c r="D281" s="78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78" t="n"/>
      <c r="D282" s="78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78" t="n"/>
      <c r="D283" s="78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78" t="n"/>
      <c r="D284" s="78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78" t="n"/>
      <c r="D285" s="78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78" t="n"/>
      <c r="D286" s="78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78" t="n"/>
      <c r="D287" s="78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78" t="n"/>
      <c r="D288" s="78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78" t="n"/>
      <c r="D289" s="78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78" t="n"/>
      <c r="D290" s="78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78" t="n"/>
      <c r="D291" s="78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78" t="n"/>
      <c r="D292" s="78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78" t="n"/>
      <c r="D293" s="78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78" t="n"/>
      <c r="D294" s="78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78" t="n"/>
      <c r="D295" s="78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78" t="n"/>
      <c r="D296" s="78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78" t="n"/>
      <c r="D297" s="78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78" t="n"/>
      <c r="D298" s="78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78" t="n"/>
      <c r="D299" s="78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78" t="n"/>
      <c r="D300" s="78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78" t="n"/>
      <c r="D301" s="78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78" t="n"/>
      <c r="D302" s="78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78" t="n"/>
      <c r="D303" s="78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78" t="n"/>
      <c r="D304" s="78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78" t="n"/>
      <c r="D305" s="78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78" t="n"/>
      <c r="D306" s="78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78" t="n"/>
      <c r="D307" s="78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78" t="n"/>
      <c r="D308" s="78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78" t="n"/>
      <c r="D309" s="78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78" t="n"/>
      <c r="D310" s="78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78" t="n"/>
      <c r="D311" s="78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78" t="n"/>
      <c r="D312" s="78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78" t="n"/>
      <c r="D313" s="78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78" t="n"/>
      <c r="D314" s="78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78" t="n"/>
      <c r="D315" s="78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78" t="n"/>
      <c r="D316" s="78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78" t="n"/>
      <c r="D317" s="78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78" t="n"/>
      <c r="D318" s="78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78" t="n"/>
      <c r="D319" s="78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78" t="n"/>
      <c r="D320" s="78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78" t="n"/>
      <c r="D321" s="78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78" t="n"/>
      <c r="D322" s="78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78" t="n"/>
      <c r="D323" s="78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78" t="n"/>
      <c r="D324" s="78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78" t="n"/>
      <c r="D325" s="78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78" t="n"/>
      <c r="D326" s="78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78" t="n"/>
      <c r="D327" s="78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78" t="n"/>
      <c r="D328" s="78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78" t="n"/>
      <c r="D329" s="78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78" t="n"/>
      <c r="D330" s="78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78" t="n"/>
      <c r="D331" s="78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78" t="n"/>
      <c r="D332" s="78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78" t="n"/>
      <c r="D333" s="78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78" t="n"/>
      <c r="D334" s="78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78" t="n"/>
      <c r="D335" s="78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78" t="n"/>
      <c r="D336" s="78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78" t="n"/>
      <c r="D337" s="78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78" t="n"/>
      <c r="D338" s="78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78" t="n"/>
      <c r="D339" s="78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78" t="n"/>
      <c r="D340" s="78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78" t="n"/>
      <c r="D341" s="78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78" t="n"/>
      <c r="D342" s="78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78" t="n"/>
      <c r="D343" s="78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78" t="n"/>
      <c r="D344" s="78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78" t="n"/>
      <c r="D345" s="78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78" t="n"/>
      <c r="D346" s="78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78" t="n"/>
      <c r="D347" s="78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78" t="n"/>
      <c r="D348" s="78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78" t="n"/>
      <c r="D349" s="78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78" t="n"/>
      <c r="D350" s="78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78" t="n"/>
      <c r="D351" s="78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78" t="n"/>
      <c r="D352" s="78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78" t="n"/>
      <c r="D353" s="78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78" t="n"/>
      <c r="D354" s="78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78" t="n"/>
      <c r="D355" s="78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78" t="n"/>
      <c r="D356" s="78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78" t="n"/>
      <c r="D357" s="78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78" t="n"/>
      <c r="D358" s="78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78" t="n"/>
      <c r="D359" s="78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78" t="n"/>
      <c r="D360" s="78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78" t="n"/>
      <c r="D361" s="78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78" t="n"/>
      <c r="D362" s="78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78" t="n"/>
      <c r="D363" s="78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78" t="n"/>
      <c r="D364" s="78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78" t="n"/>
      <c r="D365" s="78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78" t="n"/>
      <c r="D366" s="78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78" t="n"/>
      <c r="D367" s="78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78" t="n"/>
      <c r="D368" s="78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78" t="n"/>
      <c r="D369" s="78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78" t="n"/>
      <c r="D370" s="78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78" t="n"/>
      <c r="D371" s="78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78" t="n"/>
      <c r="D372" s="78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78" t="n"/>
      <c r="D373" s="78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78" t="n"/>
      <c r="D374" s="78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78" t="n"/>
      <c r="D375" s="78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78" t="n"/>
      <c r="D376" s="78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78" t="n"/>
      <c r="D377" s="78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78" t="n"/>
      <c r="D378" s="78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78" t="n"/>
      <c r="D379" s="78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78" t="n"/>
      <c r="D380" s="78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78" t="n"/>
      <c r="D381" s="78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78" t="n"/>
      <c r="D382" s="78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78" t="n"/>
      <c r="D383" s="78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78" t="n"/>
      <c r="D384" s="78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78" t="n"/>
      <c r="D385" s="78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78" t="n"/>
      <c r="D386" s="78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78" t="n"/>
      <c r="D387" s="78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78" t="n"/>
      <c r="D388" s="78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78" t="n"/>
      <c r="D389" s="78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78" t="n"/>
      <c r="D390" s="78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78" t="n"/>
      <c r="D391" s="78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78" t="n"/>
      <c r="D392" s="78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78" t="n"/>
      <c r="D393" s="78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78" t="n"/>
      <c r="D394" s="78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78" t="n"/>
      <c r="D395" s="78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78" t="n"/>
      <c r="D396" s="78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78" t="n"/>
      <c r="D397" s="78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78" t="n"/>
      <c r="D398" s="78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78" t="n"/>
      <c r="D399" s="78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78" t="n"/>
      <c r="D400" s="78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78" t="n"/>
      <c r="D401" s="78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78" t="n"/>
      <c r="D402" s="78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78" t="n"/>
      <c r="D403" s="78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78" t="n"/>
      <c r="D404" s="78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78" t="n"/>
      <c r="D405" s="78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78" t="n"/>
      <c r="D406" s="78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78" t="n"/>
      <c r="D407" s="78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78" t="n"/>
      <c r="D408" s="78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78" t="n"/>
      <c r="D409" s="78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78" t="n"/>
      <c r="D410" s="78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78" t="n"/>
      <c r="D411" s="78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78" t="n"/>
      <c r="D412" s="78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78" t="n"/>
      <c r="D413" s="78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78" t="n"/>
      <c r="D414" s="78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78" t="n"/>
      <c r="D415" s="78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78" t="n"/>
      <c r="D416" s="78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78" t="n"/>
      <c r="D417" s="78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78" t="n"/>
      <c r="D418" s="78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78" t="n"/>
      <c r="D419" s="78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78" t="n"/>
      <c r="D420" s="78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78" t="n"/>
      <c r="D421" s="78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78" t="n"/>
      <c r="D422" s="78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78" t="n"/>
      <c r="D423" s="78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78" t="n"/>
      <c r="D424" s="78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78" t="n"/>
      <c r="D425" s="78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78" t="n"/>
      <c r="D426" s="78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78" t="n"/>
      <c r="D427" s="78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78" t="n"/>
      <c r="D428" s="78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78" t="n"/>
      <c r="D429" s="78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78" t="n"/>
      <c r="D430" s="78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78" t="n"/>
      <c r="D431" s="78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78" t="n"/>
      <c r="D432" s="78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78" t="n"/>
      <c r="D433" s="78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78" t="n"/>
      <c r="D434" s="78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78" t="n"/>
      <c r="D435" s="78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78" t="n"/>
      <c r="D436" s="78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78" t="n"/>
      <c r="D437" s="78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78" t="n"/>
      <c r="D438" s="78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78" t="n"/>
      <c r="D439" s="78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78" t="n"/>
      <c r="D440" s="78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78" t="n"/>
      <c r="D441" s="78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78" t="n"/>
      <c r="D442" s="78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78" t="n"/>
      <c r="D443" s="78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78" t="n"/>
      <c r="D444" s="78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78" t="n"/>
      <c r="D445" s="78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78" t="n"/>
      <c r="D446" s="78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78" t="n"/>
      <c r="D447" s="78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78" t="n"/>
      <c r="D448" s="78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78" t="n"/>
      <c r="D449" s="78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78" t="n"/>
      <c r="D450" s="78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78" t="n"/>
      <c r="D451" s="78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78" t="n"/>
      <c r="D452" s="78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78" t="n"/>
      <c r="D453" s="78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78" t="n"/>
      <c r="D454" s="78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78" t="n"/>
      <c r="D455" s="78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78" t="n"/>
      <c r="D456" s="78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78" t="n"/>
      <c r="D457" s="78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78" t="n"/>
      <c r="D458" s="78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78" t="n"/>
      <c r="D459" s="78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78" t="n"/>
      <c r="D460" s="78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78" t="n"/>
      <c r="D461" s="78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78" t="n"/>
      <c r="D462" s="78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78" t="n"/>
      <c r="D463" s="78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78" t="n"/>
      <c r="D464" s="78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78" t="n"/>
      <c r="D465" s="78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78" t="n"/>
      <c r="D466" s="78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78" t="n"/>
      <c r="D467" s="78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78" t="n"/>
      <c r="D468" s="78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78" t="n"/>
      <c r="D469" s="78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78" t="n"/>
      <c r="D470" s="78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78" t="n"/>
      <c r="D471" s="78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78" t="n"/>
      <c r="D472" s="78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78" t="n"/>
      <c r="D473" s="78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78" t="n"/>
      <c r="D474" s="78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78" t="n"/>
      <c r="D475" s="78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78" t="n"/>
      <c r="D476" s="78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78" t="n"/>
      <c r="D477" s="78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78" t="n"/>
      <c r="D478" s="78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78" t="n"/>
      <c r="D479" s="78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78" t="n"/>
      <c r="D480" s="78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78" t="n"/>
      <c r="D481" s="78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78" t="n"/>
      <c r="D482" s="78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78" t="n"/>
      <c r="D483" s="78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78" t="n"/>
      <c r="D484" s="78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78" t="n"/>
      <c r="D485" s="78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78" t="n"/>
      <c r="D486" s="78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78" t="n"/>
      <c r="D487" s="78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78" t="n"/>
      <c r="D488" s="78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78" t="n"/>
      <c r="D489" s="78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78" t="n"/>
      <c r="D490" s="78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78" t="n"/>
      <c r="D491" s="78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78" t="n"/>
      <c r="D492" s="78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78" t="n"/>
      <c r="D493" s="78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78" t="n"/>
      <c r="D494" s="78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78" t="n"/>
      <c r="D495" s="78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78" t="n"/>
      <c r="D496" s="78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78" t="n"/>
      <c r="D497" s="78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78" t="n"/>
      <c r="D498" s="78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78" t="n"/>
      <c r="D499" s="78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78" t="n"/>
      <c r="D500" s="78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78" t="n"/>
      <c r="D501" s="78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78" t="n"/>
      <c r="D502" s="78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78" t="n"/>
      <c r="D503" s="78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78" t="n"/>
      <c r="D504" s="78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78" t="n"/>
      <c r="D505" s="78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78" t="n"/>
      <c r="D506" s="78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78" t="n"/>
      <c r="D507" s="78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78" t="n"/>
      <c r="D508" s="78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78" t="n"/>
      <c r="D509" s="78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78" t="n"/>
      <c r="D510" s="78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78" t="n"/>
      <c r="D511" s="78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78" t="n"/>
      <c r="D512" s="78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78" t="n"/>
      <c r="D513" s="78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78" t="n"/>
      <c r="D514" s="78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78" t="n"/>
      <c r="D515" s="78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78" t="n"/>
      <c r="D516" s="78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78" t="n"/>
      <c r="D517" s="78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78" t="n"/>
      <c r="D518" s="78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78" t="n"/>
      <c r="D519" s="78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78" t="n"/>
      <c r="D520" s="78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78" t="n"/>
      <c r="D521" s="78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78" t="n"/>
      <c r="D522" s="78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78" t="n"/>
      <c r="D523" s="78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78" t="n"/>
      <c r="D524" s="78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78" t="n"/>
      <c r="D525" s="78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78" t="n"/>
      <c r="D526" s="78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78" t="n"/>
      <c r="D527" s="78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78" t="n"/>
      <c r="D528" s="78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78" t="n"/>
      <c r="D529" s="78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78" t="n"/>
      <c r="D530" s="78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78" t="n"/>
      <c r="D531" s="78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78" t="n"/>
      <c r="D532" s="78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78" t="n"/>
      <c r="D533" s="78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78" t="n"/>
      <c r="D534" s="78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78" t="n"/>
      <c r="D535" s="78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78" t="n"/>
      <c r="D536" s="78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78" t="n"/>
      <c r="D537" s="78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78" t="n"/>
      <c r="D538" s="78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78" t="n"/>
      <c r="D539" s="78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78" t="n"/>
      <c r="D540" s="78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78" t="n"/>
      <c r="D541" s="78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78" t="n"/>
      <c r="D542" s="78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78" t="n"/>
      <c r="D543" s="78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78" t="n"/>
      <c r="D544" s="78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78" t="n"/>
      <c r="D545" s="78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78" t="n"/>
      <c r="D546" s="78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78" t="n"/>
      <c r="D547" s="78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78" t="n"/>
      <c r="D548" s="78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78" t="n"/>
      <c r="D549" s="78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78" t="n"/>
      <c r="D550" s="78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78" t="n"/>
      <c r="D551" s="78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78" t="n"/>
      <c r="D552" s="78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78" t="n"/>
      <c r="D553" s="78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78" t="n"/>
      <c r="D554" s="78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78" t="n"/>
      <c r="D555" s="78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78" t="n"/>
      <c r="D556" s="78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78" t="n"/>
      <c r="D557" s="78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78" t="n"/>
      <c r="D558" s="78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78" t="n"/>
      <c r="D559" s="78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78" t="n"/>
      <c r="D560" s="78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78" t="n"/>
      <c r="D561" s="78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78" t="n"/>
      <c r="D562" s="78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78" t="n"/>
      <c r="D563" s="78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78" t="n"/>
      <c r="D564" s="78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78" t="n"/>
      <c r="D565" s="78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78" t="n"/>
      <c r="D566" s="78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78" t="n"/>
      <c r="D567" s="78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78" t="n"/>
      <c r="D568" s="78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78" t="n"/>
      <c r="D569" s="78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78" t="n"/>
      <c r="D570" s="78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78" t="n"/>
      <c r="D571" s="78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78" t="n"/>
      <c r="D572" s="78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78" t="n"/>
      <c r="D573" s="78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78" t="n"/>
      <c r="D574" s="78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78" t="n"/>
      <c r="D575" s="78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78" t="n"/>
      <c r="D576" s="78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78" t="n"/>
      <c r="D577" s="78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78" t="n"/>
      <c r="D578" s="78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78" t="n"/>
      <c r="D579" s="78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78" t="n"/>
      <c r="D580" s="78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78" t="n"/>
      <c r="D581" s="78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78" t="n"/>
      <c r="D582" s="78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78" t="n"/>
      <c r="D583" s="78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78" t="n"/>
      <c r="D584" s="78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78" t="n"/>
      <c r="D585" s="78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78" t="n"/>
      <c r="D586" s="78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78" t="n"/>
      <c r="D587" s="78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78" t="n"/>
      <c r="D588" s="78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78" t="n"/>
      <c r="D589" s="78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78" t="n"/>
      <c r="D590" s="78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78" t="n"/>
      <c r="D591" s="78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78" t="n"/>
      <c r="D592" s="78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78" t="n"/>
      <c r="D593" s="78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78" t="n"/>
      <c r="D594" s="78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78" t="n"/>
      <c r="D595" s="78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78" t="n"/>
      <c r="D596" s="78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78" t="n"/>
      <c r="D597" s="78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78" t="n"/>
      <c r="D598" s="78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78" t="n"/>
      <c r="D599" s="78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78" t="n"/>
      <c r="D600" s="78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78" t="n"/>
      <c r="D601" s="78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78" t="n"/>
      <c r="D602" s="78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78" t="n"/>
      <c r="D603" s="78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78" t="n"/>
      <c r="D604" s="78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78" t="n"/>
      <c r="D605" s="78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78" t="n"/>
      <c r="D606" s="78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78" t="n"/>
      <c r="D607" s="78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78" t="n"/>
      <c r="D608" s="78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78" t="n"/>
      <c r="D609" s="78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78" t="n"/>
      <c r="D610" s="78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78" t="n"/>
      <c r="D611" s="78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78" t="n"/>
      <c r="D612" s="78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78" t="n"/>
      <c r="D613" s="78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78" t="n"/>
      <c r="D614" s="78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78" t="n"/>
      <c r="D615" s="78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78" t="n"/>
      <c r="D616" s="78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78" t="n"/>
      <c r="D617" s="78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78" t="n"/>
      <c r="D618" s="78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78" t="n"/>
      <c r="D619" s="78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78" t="n"/>
      <c r="D620" s="78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78" t="n"/>
      <c r="D621" s="78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78" t="n"/>
      <c r="D622" s="78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78" t="n"/>
      <c r="D623" s="78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78" t="n"/>
      <c r="D624" s="78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78" t="n"/>
      <c r="D625" s="78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78" t="n"/>
      <c r="D626" s="78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78" t="n"/>
      <c r="D627" s="78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78" t="n"/>
      <c r="D628" s="78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78" t="n"/>
      <c r="D629" s="78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78" t="n"/>
      <c r="D630" s="78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78" t="n"/>
      <c r="D631" s="78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78" t="n"/>
      <c r="D632" s="78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78" t="n"/>
      <c r="D633" s="78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78" t="n"/>
      <c r="D634" s="78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78" t="n"/>
      <c r="D635" s="78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78" t="n"/>
      <c r="D636" s="78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78" t="n"/>
      <c r="D637" s="78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78" t="n"/>
      <c r="D638" s="78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78" t="n"/>
      <c r="D639" s="78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78" t="n"/>
      <c r="D640" s="78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78" t="n"/>
      <c r="D641" s="78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78" t="n"/>
      <c r="D642" s="78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78" t="n"/>
      <c r="D643" s="78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78" t="n"/>
      <c r="D644" s="78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78" t="n"/>
      <c r="D645" s="78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78" t="n"/>
      <c r="D646" s="78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78" t="n"/>
      <c r="D647" s="78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78" t="n"/>
      <c r="D648" s="78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78" t="n"/>
      <c r="D649" s="78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78" t="n"/>
      <c r="D650" s="78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78" t="n"/>
      <c r="D651" s="78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78" t="n"/>
      <c r="D652" s="78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78" t="n"/>
      <c r="D653" s="78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78" t="n"/>
      <c r="D654" s="78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78" t="n"/>
      <c r="D655" s="78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78" t="n"/>
      <c r="D656" s="78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78" t="n"/>
      <c r="D657" s="78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78" t="n"/>
      <c r="D658" s="78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78" t="n"/>
      <c r="D659" s="78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78" t="n"/>
      <c r="D660" s="78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78" t="n"/>
      <c r="D661" s="78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78" t="n"/>
      <c r="D662" s="78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78" t="n"/>
      <c r="D663" s="78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78" t="n"/>
      <c r="D664" s="78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78" t="n"/>
      <c r="D665" s="78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78" t="n"/>
      <c r="D666" s="78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78" t="n"/>
      <c r="D667" s="78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78" t="n"/>
      <c r="D668" s="78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78" t="n"/>
      <c r="D669" s="78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78" t="n"/>
      <c r="D670" s="78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78" t="n"/>
      <c r="D671" s="78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78" t="n"/>
      <c r="D672" s="78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78" t="n"/>
      <c r="D673" s="78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78" t="n"/>
      <c r="D674" s="78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78" t="n"/>
      <c r="D675" s="78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78" t="n"/>
      <c r="D676" s="78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78" t="n"/>
      <c r="D677" s="78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78" t="n"/>
      <c r="D678" s="78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78" t="n"/>
      <c r="D679" s="78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78" t="n"/>
      <c r="D680" s="78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78" t="n"/>
      <c r="D681" s="78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78" t="n"/>
      <c r="D682" s="78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78" t="n"/>
      <c r="D683" s="78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78" t="n"/>
      <c r="D684" s="78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78" t="n"/>
      <c r="D685" s="78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78" t="n"/>
      <c r="D686" s="78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78" t="n"/>
      <c r="D687" s="78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78" t="n"/>
      <c r="D688" s="78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78" t="n"/>
      <c r="D689" s="78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78" t="n"/>
      <c r="D690" s="78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78" t="n"/>
      <c r="D691" s="78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78" t="n"/>
      <c r="D692" s="78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78" t="n"/>
      <c r="D693" s="78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78" t="n"/>
      <c r="D694" s="78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78" t="n"/>
      <c r="D695" s="78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78" t="n"/>
      <c r="D696" s="78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78" t="n"/>
      <c r="D697" s="78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78" t="n"/>
      <c r="D698" s="78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78" t="n"/>
      <c r="D699" s="78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78" t="n"/>
      <c r="D700" s="78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78" t="n"/>
      <c r="D701" s="78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78" t="n"/>
      <c r="D702" s="78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78" t="n"/>
      <c r="D703" s="78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78" t="n"/>
      <c r="D704" s="78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78" t="n"/>
      <c r="D705" s="78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78" t="n"/>
      <c r="D706" s="78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78" t="n"/>
      <c r="D707" s="78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78" t="n"/>
      <c r="D708" s="78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78" t="n"/>
      <c r="D709" s="78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78" t="n"/>
      <c r="D710" s="78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78" t="n"/>
      <c r="D711" s="78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78" t="n"/>
      <c r="D712" s="78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78" t="n"/>
      <c r="D713" s="78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78" t="n"/>
      <c r="D714" s="78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78" t="n"/>
      <c r="D715" s="78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78" t="n"/>
      <c r="D716" s="78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78" t="n"/>
      <c r="D717" s="78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78" t="n"/>
      <c r="D718" s="78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78" t="n"/>
      <c r="D719" s="78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78" t="n"/>
      <c r="D720" s="78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78" t="n"/>
      <c r="D721" s="78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78" t="n"/>
      <c r="D722" s="78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78" t="n"/>
      <c r="D723" s="78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78" t="n"/>
      <c r="D724" s="78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78" t="n"/>
      <c r="D725" s="78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78" t="n"/>
      <c r="D726" s="78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78" t="n"/>
      <c r="D727" s="78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78" t="n"/>
      <c r="D728" s="78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78" t="n"/>
      <c r="D729" s="78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78" t="n"/>
      <c r="D730" s="78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78" t="n"/>
      <c r="D731" s="78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78" t="n"/>
      <c r="D732" s="78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78" t="n"/>
      <c r="D733" s="78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78" t="n"/>
      <c r="D734" s="78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78" t="n"/>
      <c r="D735" s="78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78" t="n"/>
      <c r="D736" s="78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78" t="n"/>
      <c r="D737" s="78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78" t="n"/>
      <c r="D738" s="78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78" t="n"/>
      <c r="D739" s="78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78" t="n"/>
      <c r="D740" s="78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78" t="n"/>
      <c r="D741" s="78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78" t="n"/>
      <c r="D742" s="78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78" t="n"/>
      <c r="D743" s="78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78" t="n"/>
      <c r="D744" s="78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78" t="n"/>
      <c r="D745" s="78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78" t="n"/>
      <c r="D746" s="78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78" t="n"/>
      <c r="D747" s="78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78" t="n"/>
      <c r="D748" s="78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78" t="n"/>
      <c r="D749" s="78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78" t="n"/>
      <c r="D750" s="78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78" t="n"/>
      <c r="D751" s="78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78" t="n"/>
      <c r="D752" s="78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78" t="n"/>
      <c r="D753" s="78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78" t="n"/>
      <c r="D754" s="78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78" t="n"/>
      <c r="D755" s="78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78" t="n"/>
      <c r="D756" s="78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78" t="n"/>
      <c r="D757" s="78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78" t="n"/>
      <c r="D758" s="78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78" t="n"/>
      <c r="D759" s="78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78" t="n"/>
      <c r="D760" s="78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78" t="n"/>
      <c r="D761" s="78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78" t="n"/>
      <c r="D762" s="78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78" t="n"/>
      <c r="D763" s="78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78" t="n"/>
      <c r="D764" s="78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78" t="n"/>
      <c r="D765" s="78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78" t="n"/>
      <c r="D766" s="78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78" t="n"/>
      <c r="D767" s="78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78" t="n"/>
      <c r="D768" s="78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78" t="n"/>
      <c r="D769" s="78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78" t="n"/>
      <c r="D770" s="78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78" t="n"/>
      <c r="D771" s="78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78" t="n"/>
      <c r="D772" s="78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78" t="n"/>
      <c r="D773" s="78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78" t="n"/>
      <c r="D774" s="78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78" t="n"/>
      <c r="D775" s="78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78" t="n"/>
      <c r="D776" s="78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78" t="n"/>
      <c r="D777" s="78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78" t="n"/>
      <c r="D778" s="78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78" t="n"/>
      <c r="D779" s="78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78" t="n"/>
      <c r="D780" s="78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78" t="n"/>
      <c r="D781" s="78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78" t="n"/>
      <c r="D782" s="78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78" t="n"/>
      <c r="D783" s="78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78" t="n"/>
      <c r="D784" s="78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78" t="n"/>
      <c r="D785" s="78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78" t="n"/>
      <c r="D786" s="78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78" t="n"/>
      <c r="D787" s="78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78" t="n"/>
      <c r="D788" s="78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78" t="n"/>
      <c r="D789" s="78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78" t="n"/>
      <c r="D790" s="78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78" t="n"/>
      <c r="D791" s="78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78" t="n"/>
      <c r="D792" s="78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78" t="n"/>
      <c r="D793" s="78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78" t="n"/>
      <c r="D794" s="78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78" t="n"/>
      <c r="D795" s="78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78" t="n"/>
      <c r="D796" s="78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78" t="n"/>
      <c r="D797" s="78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78" t="n"/>
      <c r="D798" s="78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78" t="n"/>
      <c r="D799" s="78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78" t="n"/>
      <c r="D800" s="78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78" t="n"/>
      <c r="D801" s="78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78" t="n"/>
      <c r="D802" s="78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78" t="n"/>
      <c r="D803" s="78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78" t="n"/>
      <c r="D804" s="78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78" t="n"/>
      <c r="D805" s="78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78" t="n"/>
      <c r="D806" s="78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78" t="n"/>
      <c r="D807" s="78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78" t="n"/>
      <c r="D808" s="78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78" t="n"/>
      <c r="D809" s="78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78" t="n"/>
      <c r="D810" s="78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78" t="n"/>
      <c r="D811" s="78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78" t="n"/>
      <c r="D812" s="78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78" t="n"/>
      <c r="D813" s="78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78" t="n"/>
      <c r="D814" s="78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78" t="n"/>
      <c r="D815" s="78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78" t="n"/>
      <c r="D816" s="78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78" t="n"/>
      <c r="D817" s="78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78" t="n"/>
      <c r="D818" s="78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78" t="n"/>
      <c r="D819" s="78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78" t="n"/>
      <c r="D820" s="78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78" t="n"/>
      <c r="D821" s="78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78" t="n"/>
      <c r="D822" s="78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78" t="n"/>
      <c r="D823" s="78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78" t="n"/>
      <c r="D824" s="78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78" t="n"/>
      <c r="D825" s="78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78" t="n"/>
      <c r="D826" s="78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78" t="n"/>
      <c r="D827" s="78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78" t="n"/>
      <c r="D828" s="78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78" t="n"/>
      <c r="D829" s="78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78" t="n"/>
      <c r="D830" s="78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78" t="n"/>
      <c r="D831" s="78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78" t="n"/>
      <c r="D832" s="78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78" t="n"/>
      <c r="D833" s="78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78" t="n"/>
      <c r="D834" s="78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78" t="n"/>
      <c r="D835" s="78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78" t="n"/>
      <c r="D836" s="78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78" t="n"/>
      <c r="D837" s="78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78" t="n"/>
      <c r="D838" s="78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78" t="n"/>
      <c r="D839" s="78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78" t="n"/>
      <c r="D840" s="78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78" t="n"/>
      <c r="D841" s="78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78" t="n"/>
      <c r="D842" s="78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78" t="n"/>
      <c r="D843" s="78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78" t="n"/>
      <c r="D844" s="78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78" t="n"/>
      <c r="D845" s="78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78" t="n"/>
      <c r="D846" s="78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78" t="n"/>
      <c r="D847" s="78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78" t="n"/>
      <c r="D848" s="78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78" t="n"/>
      <c r="D849" s="78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78" t="n"/>
      <c r="D850" s="78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78" t="n"/>
      <c r="D851" s="78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78" t="n"/>
      <c r="D852" s="78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78" t="n"/>
      <c r="D853" s="78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78" t="n"/>
      <c r="D854" s="78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78" t="n"/>
      <c r="D855" s="78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78" t="n"/>
      <c r="D856" s="78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78" t="n"/>
      <c r="D857" s="78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78" t="n"/>
      <c r="D858" s="78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78" t="n"/>
      <c r="D859" s="78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78" t="n"/>
      <c r="D860" s="78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78" t="n"/>
      <c r="D861" s="78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78" t="n"/>
      <c r="D862" s="78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78" t="n"/>
      <c r="D863" s="78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78" t="n"/>
      <c r="D864" s="78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78" t="n"/>
      <c r="D865" s="78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78" t="n"/>
      <c r="D866" s="78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78" t="n"/>
      <c r="D867" s="78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78" t="n"/>
      <c r="D868" s="78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78" t="n"/>
      <c r="D869" s="78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78" t="n"/>
      <c r="D870" s="78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78" t="n"/>
      <c r="D871" s="78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78" t="n"/>
      <c r="D872" s="78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78" t="n"/>
      <c r="D873" s="78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78" t="n"/>
      <c r="D874" s="78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78" t="n"/>
      <c r="D875" s="78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78" t="n"/>
      <c r="D876" s="78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78" t="n"/>
      <c r="D877" s="78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78" t="n"/>
      <c r="D878" s="78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78" t="n"/>
      <c r="D879" s="78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78" t="n"/>
      <c r="D880" s="78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78" t="n"/>
      <c r="D881" s="78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78" t="n"/>
      <c r="D882" s="78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78" t="n"/>
      <c r="D883" s="78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78" t="n"/>
      <c r="D884" s="78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78" t="n"/>
      <c r="D885" s="78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78" t="n"/>
      <c r="D886" s="78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78" t="n"/>
      <c r="D887" s="78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78" t="n"/>
      <c r="D888" s="78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78" t="n"/>
      <c r="D889" s="78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78" t="n"/>
      <c r="D890" s="78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78" t="n"/>
      <c r="D891" s="78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78" t="n"/>
      <c r="D892" s="78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78" t="n"/>
      <c r="D893" s="78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78" t="n"/>
      <c r="D894" s="78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78" t="n"/>
      <c r="D895" s="78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78" t="n"/>
      <c r="D896" s="78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78" t="n"/>
      <c r="D897" s="78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78" t="n"/>
      <c r="D898" s="78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78" t="n"/>
      <c r="D899" s="78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78" t="n"/>
      <c r="D900" s="78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78" t="n"/>
      <c r="D901" s="78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78" t="n"/>
      <c r="D902" s="78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78" t="n"/>
      <c r="D903" s="78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78" t="n"/>
      <c r="D904" s="78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78" t="n"/>
      <c r="D905" s="78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78" t="n"/>
      <c r="D906" s="78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78" t="n"/>
      <c r="D907" s="78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78" t="n"/>
      <c r="D908" s="78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78" t="n"/>
      <c r="D909" s="78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78" t="n"/>
      <c r="D910" s="78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78" t="n"/>
      <c r="D911" s="78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78" t="n"/>
      <c r="D912" s="78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78" t="n"/>
      <c r="D913" s="78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78" t="n"/>
      <c r="D914" s="78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78" t="n"/>
      <c r="D915" s="78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78" t="n"/>
      <c r="D916" s="78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78" t="n"/>
      <c r="D917" s="78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78" t="n"/>
      <c r="D918" s="78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78" t="n"/>
      <c r="D919" s="78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78" t="n"/>
      <c r="D920" s="78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78" t="n"/>
      <c r="D921" s="78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78" t="n"/>
      <c r="D922" s="78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78" t="n"/>
      <c r="D923" s="78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78" t="n"/>
      <c r="D924" s="78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78" t="n"/>
      <c r="D925" s="78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78" t="n"/>
      <c r="D926" s="78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78" t="n"/>
      <c r="D927" s="78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78" t="n"/>
      <c r="D928" s="78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78" t="n"/>
      <c r="D929" s="78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78" t="n"/>
      <c r="D930" s="78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78" t="n"/>
      <c r="D931" s="78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78" t="n"/>
      <c r="D932" s="78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78" t="n"/>
      <c r="D933" s="78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78" t="n"/>
      <c r="D934" s="78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78" t="n"/>
      <c r="D935" s="78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78" t="n"/>
      <c r="D936" s="78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78" t="n"/>
      <c r="D937" s="78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78" t="n"/>
      <c r="D938" s="78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78" t="n"/>
      <c r="D939" s="78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78" t="n"/>
      <c r="D940" s="78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78" t="n"/>
      <c r="D941" s="78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78" t="n"/>
      <c r="D942" s="78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78" t="n"/>
      <c r="D943" s="78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78" t="n"/>
      <c r="D944" s="78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78" t="n"/>
      <c r="D945" s="78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78" t="n"/>
      <c r="D946" s="78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78" t="n"/>
      <c r="D947" s="78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78" t="n"/>
      <c r="D948" s="78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78" t="n"/>
      <c r="D949" s="78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78" t="n"/>
      <c r="D950" s="78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78" t="n"/>
      <c r="D951" s="78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78" t="n"/>
      <c r="D952" s="78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78" t="n"/>
      <c r="D953" s="78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78" t="n"/>
      <c r="D954" s="78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78" t="n"/>
      <c r="D955" s="78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78" t="n"/>
      <c r="D956" s="78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78" t="n"/>
      <c r="D957" s="78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78" t="n"/>
      <c r="D958" s="78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78" t="n"/>
      <c r="D959" s="78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78" t="n"/>
      <c r="D960" s="78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78" t="n"/>
      <c r="D961" s="78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78" t="n"/>
      <c r="D962" s="78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78" t="n"/>
      <c r="D963" s="78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78" t="n"/>
      <c r="D964" s="78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78" t="n"/>
      <c r="D965" s="78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78" t="n"/>
      <c r="D966" s="78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78" t="n"/>
      <c r="D967" s="78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78" t="n"/>
      <c r="D968" s="78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78" t="n"/>
      <c r="D969" s="78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78" t="n"/>
      <c r="D970" s="78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78" t="n"/>
      <c r="D971" s="78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78" t="n"/>
      <c r="D972" s="78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78" t="n"/>
      <c r="D973" s="78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78" t="n"/>
      <c r="D974" s="78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78" t="n"/>
      <c r="D975" s="78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78" t="n"/>
      <c r="D976" s="78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78" t="n"/>
      <c r="D977" s="78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78" t="n"/>
      <c r="D978" s="78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78" t="n"/>
      <c r="D979" s="78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78" t="n"/>
      <c r="D980" s="78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78" t="n"/>
      <c r="D981" s="78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78" t="n"/>
      <c r="D982" s="78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78" t="n"/>
      <c r="D983" s="78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78" t="n"/>
      <c r="D984" s="78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78" t="n"/>
      <c r="D985" s="78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78" t="n"/>
      <c r="D986" s="78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78" t="n"/>
      <c r="D987" s="78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78" t="n"/>
      <c r="D988" s="78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78" t="n"/>
      <c r="D989" s="78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78" t="n"/>
      <c r="D990" s="78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78" t="n"/>
      <c r="D991" s="78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78" t="n"/>
      <c r="D992" s="78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78" t="n"/>
      <c r="D993" s="78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78" t="n"/>
      <c r="D994" s="78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78" t="n"/>
      <c r="D995" s="78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78" t="n"/>
      <c r="D996" s="78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78" t="n"/>
      <c r="D997" s="78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78" t="n"/>
      <c r="D998" s="78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78" t="n"/>
      <c r="D999" s="78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78" t="n"/>
      <c r="D1000" s="78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78" t="n"/>
      <c r="D1001" s="78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78" t="n"/>
      <c r="D1002" s="78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78" t="n"/>
      <c r="D1003" s="78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78" t="n"/>
      <c r="D1004" s="78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78" t="n"/>
      <c r="D1005" s="78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78" t="n"/>
      <c r="D1006" s="78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78" t="n"/>
      <c r="D1007" s="78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78" t="n"/>
      <c r="D1008" s="78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78" t="n"/>
      <c r="D1009" s="78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78" t="n"/>
      <c r="D1010" s="78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78" t="n"/>
      <c r="D1011" s="78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78" t="n"/>
      <c r="D1012" s="78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78" t="n"/>
      <c r="D1013" s="78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78" t="n"/>
      <c r="D1014" s="78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78" t="n"/>
      <c r="D1015" s="78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78" t="n"/>
      <c r="D1016" s="78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78" t="n"/>
      <c r="D1017" s="78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78" t="n"/>
      <c r="D1018" s="78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78" t="n"/>
      <c r="D1019" s="78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78" t="n"/>
      <c r="D1020" s="78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78" t="n"/>
      <c r="D1021" s="78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78" t="n"/>
      <c r="D1022" s="78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78" t="n"/>
      <c r="D1023" s="78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78" t="n"/>
      <c r="D1024" s="78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78" t="n"/>
      <c r="D1025" s="78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78" t="n"/>
      <c r="D1026" s="78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78" t="n"/>
      <c r="D1027" s="78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78" t="n"/>
      <c r="D1028" s="78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78" t="n"/>
      <c r="D1029" s="78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78" t="n"/>
      <c r="D1030" s="78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78" t="n"/>
      <c r="D1031" s="78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78" t="n"/>
      <c r="D1032" s="78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78" t="n"/>
      <c r="D1033" s="78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78" t="n"/>
      <c r="D1034" s="78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78" t="n"/>
      <c r="D1035" s="78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78" t="n"/>
      <c r="D1036" s="78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78" t="n"/>
      <c r="D1037" s="78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78" t="n"/>
      <c r="D1038" s="78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78" t="n"/>
      <c r="D1039" s="78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78" t="n"/>
      <c r="D1040" s="78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78" t="n"/>
      <c r="D1041" s="78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78" t="n"/>
      <c r="D1042" s="78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78" t="n"/>
      <c r="D1043" s="78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78" t="n"/>
      <c r="D1044" s="78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78" t="n"/>
      <c r="D1045" s="78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78" t="n"/>
      <c r="D1046" s="78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78" t="n"/>
      <c r="D1047" s="78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78" t="n"/>
      <c r="D1048" s="78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78" t="n"/>
      <c r="D1049" s="78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78" t="n"/>
      <c r="D1050" s="78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78" t="n"/>
      <c r="D1051" s="78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78" t="n"/>
      <c r="D1052" s="78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78" t="n"/>
      <c r="D1053" s="78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78" t="n"/>
      <c r="D1054" s="78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78" t="n"/>
      <c r="D1055" s="78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78" t="n"/>
      <c r="D1056" s="78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78" t="n"/>
      <c r="D1057" s="78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78" t="n"/>
      <c r="D1058" s="78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78" t="n"/>
      <c r="D1059" s="78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78" t="n"/>
      <c r="D1060" s="78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78" t="n"/>
      <c r="D1061" s="78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78" t="n"/>
      <c r="D1062" s="78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78" t="n"/>
      <c r="D1063" s="78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78" t="n"/>
      <c r="D1064" s="78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78" t="n"/>
      <c r="D1065" s="78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78" t="n"/>
      <c r="D1066" s="78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78" t="n"/>
      <c r="D1067" s="78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78" t="n"/>
      <c r="D1068" s="78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78" t="n"/>
      <c r="D1069" s="78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78" t="n"/>
      <c r="D1070" s="78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78" t="n"/>
      <c r="D1071" s="78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78" t="n"/>
      <c r="D1072" s="78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78" t="n"/>
      <c r="D1073" s="78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78" t="n"/>
      <c r="D1074" s="78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78" t="n"/>
      <c r="D1075" s="78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78" t="n"/>
      <c r="D1076" s="78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78" t="n"/>
      <c r="D1077" s="78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78" t="n"/>
      <c r="D1078" s="78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78" t="n"/>
      <c r="D1079" s="78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78" t="n"/>
      <c r="D1080" s="78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78" t="n"/>
      <c r="D1081" s="78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78" t="n"/>
      <c r="D1082" s="78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78" t="n"/>
      <c r="D1083" s="78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78" t="n"/>
      <c r="D1084" s="78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78" t="n"/>
      <c r="D1085" s="78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78" t="n"/>
      <c r="D1086" s="78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78" t="n"/>
      <c r="D1087" s="78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78" t="n"/>
      <c r="D1088" s="78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78" t="n"/>
      <c r="D1089" s="78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78" t="n"/>
      <c r="D1090" s="78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78" t="n"/>
      <c r="D1091" s="78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78" t="n"/>
      <c r="D1092" s="78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78" t="n"/>
      <c r="D1093" s="78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78" t="n"/>
      <c r="D1094" s="78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78" t="n"/>
      <c r="D1095" s="78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78" t="n"/>
      <c r="D1096" s="78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78" t="n"/>
      <c r="D1097" s="78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78" t="n"/>
      <c r="D1098" s="78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78" t="n"/>
      <c r="D1099" s="78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78" t="n"/>
      <c r="D1100" s="78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78" t="n"/>
      <c r="D1101" s="78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78" t="n"/>
      <c r="D1102" s="78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78" t="n"/>
      <c r="D1103" s="78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78" t="n"/>
      <c r="D1104" s="78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78" t="n"/>
      <c r="D1105" s="78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78" t="n"/>
      <c r="D1106" s="78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78" t="n"/>
      <c r="D1107" s="78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78" t="n"/>
      <c r="D1108" s="78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78" t="n"/>
      <c r="D1109" s="78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78" t="n"/>
      <c r="D1110" s="78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78" t="n"/>
      <c r="D1111" s="78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78" t="n"/>
      <c r="D1112" s="78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78" t="n"/>
      <c r="D1113" s="78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78" t="n"/>
      <c r="D1114" s="78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78" t="n"/>
      <c r="D1115" s="78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78" t="n"/>
      <c r="D1116" s="78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78" t="n"/>
      <c r="D1117" s="78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78" t="n"/>
      <c r="D1118" s="78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78" t="n"/>
      <c r="D1119" s="78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78" t="n"/>
      <c r="D1120" s="78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78" t="n"/>
      <c r="D1121" s="78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78" t="n"/>
      <c r="D1122" s="78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78" t="n"/>
      <c r="D1123" s="78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78" t="n"/>
      <c r="D1124" s="78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78" t="n"/>
      <c r="D1125" s="78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78" t="n"/>
      <c r="D1126" s="78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78" t="n"/>
      <c r="D1127" s="78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78" t="n"/>
      <c r="D1128" s="78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78" t="n"/>
      <c r="D1129" s="78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78" t="n"/>
      <c r="D1130" s="78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78" t="n"/>
      <c r="D1131" s="78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78" t="n"/>
      <c r="D1132" s="78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78" t="n"/>
      <c r="D1133" s="78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78" t="n"/>
      <c r="D1134" s="78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78" t="n"/>
      <c r="D1135" s="78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78" t="n"/>
      <c r="D1136" s="78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78" t="n"/>
      <c r="D1137" s="78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78" t="n"/>
      <c r="D1138" s="78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78" t="n"/>
      <c r="D1139" s="78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78" t="n"/>
      <c r="D1140" s="78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78" t="n"/>
      <c r="D1141" s="78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78" t="n"/>
      <c r="D1142" s="78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78" t="n"/>
      <c r="D1143" s="78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78" t="n"/>
      <c r="D1144" s="78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78" t="n"/>
      <c r="D1145" s="78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78" t="n"/>
      <c r="D1146" s="78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78" t="n"/>
      <c r="D1147" s="78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78" t="n"/>
      <c r="D1148" s="78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78" t="n"/>
      <c r="D1149" s="78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78" t="n"/>
      <c r="D1150" s="78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78" t="n"/>
      <c r="D1151" s="78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78" t="n"/>
      <c r="D1152" s="78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78" t="n"/>
      <c r="D1153" s="78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78" t="n"/>
      <c r="D1154" s="78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78" t="n"/>
      <c r="D1155" s="78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78" t="n"/>
      <c r="D1156" s="78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78" t="n"/>
      <c r="D1157" s="78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78" t="n"/>
      <c r="D1158" s="78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78" t="n"/>
      <c r="D1159" s="78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78" t="n"/>
      <c r="D1160" s="78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78" t="n"/>
      <c r="D1161" s="78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78" t="n"/>
      <c r="D1162" s="78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78" t="n"/>
      <c r="D1163" s="78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78" t="n"/>
      <c r="D1164" s="78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78" t="n"/>
      <c r="D1165" s="78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78" t="n"/>
      <c r="D1166" s="78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78" t="n"/>
      <c r="D1167" s="78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78" t="n"/>
      <c r="D1168" s="78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78" t="n"/>
      <c r="D1169" s="78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78" t="n"/>
      <c r="D1170" s="78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78" t="n"/>
      <c r="D1171" s="78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78" t="n"/>
      <c r="D1172" s="78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78" t="n"/>
      <c r="D1173" s="78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78" t="n"/>
      <c r="D1174" s="78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78" t="n"/>
      <c r="D1175" s="78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78" t="n"/>
      <c r="D1176" s="78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78" t="n"/>
      <c r="D1177" s="78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78" t="n"/>
      <c r="D1178" s="78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78" t="n"/>
      <c r="D1179" s="78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78" t="n"/>
      <c r="D1180" s="78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78" t="n"/>
      <c r="D1181" s="78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78" t="n"/>
      <c r="D1182" s="78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78" t="n"/>
      <c r="D1183" s="78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78" t="n"/>
      <c r="D1184" s="78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78" t="n"/>
      <c r="D1185" s="78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78" t="n"/>
      <c r="D1186" s="78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78" t="n"/>
      <c r="D1187" s="78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78" t="n"/>
      <c r="D1188" s="78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78" t="n"/>
      <c r="D1189" s="78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78" t="n"/>
      <c r="D1190" s="78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78" t="n"/>
      <c r="D1191" s="78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78" t="n"/>
      <c r="D1192" s="78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78" t="n"/>
      <c r="D1193" s="78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78" t="n"/>
      <c r="D1194" s="78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78" t="n"/>
      <c r="D1195" s="78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78" t="n"/>
      <c r="D1196" s="78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78" t="n"/>
      <c r="D1197" s="78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78" t="n"/>
      <c r="D1198" s="78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78" t="n"/>
      <c r="D1199" s="78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78" t="n"/>
      <c r="D1200" s="78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78" t="n"/>
      <c r="D1201" s="78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78" t="n"/>
      <c r="D1202" s="78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78" t="n"/>
      <c r="D1203" s="78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78" t="n"/>
      <c r="D1204" s="78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78" t="n"/>
      <c r="D1205" s="78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78" t="n"/>
      <c r="D1206" s="78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78" t="n"/>
      <c r="D1207" s="78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78" t="n"/>
      <c r="D1208" s="78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78" t="n"/>
      <c r="D1209" s="78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78" t="n"/>
      <c r="D1210" s="78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78" t="n"/>
      <c r="D1211" s="78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78" t="n"/>
      <c r="D1212" s="78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78" t="n"/>
      <c r="D1213" s="78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78" t="n"/>
      <c r="D1214" s="78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78" t="n"/>
      <c r="D1215" s="78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78" t="n"/>
      <c r="D1216" s="78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78" t="n"/>
      <c r="D1217" s="78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78" t="n"/>
      <c r="D1218" s="78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78" t="n"/>
      <c r="D1219" s="78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78" t="n"/>
      <c r="D1220" s="78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78" t="n"/>
      <c r="D1221" s="78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78" t="n"/>
      <c r="D1222" s="78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78" t="n"/>
      <c r="D1223" s="78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78" t="n"/>
      <c r="D1224" s="78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78" t="n"/>
      <c r="D1225" s="78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78" t="n"/>
      <c r="D1226" s="78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78" t="n"/>
      <c r="D1227" s="78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78" t="n"/>
      <c r="D1228" s="78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78" t="n"/>
      <c r="D1229" s="78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78" t="n"/>
      <c r="D1230" s="78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78" t="n"/>
      <c r="D1231" s="78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78" t="n"/>
      <c r="D1232" s="78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78" t="n"/>
      <c r="D1233" s="78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78" t="n"/>
      <c r="D1234" s="78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78" t="n"/>
      <c r="D1235" s="78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78" t="n"/>
      <c r="D1236" s="78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78" t="n"/>
      <c r="D1237" s="78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78" t="n"/>
      <c r="D1238" s="78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78" t="n"/>
      <c r="D1239" s="78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78" t="n"/>
      <c r="D1240" s="78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78" t="n"/>
      <c r="D1241" s="78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78" t="n"/>
      <c r="D1242" s="78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78" t="n"/>
      <c r="D1243" s="78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78" t="n"/>
      <c r="D1244" s="78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78" t="n"/>
      <c r="D1245" s="78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78" t="n"/>
      <c r="D1246" s="78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78" t="n"/>
      <c r="D1247" s="78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78" t="n"/>
      <c r="D1248" s="78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78" t="n"/>
      <c r="D1249" s="78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78" t="n"/>
      <c r="D1250" s="78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78" t="n"/>
      <c r="D1251" s="78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78" t="n"/>
      <c r="D1252" s="78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78" t="n"/>
      <c r="D1253" s="78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78" t="n"/>
      <c r="D1254" s="78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78" t="n"/>
      <c r="D1255" s="78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78" t="n"/>
      <c r="D1256" s="78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78" t="n"/>
      <c r="D1257" s="78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78" t="n"/>
      <c r="D1258" s="78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78" t="n"/>
      <c r="D1259" s="78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78" t="n"/>
      <c r="D1260" s="78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78" t="n"/>
      <c r="D1261" s="78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78" t="n"/>
      <c r="D1262" s="78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78" t="n"/>
      <c r="D1263" s="78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78" t="n"/>
      <c r="D1264" s="78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78" t="n"/>
      <c r="D1265" s="78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78" t="n"/>
      <c r="D1266" s="78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78" t="n"/>
      <c r="D1267" s="78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78" t="n"/>
      <c r="D1268" s="78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78" t="n"/>
      <c r="D1269" s="78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78" t="n"/>
      <c r="D1270" s="78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78" t="n"/>
      <c r="D1271" s="78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78" t="n"/>
      <c r="D1272" s="78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78" t="n"/>
      <c r="D1273" s="78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78" t="n"/>
      <c r="D1274" s="78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78" t="n"/>
      <c r="D1275" s="78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78" t="n"/>
      <c r="D1276" s="78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78" t="n"/>
      <c r="D1277" s="78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78" t="n"/>
      <c r="D1278" s="78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78" t="n"/>
      <c r="D1279" s="78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78" t="n"/>
      <c r="D1280" s="78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78" t="n"/>
      <c r="D1281" s="78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78" t="n"/>
      <c r="D1282" s="78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78" t="n"/>
      <c r="D1283" s="78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78" t="n"/>
      <c r="D1284" s="78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78" t="n"/>
      <c r="D1285" s="78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78" t="n"/>
      <c r="D1286" s="78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78" t="n"/>
      <c r="D1287" s="78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78" t="n"/>
      <c r="D1288" s="78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78" t="n"/>
      <c r="D1289" s="78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78" t="n"/>
      <c r="D1290" s="78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78" t="n"/>
      <c r="D1291" s="78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78" t="n"/>
      <c r="D1292" s="78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78" t="n"/>
      <c r="D1293" s="78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78" t="n"/>
      <c r="D1294" s="78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78" t="n"/>
      <c r="D1295" s="78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78" t="n"/>
      <c r="D1296" s="78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78" t="n"/>
      <c r="D1297" s="78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78" t="n"/>
      <c r="D1298" s="78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78" t="n"/>
      <c r="D1299" s="78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78" t="n"/>
      <c r="D1300" s="78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78" t="n"/>
      <c r="D1301" s="78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78" t="n"/>
      <c r="D1302" s="78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78" t="n"/>
      <c r="D1303" s="78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78" t="n"/>
      <c r="D1304" s="78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78" t="n"/>
      <c r="D1305" s="78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78" t="n"/>
      <c r="D1306" s="78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78" t="n"/>
      <c r="D1307" s="78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78" t="n"/>
      <c r="D1308" s="78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78" t="n"/>
      <c r="D1309" s="78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78" t="n"/>
      <c r="D1310" s="78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78" t="n"/>
      <c r="D1311" s="78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78" t="n"/>
      <c r="D1312" s="78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78" t="n"/>
      <c r="D1313" s="78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78" t="n"/>
      <c r="D1314" s="78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78" t="n"/>
      <c r="D1315" s="78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78" t="n"/>
      <c r="D1316" s="78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78" t="n"/>
      <c r="D1317" s="78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78" t="n"/>
      <c r="D1318" s="78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78" t="n"/>
      <c r="D1319" s="78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78" t="n"/>
      <c r="D1320" s="78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78" t="n"/>
      <c r="D1321" s="78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78" t="n"/>
      <c r="D1322" s="78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78" t="n"/>
      <c r="D1323" s="78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78" t="n"/>
      <c r="D1324" s="78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78" t="n"/>
      <c r="D1325" s="78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78" t="n"/>
      <c r="D1326" s="78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78" t="n"/>
      <c r="D1327" s="78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78" t="n"/>
      <c r="D1328" s="78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78" t="n"/>
      <c r="D1329" s="78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78" t="n"/>
      <c r="D1330" s="78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78" t="n"/>
      <c r="D1331" s="78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78" t="n"/>
      <c r="D1332" s="78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78" t="n"/>
      <c r="D1333" s="78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78" t="n"/>
      <c r="D1334" s="78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78" t="n"/>
      <c r="D1335" s="78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78" t="n"/>
      <c r="D1336" s="78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78" t="n"/>
      <c r="D1337" s="78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78" t="n"/>
      <c r="D1338" s="78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78" t="n"/>
      <c r="D1339" s="78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78" t="n"/>
      <c r="D1340" s="78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78" t="n"/>
      <c r="D1341" s="78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78" t="n"/>
      <c r="D1342" s="78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78" t="n"/>
      <c r="D1343" s="78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78" t="n"/>
      <c r="D1344" s="78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78" t="n"/>
      <c r="D1345" s="78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78" t="n"/>
      <c r="D1346" s="78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78" t="n"/>
      <c r="D1347" s="78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78" t="n"/>
      <c r="D1348" s="78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78" t="n"/>
      <c r="D1349" s="78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78" t="n"/>
      <c r="D1350" s="78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78" t="n"/>
      <c r="D1351" s="78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78" t="n"/>
      <c r="D1352" s="78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78" t="n"/>
      <c r="D1353" s="78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78" t="n"/>
      <c r="D1354" s="78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78" t="n"/>
      <c r="D1355" s="78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78" t="n"/>
      <c r="D1356" s="78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78" t="n"/>
      <c r="D1357" s="78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78" t="n"/>
      <c r="D1358" s="78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78" t="n"/>
      <c r="D1359" s="78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78" t="n"/>
      <c r="D1360" s="78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78" t="n"/>
      <c r="D1361" s="78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78" t="n"/>
      <c r="D1362" s="78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78" t="n"/>
      <c r="D1363" s="78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78" t="n"/>
      <c r="D1364" s="78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78" t="n"/>
      <c r="D1365" s="78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78" t="n"/>
      <c r="D1366" s="78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78" t="n"/>
      <c r="D1367" s="78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78" t="n"/>
      <c r="D1368" s="78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78" t="n"/>
      <c r="D1369" s="78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78" t="n"/>
      <c r="D1370" s="78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78" t="n"/>
      <c r="D1371" s="78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78" t="n"/>
      <c r="D1372" s="78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78" t="n"/>
      <c r="D1373" s="78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78" t="n"/>
      <c r="D1374" s="78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78" t="n"/>
      <c r="D1375" s="78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78" t="n"/>
      <c r="D1376" s="78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78" t="n"/>
      <c r="D1377" s="78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78" t="n"/>
      <c r="D1378" s="78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78" t="n"/>
      <c r="D1379" s="78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78" t="n"/>
      <c r="D1380" s="78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78" t="n"/>
      <c r="D1381" s="78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78" t="n"/>
      <c r="D1382" s="78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78" t="n"/>
      <c r="D1383" s="78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78" t="n"/>
      <c r="D1384" s="78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78" t="n"/>
      <c r="D1385" s="78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78" t="n"/>
      <c r="D1386" s="78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78" t="n"/>
      <c r="D1387" s="78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78" t="n"/>
      <c r="D1388" s="78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78" t="n"/>
      <c r="D1389" s="78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78" t="n"/>
      <c r="D1390" s="78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78" t="n"/>
      <c r="D1391" s="78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78" t="n"/>
      <c r="D1392" s="78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78" t="n"/>
      <c r="D1393" s="78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78" t="n"/>
      <c r="D1394" s="78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78" t="n"/>
      <c r="D1395" s="78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78" t="n"/>
      <c r="D1396" s="78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78" t="n"/>
      <c r="D1397" s="78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78" t="n"/>
      <c r="D1398" s="78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78" t="n"/>
      <c r="D1399" s="78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78" t="n"/>
      <c r="D1400" s="78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78" t="n"/>
      <c r="D1401" s="78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78" t="n"/>
      <c r="D1402" s="78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78" t="n"/>
      <c r="D1403" s="78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78" t="n"/>
      <c r="D1404" s="78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78" t="n"/>
      <c r="D1405" s="78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78" t="n"/>
      <c r="D1406" s="78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78" t="n"/>
      <c r="D1407" s="78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78" t="n"/>
      <c r="D1408" s="78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78" t="n"/>
      <c r="D1409" s="78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78" t="n"/>
      <c r="D1410" s="78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78" t="n"/>
      <c r="D1411" s="78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78" t="n"/>
      <c r="D1412" s="78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78" t="n"/>
      <c r="D1413" s="78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78" t="n"/>
      <c r="D1414" s="78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78" t="n"/>
      <c r="D1415" s="78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78" t="n"/>
      <c r="D1416" s="78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78" t="n"/>
      <c r="D1417" s="78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78" t="n"/>
      <c r="D1418" s="78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78" t="n"/>
      <c r="D1419" s="78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78" t="n"/>
      <c r="D1420" s="78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78" t="n"/>
      <c r="D1421" s="78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78" t="n"/>
      <c r="D1422" s="78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78" t="n"/>
      <c r="D1423" s="78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78" t="n"/>
      <c r="D1424" s="78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78" t="n"/>
      <c r="D1425" s="78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78" t="n"/>
      <c r="D1426" s="78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78" t="n"/>
      <c r="D1427" s="78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78" t="n"/>
      <c r="D1428" s="78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78" t="n"/>
      <c r="D1429" s="78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78" t="n"/>
      <c r="D1430" s="78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78" t="n"/>
      <c r="D1431" s="78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78" t="n"/>
      <c r="D1432" s="78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78" t="n"/>
      <c r="D1433" s="78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78" t="n"/>
      <c r="D1434" s="78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78" t="n"/>
      <c r="D1435" s="78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78" t="n"/>
      <c r="D1436" s="78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78" t="n"/>
      <c r="D1437" s="78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78" t="n"/>
      <c r="D1438" s="78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78" t="n"/>
      <c r="D1439" s="78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78" t="n"/>
      <c r="D1440" s="78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78" t="n"/>
      <c r="D1441" s="78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78" t="n"/>
      <c r="D1442" s="78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78" t="n"/>
      <c r="D1443" s="78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78" t="n"/>
      <c r="D1444" s="78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78" t="n"/>
      <c r="D1445" s="78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78" t="n"/>
      <c r="D1446" s="78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78" t="n"/>
      <c r="D1447" s="78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78" t="n"/>
      <c r="D1448" s="78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78" t="n"/>
      <c r="D1449" s="78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78" t="n"/>
      <c r="D1450" s="78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78" t="n"/>
      <c r="D1451" s="78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78" t="n"/>
      <c r="D1452" s="78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78" t="n"/>
      <c r="D1453" s="78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78" t="n"/>
      <c r="D1454" s="78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78" t="n"/>
      <c r="D1455" s="78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78" t="n"/>
      <c r="D1456" s="78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78" t="n"/>
      <c r="D1457" s="78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78" t="n"/>
      <c r="D1458" s="78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78" t="n"/>
      <c r="D1459" s="78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78" t="n"/>
      <c r="D1460" s="78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78" t="n"/>
      <c r="D1461" s="78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78" t="n"/>
      <c r="D1462" s="78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78" t="n"/>
      <c r="D1463" s="78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78" t="n"/>
      <c r="D1464" s="78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78" t="n"/>
      <c r="D1465" s="78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78" t="n"/>
      <c r="D1466" s="78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78" t="n"/>
      <c r="D1467" s="78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78" t="n"/>
      <c r="D1468" s="78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78" t="n"/>
      <c r="D1469" s="78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78" t="n"/>
      <c r="D1470" s="78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78" t="n"/>
      <c r="D1471" s="78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78" t="n"/>
      <c r="D1472" s="78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78" t="n"/>
      <c r="D1473" s="78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78" t="n"/>
      <c r="D1474" s="78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78" t="n"/>
      <c r="D1475" s="78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78" t="n"/>
      <c r="D1476" s="78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78" t="n"/>
      <c r="D1477" s="78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78" t="n"/>
      <c r="D1478" s="78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78" t="n"/>
      <c r="D1479" s="78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78" t="n"/>
      <c r="D1480" s="78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78" t="n"/>
      <c r="D1481" s="78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78" t="n"/>
      <c r="D1482" s="78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78" t="n"/>
      <c r="D1483" s="78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78" t="n"/>
      <c r="D1484" s="78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78" t="n"/>
      <c r="D1485" s="78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78" t="n"/>
      <c r="D1486" s="78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78" t="n"/>
      <c r="D1487" s="78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78" t="n"/>
      <c r="D1488" s="78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78" t="n"/>
      <c r="D1489" s="78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78" t="n"/>
      <c r="D1490" s="78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78" t="n"/>
      <c r="D1491" s="78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78" t="n"/>
      <c r="D1492" s="78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78" t="n"/>
      <c r="D1493" s="78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78" t="n"/>
      <c r="D1494" s="78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78" t="n"/>
      <c r="D1495" s="78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78" t="n"/>
      <c r="D1496" s="78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78" t="n"/>
      <c r="D1497" s="78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78" t="n"/>
      <c r="D1498" s="78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78" t="n"/>
      <c r="D1499" s="78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78" t="n"/>
      <c r="D1500" s="78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78" t="n"/>
      <c r="D1501" s="78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78" t="n"/>
      <c r="D1502" s="78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78" t="n"/>
      <c r="D1503" s="78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78" t="n"/>
      <c r="D1504" s="78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78" t="n"/>
      <c r="D1505" s="78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78" t="n"/>
      <c r="D1506" s="78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78" t="n"/>
      <c r="D1507" s="78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78" t="n"/>
      <c r="D1508" s="78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78" t="n"/>
      <c r="D1509" s="78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78" t="n"/>
      <c r="D1510" s="78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78" t="n"/>
      <c r="D1511" s="78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78" t="n"/>
      <c r="D1512" s="78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78" t="n"/>
      <c r="D1513" s="78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78" t="n"/>
      <c r="D1514" s="78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78" t="n"/>
      <c r="D1515" s="78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78" t="n"/>
      <c r="D1516" s="78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78" t="n"/>
      <c r="D1517" s="78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78" t="n"/>
      <c r="D1518" s="78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78" t="n"/>
      <c r="D1519" s="78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78" t="n"/>
      <c r="D1520" s="78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78" t="n"/>
      <c r="D1521" s="78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78" t="n"/>
      <c r="D1522" s="78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78" t="n"/>
      <c r="D1523" s="78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78" t="n"/>
      <c r="D1524" s="78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78" t="n"/>
      <c r="D1525" s="78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78" t="n"/>
      <c r="D1526" s="78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78" t="n"/>
      <c r="D1527" s="78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78" t="n"/>
      <c r="D1528" s="78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78" t="n"/>
      <c r="D1529" s="78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78" t="n"/>
      <c r="D1530" s="78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78" t="n"/>
      <c r="D1531" s="78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78" t="n"/>
      <c r="D1532" s="78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78" t="n"/>
      <c r="D1533" s="78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78" t="n"/>
      <c r="D1534" s="78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78" t="n"/>
      <c r="D1535" s="78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78" t="n"/>
      <c r="D1536" s="78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78" t="n"/>
      <c r="D1537" s="78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78" t="n"/>
      <c r="D1538" s="78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78" t="n"/>
      <c r="D1539" s="78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78" t="n"/>
      <c r="D1540" s="78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78" t="n"/>
      <c r="D1541" s="78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78" t="n"/>
      <c r="D1542" s="78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78" t="n"/>
      <c r="D1543" s="78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78" t="n"/>
      <c r="D1544" s="78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78" t="n"/>
      <c r="D1545" s="78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78" t="n"/>
      <c r="D1546" s="78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78" t="n"/>
      <c r="D1547" s="78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78" t="n"/>
      <c r="D1548" s="78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78" t="n"/>
      <c r="D1549" s="78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78" t="n"/>
      <c r="D1550" s="78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78" t="n"/>
      <c r="D1551" s="78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78" t="n"/>
      <c r="D1552" s="78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78" t="n"/>
      <c r="D1553" s="78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78" t="n"/>
      <c r="D1554" s="78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78" t="n"/>
      <c r="D1555" s="78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78" t="n"/>
      <c r="D1556" s="78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78" t="n"/>
      <c r="D1557" s="78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78" t="n"/>
      <c r="D1558" s="78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78" t="n"/>
      <c r="D1559" s="78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78" t="n"/>
      <c r="D1560" s="78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78" t="n"/>
      <c r="D1561" s="78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78" t="n"/>
      <c r="D1562" s="78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78" t="n"/>
      <c r="D1563" s="78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78" t="n"/>
      <c r="D1564" s="78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78" t="n"/>
      <c r="D1565" s="78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78" t="n"/>
      <c r="D1566" s="78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78" t="n"/>
      <c r="D1567" s="78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78" t="n"/>
      <c r="D1568" s="78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78" t="n"/>
      <c r="D1569" s="78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78" t="n"/>
      <c r="D1570" s="78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78" t="n"/>
      <c r="D1571" s="78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78" t="n"/>
      <c r="D1572" s="78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78" t="n"/>
      <c r="D1573" s="78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78" t="n"/>
      <c r="D1574" s="78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78" t="n"/>
      <c r="D1575" s="78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78" t="n"/>
      <c r="D1576" s="78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78" t="n"/>
      <c r="D1577" s="78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78" t="n"/>
      <c r="D1578" s="78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78" t="n"/>
      <c r="D1579" s="78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78" t="n"/>
      <c r="D1580" s="78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78" t="n"/>
      <c r="D1581" s="78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78" t="n"/>
      <c r="D1582" s="78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78" t="n"/>
      <c r="D1583" s="78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78" t="n"/>
      <c r="D1584" s="78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78" t="n"/>
      <c r="D1585" s="78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78" t="n"/>
      <c r="D1586" s="78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78" t="n"/>
      <c r="D1587" s="78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78" t="n"/>
      <c r="D1588" s="78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78" t="n"/>
      <c r="D1589" s="78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78" t="n"/>
      <c r="D1590" s="78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78" t="n"/>
      <c r="D1591" s="78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78" t="n"/>
      <c r="D1592" s="78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78" t="n"/>
      <c r="D1593" s="78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78" t="n"/>
      <c r="D1594" s="78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78" t="n"/>
      <c r="D1595" s="78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78" t="n"/>
      <c r="D1596" s="78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78" t="n"/>
      <c r="D1597" s="78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78" t="n"/>
      <c r="D1598" s="78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78" t="n"/>
      <c r="D1599" s="78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78" t="n"/>
      <c r="D1600" s="78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78" t="n"/>
      <c r="D1601" s="78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78" t="n"/>
      <c r="D1602" s="78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78" t="n"/>
      <c r="D1603" s="78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78" t="n"/>
      <c r="D1604" s="78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78" t="n"/>
      <c r="D1605" s="78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78" t="n"/>
      <c r="D1606" s="78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78" t="n"/>
      <c r="D1607" s="78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78" t="n"/>
      <c r="D1608" s="78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78" t="n"/>
      <c r="D1609" s="78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78" t="n"/>
      <c r="D1610" s="78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78" t="n"/>
      <c r="D1611" s="78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78" t="n"/>
      <c r="D1612" s="78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78" t="n"/>
      <c r="D1613" s="78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78" t="n"/>
      <c r="D1614" s="78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78" t="n"/>
      <c r="D1615" s="78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78" t="n"/>
      <c r="D1616" s="78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78" t="n"/>
      <c r="D1617" s="78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78" t="n"/>
      <c r="D1618" s="78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78" t="n"/>
      <c r="D1619" s="78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78" t="n"/>
      <c r="D1620" s="78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78" t="n"/>
      <c r="D1621" s="78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78" t="n"/>
      <c r="D1622" s="78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78" t="n"/>
      <c r="D1623" s="78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78" t="n"/>
      <c r="D1624" s="78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78" t="n"/>
      <c r="D1625" s="78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78" t="n"/>
      <c r="D1626" s="78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78" t="n"/>
      <c r="D1627" s="78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78" t="n"/>
      <c r="D1628" s="78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78" t="n"/>
      <c r="D1629" s="78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78" t="n"/>
      <c r="D1630" s="78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78" t="n"/>
      <c r="D1631" s="78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78" t="n"/>
      <c r="D1632" s="78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78" t="n"/>
      <c r="D1633" s="78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78" t="n"/>
      <c r="D1634" s="78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78" t="n"/>
      <c r="D1635" s="78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78" t="n"/>
      <c r="D1636" s="78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78" t="n"/>
      <c r="D1637" s="78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78" t="n"/>
      <c r="D1638" s="78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78" t="n"/>
      <c r="D1639" s="78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78" t="n"/>
      <c r="D1640" s="78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78" t="n"/>
      <c r="D1641" s="78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78" t="n"/>
      <c r="D1642" s="78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78" t="n"/>
      <c r="D1643" s="78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78" t="n"/>
      <c r="D1644" s="78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78" t="n"/>
      <c r="D1645" s="78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78" t="n"/>
      <c r="D1646" s="78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78" t="n"/>
      <c r="D1647" s="78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78" t="n"/>
      <c r="D1648" s="78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78" t="n"/>
      <c r="D1649" s="78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78" t="n"/>
      <c r="D1650" s="78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78" t="n"/>
      <c r="D1651" s="78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78" t="n"/>
      <c r="D1652" s="78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78" t="n"/>
      <c r="D1653" s="78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78" t="n"/>
      <c r="D1654" s="78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78" t="n"/>
      <c r="D1655" s="78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78" t="n"/>
      <c r="D1656" s="78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78" t="n"/>
      <c r="D1657" s="78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78" t="n"/>
      <c r="D1658" s="78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78" t="n"/>
      <c r="D1659" s="78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78" t="n"/>
      <c r="D1660" s="78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78" t="n"/>
      <c r="D1661" s="78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78" t="n"/>
      <c r="D1662" s="78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78" t="n"/>
      <c r="D1663" s="78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78" t="n"/>
      <c r="D1664" s="78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78" t="n"/>
      <c r="D1665" s="78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78" t="n"/>
      <c r="D1666" s="78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78" t="n"/>
      <c r="D1667" s="78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78" t="n"/>
      <c r="D1668" s="78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78" t="n"/>
      <c r="D1669" s="78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78" t="n"/>
      <c r="D1670" s="78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78" t="n"/>
      <c r="D1671" s="78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78" t="n"/>
      <c r="D1672" s="78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78" t="n"/>
      <c r="D1673" s="78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78" t="n"/>
      <c r="D1674" s="78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78" t="n"/>
      <c r="D1675" s="78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78" t="n"/>
      <c r="D1676" s="78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78" t="n"/>
      <c r="D1677" s="78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78" t="n"/>
      <c r="D1678" s="78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78" t="n"/>
      <c r="D1679" s="78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78" t="n"/>
      <c r="D1680" s="78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78" t="n"/>
      <c r="D1681" s="78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78" t="n"/>
      <c r="D1682" s="78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78" t="n"/>
      <c r="D1683" s="78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78" t="n"/>
      <c r="D1684" s="78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78" t="n"/>
      <c r="D1685" s="78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78" t="n"/>
      <c r="D1686" s="78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78" t="n"/>
      <c r="D1687" s="78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78" t="n"/>
      <c r="D1688" s="78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78" t="n"/>
      <c r="D1689" s="78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78" t="n"/>
      <c r="D1690" s="78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78" t="n"/>
      <c r="D1691" s="78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78" t="n"/>
      <c r="D1692" s="78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78" t="n"/>
      <c r="D1693" s="78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78" t="n"/>
      <c r="D1694" s="78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78" t="n"/>
      <c r="D1695" s="78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78" t="n"/>
      <c r="D1696" s="78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78" t="n"/>
      <c r="D1697" s="78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78" t="n"/>
      <c r="D1698" s="78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78" t="n"/>
      <c r="D1699" s="78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78" t="n"/>
      <c r="D1700" s="78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78" t="n"/>
      <c r="D1701" s="78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78" t="n"/>
      <c r="D1702" s="78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78" t="n"/>
      <c r="D1703" s="78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78" t="n"/>
      <c r="D1704" s="78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78" t="n"/>
      <c r="D1705" s="78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78" t="n"/>
      <c r="D1706" s="78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78" t="n"/>
      <c r="D1707" s="78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78" t="n"/>
      <c r="D1708" s="78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78" t="n"/>
      <c r="D1709" s="78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78" t="n"/>
      <c r="D1710" s="78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78" t="n"/>
      <c r="D1711" s="78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78" t="n"/>
      <c r="D1712" s="78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78" t="n"/>
      <c r="D1713" s="78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78" t="n"/>
      <c r="D1714" s="78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78" t="n"/>
      <c r="D1715" s="78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78" t="n"/>
      <c r="D1716" s="78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78" t="n"/>
      <c r="D1717" s="78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78" t="n"/>
      <c r="D1718" s="78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78" t="n"/>
      <c r="D1719" s="78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78" t="n"/>
      <c r="D1720" s="78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78" t="n"/>
      <c r="D1721" s="78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78" t="n"/>
      <c r="D1722" s="78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78" t="n"/>
      <c r="D1723" s="78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78" t="n"/>
      <c r="D1724" s="78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78" t="n"/>
      <c r="D1725" s="78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78" t="n"/>
      <c r="D1726" s="78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78" t="n"/>
      <c r="D1727" s="78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78" t="n"/>
      <c r="D1728" s="78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78" t="n"/>
      <c r="D1729" s="78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78" t="n"/>
      <c r="D1730" s="78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78" t="n"/>
      <c r="D1731" s="78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78" t="n"/>
      <c r="D1732" s="78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78" t="n"/>
      <c r="D1733" s="78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78" t="n"/>
      <c r="D1734" s="78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78" t="n"/>
      <c r="D1735" s="78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78" t="n"/>
      <c r="D1736" s="78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78" t="n"/>
      <c r="D1737" s="78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78" t="n"/>
      <c r="D1738" s="78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78" t="n"/>
      <c r="D1739" s="78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78" t="n"/>
      <c r="D1740" s="78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78" t="n"/>
      <c r="D1741" s="78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78" t="n"/>
      <c r="D1742" s="78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78" t="n"/>
      <c r="D1743" s="78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78" t="n"/>
      <c r="D1744" s="78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78" t="n"/>
      <c r="D1745" s="78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78" t="n"/>
      <c r="D1746" s="78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78" t="n"/>
      <c r="D1747" s="78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78" t="n"/>
      <c r="D1748" s="78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78" t="n"/>
      <c r="D1749" s="78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78" t="n"/>
      <c r="D1750" s="78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78" t="n"/>
      <c r="D1751" s="78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78" t="n"/>
      <c r="D1752" s="78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78" t="n"/>
      <c r="D1753" s="78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78" t="n"/>
      <c r="D1754" s="78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78" t="n"/>
      <c r="D1755" s="78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78" t="n"/>
      <c r="D1756" s="78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78" t="n"/>
      <c r="D1757" s="78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78" t="n"/>
      <c r="D1758" s="78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78" t="n"/>
      <c r="D1759" s="78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78" t="n"/>
      <c r="D1760" s="78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78" t="n"/>
      <c r="D1761" s="78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78" t="n"/>
      <c r="D1762" s="78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78" t="n"/>
      <c r="D1763" s="78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78" t="n"/>
      <c r="D1764" s="78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78" t="n"/>
      <c r="D1765" s="78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78" t="n"/>
      <c r="D1766" s="78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78" t="n"/>
      <c r="D1767" s="78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78" t="n"/>
      <c r="D1768" s="78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78" t="n"/>
      <c r="D1769" s="78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78" t="n"/>
      <c r="D1770" s="78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78" t="n"/>
      <c r="D1771" s="78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78" t="n"/>
      <c r="D1772" s="78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78" t="n"/>
      <c r="D1773" s="78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78" t="n"/>
      <c r="D1774" s="78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78" t="n"/>
      <c r="D1775" s="78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78" t="n"/>
      <c r="D1776" s="78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78" t="n"/>
      <c r="D1777" s="78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78" t="n"/>
      <c r="D1778" s="78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78" t="n"/>
      <c r="D1779" s="78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78" t="n"/>
      <c r="D1780" s="78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78" t="n"/>
      <c r="D1781" s="78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78" t="n"/>
      <c r="D1782" s="78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78" t="n"/>
      <c r="D1783" s="78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78" t="n"/>
      <c r="D1784" s="78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78" t="n"/>
      <c r="D1785" s="78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78" t="n"/>
      <c r="D1786" s="78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78" t="n"/>
      <c r="D1787" s="78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78" t="n"/>
      <c r="D1788" s="78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78" t="n"/>
      <c r="D1789" s="78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78" t="n"/>
      <c r="D1790" s="78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78" t="n"/>
      <c r="D1791" s="78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78" t="n"/>
      <c r="D1792" s="78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78" t="n"/>
      <c r="D1793" s="78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78" t="n"/>
      <c r="D1794" s="78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78" t="n"/>
      <c r="D1795" s="78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78" t="n"/>
      <c r="D1796" s="78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78" t="n"/>
      <c r="D1797" s="78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78" t="n"/>
      <c r="D1798" s="78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78" t="n"/>
      <c r="D1799" s="78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78" t="n"/>
      <c r="D1800" s="78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78" t="n"/>
      <c r="D1801" s="78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78" t="n"/>
      <c r="D1802" s="78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78" t="n"/>
      <c r="D1803" s="78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78" t="n"/>
      <c r="D1804" s="78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78" t="n"/>
      <c r="D1805" s="78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78" t="n"/>
      <c r="D1806" s="78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78" t="n"/>
      <c r="D1807" s="78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78" t="n"/>
      <c r="D1808" s="78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78" t="n"/>
      <c r="D1809" s="78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78" t="n"/>
      <c r="D1810" s="78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78" t="n"/>
      <c r="D1811" s="78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78" t="n"/>
      <c r="D1812" s="78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78" t="n"/>
      <c r="D1813" s="78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78" t="n"/>
      <c r="D1814" s="78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78" t="n"/>
      <c r="D1815" s="78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78" t="n"/>
      <c r="D1816" s="78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78" t="n"/>
      <c r="D1817" s="78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78" t="n"/>
      <c r="D1818" s="78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78" t="n"/>
      <c r="D1819" s="78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78" t="n"/>
      <c r="D1820" s="78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78" t="n"/>
      <c r="D1821" s="78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78" t="n"/>
      <c r="D1822" s="78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78" t="n"/>
      <c r="D1823" s="78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78" t="n"/>
      <c r="D1824" s="78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78" t="n"/>
      <c r="D1825" s="78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78" t="n"/>
      <c r="D1826" s="78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78" t="n"/>
      <c r="D1827" s="78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78" t="n"/>
      <c r="D1828" s="78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78" t="n"/>
      <c r="D1829" s="78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78" t="n"/>
      <c r="D1830" s="78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78" t="n"/>
      <c r="D1831" s="78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78" t="n"/>
      <c r="D1832" s="78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78" t="n"/>
      <c r="D1833" s="78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78" t="n"/>
      <c r="D1834" s="78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78" t="n"/>
      <c r="D1835" s="78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78" t="n"/>
      <c r="D1836" s="78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78" t="n"/>
      <c r="D1837" s="78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78" t="n"/>
      <c r="D1838" s="78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78" t="n"/>
      <c r="D1839" s="78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78" t="n"/>
      <c r="D1840" s="78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78" t="n"/>
      <c r="D1841" s="78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78" t="n"/>
      <c r="D1842" s="78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78" t="n"/>
      <c r="D1843" s="78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78" t="n"/>
      <c r="D1844" s="78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78" t="n"/>
      <c r="D1845" s="78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78" t="n"/>
      <c r="D1846" s="78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78" t="n"/>
      <c r="D1847" s="78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78" t="n"/>
      <c r="D1848" s="78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78" t="n"/>
      <c r="D1849" s="78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78" t="n"/>
      <c r="D1850" s="78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78" t="n"/>
      <c r="D1851" s="78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78" t="n"/>
      <c r="D1852" s="78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78" t="n"/>
      <c r="D1853" s="78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78" t="n"/>
      <c r="D1854" s="78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78" t="n"/>
      <c r="D1855" s="78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78" t="n"/>
      <c r="D1856" s="78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78" t="n"/>
      <c r="D1857" s="78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78" t="n"/>
      <c r="D1858" s="78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78" t="n"/>
      <c r="D1859" s="78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78" t="n"/>
      <c r="D1860" s="78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78" t="n"/>
      <c r="D1861" s="78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78" t="n"/>
      <c r="D1862" s="78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78" t="n"/>
      <c r="D1863" s="78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78" t="n"/>
      <c r="D1864" s="78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78" t="n"/>
      <c r="D1865" s="78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78" t="n"/>
      <c r="D1866" s="78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78" t="n"/>
      <c r="D1867" s="78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78" t="n"/>
      <c r="D1868" s="78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78" t="n"/>
      <c r="D1869" s="78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78" t="n"/>
      <c r="D1870" s="78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78" t="n"/>
      <c r="D1871" s="78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78" t="n"/>
      <c r="D1872" s="78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78" t="n"/>
      <c r="D1873" s="78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78" t="n"/>
      <c r="D1874" s="78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78" t="n"/>
      <c r="D1875" s="78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78" t="n"/>
      <c r="D1876" s="78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78" t="n"/>
      <c r="D1877" s="78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78" t="n"/>
      <c r="D1878" s="78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78" t="n"/>
      <c r="D1879" s="78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78" t="n"/>
      <c r="D1880" s="78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78" t="n"/>
      <c r="D1881" s="78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78" t="n"/>
      <c r="D1882" s="78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78" t="n"/>
      <c r="D1883" s="78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78" t="n"/>
      <c r="D1884" s="78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78" t="n"/>
      <c r="D1885" s="78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78" t="n"/>
      <c r="D1886" s="78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78" t="n"/>
      <c r="D1887" s="78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78" t="n"/>
      <c r="D1888" s="78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78" t="n"/>
      <c r="D1889" s="78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78" t="n"/>
      <c r="D1890" s="78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78" t="n"/>
      <c r="D1891" s="78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78" t="n"/>
      <c r="D1892" s="78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78" t="n"/>
      <c r="D1893" s="78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78" t="n"/>
      <c r="D1894" s="78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78" t="n"/>
      <c r="D1895" s="78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78" t="n"/>
      <c r="D1896" s="78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78" t="n"/>
      <c r="D1897" s="78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78" t="n"/>
      <c r="D1898" s="78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78" t="n"/>
      <c r="D1899" s="78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78" t="n"/>
      <c r="D1900" s="78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78" t="n"/>
      <c r="D1901" s="78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78" t="n"/>
      <c r="D1902" s="78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78" t="n"/>
      <c r="D1903" s="78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78" t="n"/>
      <c r="D1904" s="78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78" t="n"/>
      <c r="D1905" s="78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78" t="n"/>
      <c r="D1906" s="78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78" t="n"/>
      <c r="D1907" s="78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78" t="n"/>
      <c r="D1908" s="78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78" t="n"/>
      <c r="D1909" s="78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78" t="n"/>
      <c r="D1910" s="78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78" t="n"/>
      <c r="D1911" s="78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78" t="n"/>
      <c r="D1912" s="78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78" t="n"/>
      <c r="D1913" s="78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78" t="n"/>
      <c r="D1914" s="78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78" t="n"/>
      <c r="D1915" s="78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78" t="n"/>
      <c r="D1916" s="78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78" t="n"/>
      <c r="D1917" s="78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78" t="n"/>
      <c r="D1918" s="78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78" t="n"/>
      <c r="D1919" s="78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78" t="n"/>
      <c r="D1920" s="78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78" t="n"/>
      <c r="D1921" s="78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78" t="n"/>
      <c r="D1922" s="78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78" t="n"/>
      <c r="D1923" s="78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78" t="n"/>
      <c r="D1924" s="78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78" t="n"/>
      <c r="D1925" s="78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78" t="n"/>
      <c r="D1926" s="78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78" t="n"/>
      <c r="D1927" s="78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78" t="n"/>
      <c r="D1928" s="78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78" t="n"/>
      <c r="D1929" s="78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78" t="n"/>
      <c r="D1930" s="78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78" t="n"/>
      <c r="D1931" s="78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78" t="n"/>
      <c r="D1932" s="78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78" t="n"/>
      <c r="D1933" s="78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78" t="n"/>
      <c r="D1934" s="78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78" t="n"/>
      <c r="D1935" s="78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78" t="n"/>
      <c r="D1936" s="78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78" t="n"/>
      <c r="D1937" s="78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78" t="n"/>
      <c r="D1938" s="78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78" t="n"/>
      <c r="D1939" s="78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78" t="n"/>
      <c r="D1940" s="78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78" t="n"/>
      <c r="D1941" s="78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78" t="n"/>
      <c r="D1942" s="78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78" t="n"/>
      <c r="D1943" s="78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78" t="n"/>
      <c r="D1944" s="78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78" t="n"/>
      <c r="D1945" s="78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78" t="n"/>
      <c r="D1946" s="78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78" t="n"/>
      <c r="D1947" s="78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78" t="n"/>
      <c r="D1948" s="78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78" t="n"/>
      <c r="D1949" s="78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78" t="n"/>
      <c r="D1950" s="78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78" t="n"/>
      <c r="D1951" s="78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78" t="n"/>
      <c r="D1952" s="78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78" t="n"/>
      <c r="D1953" s="78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78" t="n"/>
      <c r="D1954" s="78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78" t="n"/>
      <c r="D1955" s="78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78" t="n"/>
      <c r="D1956" s="78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78" t="n"/>
      <c r="D1957" s="78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78" t="n"/>
      <c r="D1958" s="78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78" t="n"/>
      <c r="D1959" s="78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78" t="n"/>
      <c r="D1960" s="78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78" t="n"/>
      <c r="D1961" s="78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78" t="n"/>
      <c r="D1962" s="78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78" t="n"/>
      <c r="D1963" s="78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78" t="n"/>
      <c r="D1964" s="78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78" t="n"/>
      <c r="D1965" s="78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78" t="n"/>
      <c r="D1966" s="78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78" t="n"/>
      <c r="D1967" s="78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78" t="n"/>
      <c r="D1968" s="78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78" t="n"/>
      <c r="D1969" s="78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78" t="n"/>
      <c r="D1970" s="78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78" t="n"/>
      <c r="D1971" s="78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78" t="n"/>
      <c r="D1972" s="78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78" t="n"/>
      <c r="D1973" s="78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78" t="n"/>
      <c r="D1974" s="78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78" t="n"/>
      <c r="D1975" s="78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78" t="n"/>
      <c r="D1976" s="78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78" t="n"/>
      <c r="D1977" s="78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78" t="n"/>
      <c r="D1978" s="78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78" t="n"/>
      <c r="D1979" s="78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78" t="n"/>
      <c r="D1980" s="78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78" t="n"/>
      <c r="D1981" s="78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78" t="n"/>
      <c r="D1982" s="78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78" t="n"/>
      <c r="D1983" s="78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78" t="n"/>
      <c r="D1984" s="78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78" t="n"/>
      <c r="D1985" s="78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78" t="n"/>
      <c r="D1986" s="78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78" t="n"/>
      <c r="D1987" s="78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78" t="n"/>
      <c r="D1988" s="78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78" t="n"/>
      <c r="D1989" s="78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78" t="n"/>
      <c r="D1990" s="78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78" t="n"/>
      <c r="D1991" s="78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78" t="n"/>
      <c r="D1992" s="78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78" t="n"/>
      <c r="D1993" s="78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78" t="n"/>
      <c r="D1994" s="78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78" t="n"/>
      <c r="D1995" s="78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78" t="n"/>
      <c r="D1996" s="78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78" t="n"/>
      <c r="D1997" s="78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78" t="n"/>
      <c r="D1998" s="78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78" t="n"/>
      <c r="D1999" s="78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78" t="n"/>
      <c r="D2000" s="78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78" t="n"/>
      <c r="D2001" s="78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78" t="n"/>
      <c r="D2002" s="78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5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79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0">
        <f>IF($G3="","",IFERROR(INDEX(設定!$D$6:$D$18,MATCH($G3,設定!$B$6:$B$18,0)),""))</f>
        <v/>
      </c>
      <c r="I3" s="80">
        <f>IF($G3="","",IFERROR(INDEX(設定!$E$6:$E$18,MATCH($G3,設定!$B$6:$B$18,0)),""))</f>
        <v/>
      </c>
      <c r="J3" s="80">
        <f>IFERROR(INDEX(打卡匯入!$C$3:$C$2002,MATCH($C3&amp;"|"&amp;DAY($A3),打卡匯入!$E$3:$E$2002,0)),"")</f>
        <v/>
      </c>
      <c r="K3" s="80">
        <f>IFERROR(INDEX(打卡匯入!$D$3:$D$2002,MATCH($C3&amp;"|"&amp;DAY($A3),打卡匯入!$E$3:$E$2002,0)),"")</f>
        <v/>
      </c>
      <c r="L3" s="81">
        <f>IF(OR($J3="",$K3=""),"",IFERROR(INDEX(設定!$F$6:$F$18,MATCH($G3,設定!$B$6:$B$18,0)),0))</f>
        <v/>
      </c>
      <c r="M3" s="82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1">
        <f>IF(OR($C3="",$H3="",$J3=""),0,IF(ROUND(($J3-$H3)*1440,0)&gt;設定!$C$42,ROUND(($J3-$H3)*1440,0),0))</f>
        <v/>
      </c>
      <c r="P3" s="81">
        <f>IF(OR($C3="",$I3="",$K3=""),0,IF(ROUND(($I3-$K3)*1440,0)&gt;設定!$C$42,ROUND(($I3-$K3)*1440,0),0))</f>
        <v/>
      </c>
      <c r="Q3" s="82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79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0">
        <f>IF($G4="","",IFERROR(INDEX(設定!$D$6:$D$18,MATCH($G4,設定!$B$6:$B$18,0)),""))</f>
        <v/>
      </c>
      <c r="I4" s="80">
        <f>IF($G4="","",IFERROR(INDEX(設定!$E$6:$E$18,MATCH($G4,設定!$B$6:$B$18,0)),""))</f>
        <v/>
      </c>
      <c r="J4" s="80">
        <f>IFERROR(INDEX(打卡匯入!$C$3:$C$2002,MATCH($C4&amp;"|"&amp;DAY($A4),打卡匯入!$E$3:$E$2002,0)),"")</f>
        <v/>
      </c>
      <c r="K4" s="80">
        <f>IFERROR(INDEX(打卡匯入!$D$3:$D$2002,MATCH($C4&amp;"|"&amp;DAY($A4),打卡匯入!$E$3:$E$2002,0)),"")</f>
        <v/>
      </c>
      <c r="L4" s="81">
        <f>IF(OR($J4="",$K4=""),"",IFERROR(INDEX(設定!$F$6:$F$18,MATCH($G4,設定!$B$6:$B$18,0)),0))</f>
        <v/>
      </c>
      <c r="M4" s="82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1">
        <f>IF(OR($C4="",$H4="",$J4=""),0,IF(ROUND(($J4-$H4)*1440,0)&gt;設定!$C$42,ROUND(($J4-$H4)*1440,0),0))</f>
        <v/>
      </c>
      <c r="P4" s="81">
        <f>IF(OR($C4="",$I4="",$K4=""),0,IF(ROUND(($I4-$K4)*1440,0)&gt;設定!$C$42,ROUND(($I4-$K4)*1440,0),0))</f>
        <v/>
      </c>
      <c r="Q4" s="82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79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0">
        <f>IF($G5="","",IFERROR(INDEX(設定!$D$6:$D$18,MATCH($G5,設定!$B$6:$B$18,0)),""))</f>
        <v/>
      </c>
      <c r="I5" s="80">
        <f>IF($G5="","",IFERROR(INDEX(設定!$E$6:$E$18,MATCH($G5,設定!$B$6:$B$18,0)),""))</f>
        <v/>
      </c>
      <c r="J5" s="80">
        <f>IFERROR(INDEX(打卡匯入!$C$3:$C$2002,MATCH($C5&amp;"|"&amp;DAY($A5),打卡匯入!$E$3:$E$2002,0)),"")</f>
        <v/>
      </c>
      <c r="K5" s="80">
        <f>IFERROR(INDEX(打卡匯入!$D$3:$D$2002,MATCH($C5&amp;"|"&amp;DAY($A5),打卡匯入!$E$3:$E$2002,0)),"")</f>
        <v/>
      </c>
      <c r="L5" s="81">
        <f>IF(OR($J5="",$K5=""),"",IFERROR(INDEX(設定!$F$6:$F$18,MATCH($G5,設定!$B$6:$B$18,0)),0))</f>
        <v/>
      </c>
      <c r="M5" s="82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1">
        <f>IF(OR($C5="",$H5="",$J5=""),0,IF(ROUND(($J5-$H5)*1440,0)&gt;設定!$C$42,ROUND(($J5-$H5)*1440,0),0))</f>
        <v/>
      </c>
      <c r="P5" s="81">
        <f>IF(OR($C5="",$I5="",$K5=""),0,IF(ROUND(($I5-$K5)*1440,0)&gt;設定!$C$42,ROUND(($I5-$K5)*1440,0),0))</f>
        <v/>
      </c>
      <c r="Q5" s="82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79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0">
        <f>IF($G6="","",IFERROR(INDEX(設定!$D$6:$D$18,MATCH($G6,設定!$B$6:$B$18,0)),""))</f>
        <v/>
      </c>
      <c r="I6" s="80">
        <f>IF($G6="","",IFERROR(INDEX(設定!$E$6:$E$18,MATCH($G6,設定!$B$6:$B$18,0)),""))</f>
        <v/>
      </c>
      <c r="J6" s="80">
        <f>IFERROR(INDEX(打卡匯入!$C$3:$C$2002,MATCH($C6&amp;"|"&amp;DAY($A6),打卡匯入!$E$3:$E$2002,0)),"")</f>
        <v/>
      </c>
      <c r="K6" s="80">
        <f>IFERROR(INDEX(打卡匯入!$D$3:$D$2002,MATCH($C6&amp;"|"&amp;DAY($A6),打卡匯入!$E$3:$E$2002,0)),"")</f>
        <v/>
      </c>
      <c r="L6" s="81">
        <f>IF(OR($J6="",$K6=""),"",IFERROR(INDEX(設定!$F$6:$F$18,MATCH($G6,設定!$B$6:$B$18,0)),0))</f>
        <v/>
      </c>
      <c r="M6" s="82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1">
        <f>IF(OR($C6="",$H6="",$J6=""),0,IF(ROUND(($J6-$H6)*1440,0)&gt;設定!$C$42,ROUND(($J6-$H6)*1440,0),0))</f>
        <v/>
      </c>
      <c r="P6" s="81">
        <f>IF(OR($C6="",$I6="",$K6=""),0,IF(ROUND(($I6-$K6)*1440,0)&gt;設定!$C$42,ROUND(($I6-$K6)*1440,0),0))</f>
        <v/>
      </c>
      <c r="Q6" s="82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79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0">
        <f>IF($G7="","",IFERROR(INDEX(設定!$D$6:$D$18,MATCH($G7,設定!$B$6:$B$18,0)),""))</f>
        <v/>
      </c>
      <c r="I7" s="80">
        <f>IF($G7="","",IFERROR(INDEX(設定!$E$6:$E$18,MATCH($G7,設定!$B$6:$B$18,0)),""))</f>
        <v/>
      </c>
      <c r="J7" s="80">
        <f>IFERROR(INDEX(打卡匯入!$C$3:$C$2002,MATCH($C7&amp;"|"&amp;DAY($A7),打卡匯入!$E$3:$E$2002,0)),"")</f>
        <v/>
      </c>
      <c r="K7" s="80">
        <f>IFERROR(INDEX(打卡匯入!$D$3:$D$2002,MATCH($C7&amp;"|"&amp;DAY($A7),打卡匯入!$E$3:$E$2002,0)),"")</f>
        <v/>
      </c>
      <c r="L7" s="81">
        <f>IF(OR($J7="",$K7=""),"",IFERROR(INDEX(設定!$F$6:$F$18,MATCH($G7,設定!$B$6:$B$18,0)),0))</f>
        <v/>
      </c>
      <c r="M7" s="82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1">
        <f>IF(OR($C7="",$H7="",$J7=""),0,IF(ROUND(($J7-$H7)*1440,0)&gt;設定!$C$42,ROUND(($J7-$H7)*1440,0),0))</f>
        <v/>
      </c>
      <c r="P7" s="81">
        <f>IF(OR($C7="",$I7="",$K7=""),0,IF(ROUND(($I7-$K7)*1440,0)&gt;設定!$C$42,ROUND(($I7-$K7)*1440,0),0))</f>
        <v/>
      </c>
      <c r="Q7" s="82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79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0">
        <f>IF($G8="","",IFERROR(INDEX(設定!$D$6:$D$18,MATCH($G8,設定!$B$6:$B$18,0)),""))</f>
        <v/>
      </c>
      <c r="I8" s="80">
        <f>IF($G8="","",IFERROR(INDEX(設定!$E$6:$E$18,MATCH($G8,設定!$B$6:$B$18,0)),""))</f>
        <v/>
      </c>
      <c r="J8" s="80">
        <f>IFERROR(INDEX(打卡匯入!$C$3:$C$2002,MATCH($C8&amp;"|"&amp;DAY($A8),打卡匯入!$E$3:$E$2002,0)),"")</f>
        <v/>
      </c>
      <c r="K8" s="80">
        <f>IFERROR(INDEX(打卡匯入!$D$3:$D$2002,MATCH($C8&amp;"|"&amp;DAY($A8),打卡匯入!$E$3:$E$2002,0)),"")</f>
        <v/>
      </c>
      <c r="L8" s="81">
        <f>IF(OR($J8="",$K8=""),"",IFERROR(INDEX(設定!$F$6:$F$18,MATCH($G8,設定!$B$6:$B$18,0)),0))</f>
        <v/>
      </c>
      <c r="M8" s="82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1">
        <f>IF(OR($C8="",$H8="",$J8=""),0,IF(ROUND(($J8-$H8)*1440,0)&gt;設定!$C$42,ROUND(($J8-$H8)*1440,0),0))</f>
        <v/>
      </c>
      <c r="P8" s="81">
        <f>IF(OR($C8="",$I8="",$K8=""),0,IF(ROUND(($I8-$K8)*1440,0)&gt;設定!$C$42,ROUND(($I8-$K8)*1440,0),0))</f>
        <v/>
      </c>
      <c r="Q8" s="82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79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0">
        <f>IF($G9="","",IFERROR(INDEX(設定!$D$6:$D$18,MATCH($G9,設定!$B$6:$B$18,0)),""))</f>
        <v/>
      </c>
      <c r="I9" s="80">
        <f>IF($G9="","",IFERROR(INDEX(設定!$E$6:$E$18,MATCH($G9,設定!$B$6:$B$18,0)),""))</f>
        <v/>
      </c>
      <c r="J9" s="80">
        <f>IFERROR(INDEX(打卡匯入!$C$3:$C$2002,MATCH($C9&amp;"|"&amp;DAY($A9),打卡匯入!$E$3:$E$2002,0)),"")</f>
        <v/>
      </c>
      <c r="K9" s="80">
        <f>IFERROR(INDEX(打卡匯入!$D$3:$D$2002,MATCH($C9&amp;"|"&amp;DAY($A9),打卡匯入!$E$3:$E$2002,0)),"")</f>
        <v/>
      </c>
      <c r="L9" s="81">
        <f>IF(OR($J9="",$K9=""),"",IFERROR(INDEX(設定!$F$6:$F$18,MATCH($G9,設定!$B$6:$B$18,0)),0))</f>
        <v/>
      </c>
      <c r="M9" s="82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1">
        <f>IF(OR($C9="",$H9="",$J9=""),0,IF(ROUND(($J9-$H9)*1440,0)&gt;設定!$C$42,ROUND(($J9-$H9)*1440,0),0))</f>
        <v/>
      </c>
      <c r="P9" s="81">
        <f>IF(OR($C9="",$I9="",$K9=""),0,IF(ROUND(($I9-$K9)*1440,0)&gt;設定!$C$42,ROUND(($I9-$K9)*1440,0),0))</f>
        <v/>
      </c>
      <c r="Q9" s="82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79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0">
        <f>IF($G10="","",IFERROR(INDEX(設定!$D$6:$D$18,MATCH($G10,設定!$B$6:$B$18,0)),""))</f>
        <v/>
      </c>
      <c r="I10" s="80">
        <f>IF($G10="","",IFERROR(INDEX(設定!$E$6:$E$18,MATCH($G10,設定!$B$6:$B$18,0)),""))</f>
        <v/>
      </c>
      <c r="J10" s="80">
        <f>IFERROR(INDEX(打卡匯入!$C$3:$C$2002,MATCH($C10&amp;"|"&amp;DAY($A10),打卡匯入!$E$3:$E$2002,0)),"")</f>
        <v/>
      </c>
      <c r="K10" s="80">
        <f>IFERROR(INDEX(打卡匯入!$D$3:$D$2002,MATCH($C10&amp;"|"&amp;DAY($A10),打卡匯入!$E$3:$E$2002,0)),"")</f>
        <v/>
      </c>
      <c r="L10" s="81">
        <f>IF(OR($J10="",$K10=""),"",IFERROR(INDEX(設定!$F$6:$F$18,MATCH($G10,設定!$B$6:$B$18,0)),0))</f>
        <v/>
      </c>
      <c r="M10" s="82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1">
        <f>IF(OR($C10="",$H10="",$J10=""),0,IF(ROUND(($J10-$H10)*1440,0)&gt;設定!$C$42,ROUND(($J10-$H10)*1440,0),0))</f>
        <v/>
      </c>
      <c r="P10" s="81">
        <f>IF(OR($C10="",$I10="",$K10=""),0,IF(ROUND(($I10-$K10)*1440,0)&gt;設定!$C$42,ROUND(($I10-$K10)*1440,0),0))</f>
        <v/>
      </c>
      <c r="Q10" s="82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79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0">
        <f>IF($G11="","",IFERROR(INDEX(設定!$D$6:$D$18,MATCH($G11,設定!$B$6:$B$18,0)),""))</f>
        <v/>
      </c>
      <c r="I11" s="80">
        <f>IF($G11="","",IFERROR(INDEX(設定!$E$6:$E$18,MATCH($G11,設定!$B$6:$B$18,0)),""))</f>
        <v/>
      </c>
      <c r="J11" s="80">
        <f>IFERROR(INDEX(打卡匯入!$C$3:$C$2002,MATCH($C11&amp;"|"&amp;DAY($A11),打卡匯入!$E$3:$E$2002,0)),"")</f>
        <v/>
      </c>
      <c r="K11" s="80">
        <f>IFERROR(INDEX(打卡匯入!$D$3:$D$2002,MATCH($C11&amp;"|"&amp;DAY($A11),打卡匯入!$E$3:$E$2002,0)),"")</f>
        <v/>
      </c>
      <c r="L11" s="81">
        <f>IF(OR($J11="",$K11=""),"",IFERROR(INDEX(設定!$F$6:$F$18,MATCH($G11,設定!$B$6:$B$18,0)),0))</f>
        <v/>
      </c>
      <c r="M11" s="82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1">
        <f>IF(OR($C11="",$H11="",$J11=""),0,IF(ROUND(($J11-$H11)*1440,0)&gt;設定!$C$42,ROUND(($J11-$H11)*1440,0),0))</f>
        <v/>
      </c>
      <c r="P11" s="81">
        <f>IF(OR($C11="",$I11="",$K11=""),0,IF(ROUND(($I11-$K11)*1440,0)&gt;設定!$C$42,ROUND(($I11-$K11)*1440,0),0))</f>
        <v/>
      </c>
      <c r="Q11" s="82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79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0">
        <f>IF($G12="","",IFERROR(INDEX(設定!$D$6:$D$18,MATCH($G12,設定!$B$6:$B$18,0)),""))</f>
        <v/>
      </c>
      <c r="I12" s="80">
        <f>IF($G12="","",IFERROR(INDEX(設定!$E$6:$E$18,MATCH($G12,設定!$B$6:$B$18,0)),""))</f>
        <v/>
      </c>
      <c r="J12" s="80">
        <f>IFERROR(INDEX(打卡匯入!$C$3:$C$2002,MATCH($C12&amp;"|"&amp;DAY($A12),打卡匯入!$E$3:$E$2002,0)),"")</f>
        <v/>
      </c>
      <c r="K12" s="80">
        <f>IFERROR(INDEX(打卡匯入!$D$3:$D$2002,MATCH($C12&amp;"|"&amp;DAY($A12),打卡匯入!$E$3:$E$2002,0)),"")</f>
        <v/>
      </c>
      <c r="L12" s="81">
        <f>IF(OR($J12="",$K12=""),"",IFERROR(INDEX(設定!$F$6:$F$18,MATCH($G12,設定!$B$6:$B$18,0)),0))</f>
        <v/>
      </c>
      <c r="M12" s="82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1">
        <f>IF(OR($C12="",$H12="",$J12=""),0,IF(ROUND(($J12-$H12)*1440,0)&gt;設定!$C$42,ROUND(($J12-$H12)*1440,0),0))</f>
        <v/>
      </c>
      <c r="P12" s="81">
        <f>IF(OR($C12="",$I12="",$K12=""),0,IF(ROUND(($I12-$K12)*1440,0)&gt;設定!$C$42,ROUND(($I12-$K12)*1440,0),0))</f>
        <v/>
      </c>
      <c r="Q12" s="82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79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0">
        <f>IF($G13="","",IFERROR(INDEX(設定!$D$6:$D$18,MATCH($G13,設定!$B$6:$B$18,0)),""))</f>
        <v/>
      </c>
      <c r="I13" s="80">
        <f>IF($G13="","",IFERROR(INDEX(設定!$E$6:$E$18,MATCH($G13,設定!$B$6:$B$18,0)),""))</f>
        <v/>
      </c>
      <c r="J13" s="80">
        <f>IFERROR(INDEX(打卡匯入!$C$3:$C$2002,MATCH($C13&amp;"|"&amp;DAY($A13),打卡匯入!$E$3:$E$2002,0)),"")</f>
        <v/>
      </c>
      <c r="K13" s="80">
        <f>IFERROR(INDEX(打卡匯入!$D$3:$D$2002,MATCH($C13&amp;"|"&amp;DAY($A13),打卡匯入!$E$3:$E$2002,0)),"")</f>
        <v/>
      </c>
      <c r="L13" s="81">
        <f>IF(OR($J13="",$K13=""),"",IFERROR(INDEX(設定!$F$6:$F$18,MATCH($G13,設定!$B$6:$B$18,0)),0))</f>
        <v/>
      </c>
      <c r="M13" s="82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1">
        <f>IF(OR($C13="",$H13="",$J13=""),0,IF(ROUND(($J13-$H13)*1440,0)&gt;設定!$C$42,ROUND(($J13-$H13)*1440,0),0))</f>
        <v/>
      </c>
      <c r="P13" s="81">
        <f>IF(OR($C13="",$I13="",$K13=""),0,IF(ROUND(($I13-$K13)*1440,0)&gt;設定!$C$42,ROUND(($I13-$K13)*1440,0),0))</f>
        <v/>
      </c>
      <c r="Q13" s="82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79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0">
        <f>IF($G14="","",IFERROR(INDEX(設定!$D$6:$D$18,MATCH($G14,設定!$B$6:$B$18,0)),""))</f>
        <v/>
      </c>
      <c r="I14" s="80">
        <f>IF($G14="","",IFERROR(INDEX(設定!$E$6:$E$18,MATCH($G14,設定!$B$6:$B$18,0)),""))</f>
        <v/>
      </c>
      <c r="J14" s="80">
        <f>IFERROR(INDEX(打卡匯入!$C$3:$C$2002,MATCH($C14&amp;"|"&amp;DAY($A14),打卡匯入!$E$3:$E$2002,0)),"")</f>
        <v/>
      </c>
      <c r="K14" s="80">
        <f>IFERROR(INDEX(打卡匯入!$D$3:$D$2002,MATCH($C14&amp;"|"&amp;DAY($A14),打卡匯入!$E$3:$E$2002,0)),"")</f>
        <v/>
      </c>
      <c r="L14" s="81">
        <f>IF(OR($J14="",$K14=""),"",IFERROR(INDEX(設定!$F$6:$F$18,MATCH($G14,設定!$B$6:$B$18,0)),0))</f>
        <v/>
      </c>
      <c r="M14" s="82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1">
        <f>IF(OR($C14="",$H14="",$J14=""),0,IF(ROUND(($J14-$H14)*1440,0)&gt;設定!$C$42,ROUND(($J14-$H14)*1440,0),0))</f>
        <v/>
      </c>
      <c r="P14" s="81">
        <f>IF(OR($C14="",$I14="",$K14=""),0,IF(ROUND(($I14-$K14)*1440,0)&gt;設定!$C$42,ROUND(($I14-$K14)*1440,0),0))</f>
        <v/>
      </c>
      <c r="Q14" s="82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79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0">
        <f>IF($G15="","",IFERROR(INDEX(設定!$D$6:$D$18,MATCH($G15,設定!$B$6:$B$18,0)),""))</f>
        <v/>
      </c>
      <c r="I15" s="80">
        <f>IF($G15="","",IFERROR(INDEX(設定!$E$6:$E$18,MATCH($G15,設定!$B$6:$B$18,0)),""))</f>
        <v/>
      </c>
      <c r="J15" s="80">
        <f>IFERROR(INDEX(打卡匯入!$C$3:$C$2002,MATCH($C15&amp;"|"&amp;DAY($A15),打卡匯入!$E$3:$E$2002,0)),"")</f>
        <v/>
      </c>
      <c r="K15" s="80">
        <f>IFERROR(INDEX(打卡匯入!$D$3:$D$2002,MATCH($C15&amp;"|"&amp;DAY($A15),打卡匯入!$E$3:$E$2002,0)),"")</f>
        <v/>
      </c>
      <c r="L15" s="81">
        <f>IF(OR($J15="",$K15=""),"",IFERROR(INDEX(設定!$F$6:$F$18,MATCH($G15,設定!$B$6:$B$18,0)),0))</f>
        <v/>
      </c>
      <c r="M15" s="82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1">
        <f>IF(OR($C15="",$H15="",$J15=""),0,IF(ROUND(($J15-$H15)*1440,0)&gt;設定!$C$42,ROUND(($J15-$H15)*1440,0),0))</f>
        <v/>
      </c>
      <c r="P15" s="81">
        <f>IF(OR($C15="",$I15="",$K15=""),0,IF(ROUND(($I15-$K15)*1440,0)&gt;設定!$C$42,ROUND(($I15-$K15)*1440,0),0))</f>
        <v/>
      </c>
      <c r="Q15" s="82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79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0">
        <f>IF($G16="","",IFERROR(INDEX(設定!$D$6:$D$18,MATCH($G16,設定!$B$6:$B$18,0)),""))</f>
        <v/>
      </c>
      <c r="I16" s="80">
        <f>IF($G16="","",IFERROR(INDEX(設定!$E$6:$E$18,MATCH($G16,設定!$B$6:$B$18,0)),""))</f>
        <v/>
      </c>
      <c r="J16" s="80">
        <f>IFERROR(INDEX(打卡匯入!$C$3:$C$2002,MATCH($C16&amp;"|"&amp;DAY($A16),打卡匯入!$E$3:$E$2002,0)),"")</f>
        <v/>
      </c>
      <c r="K16" s="80">
        <f>IFERROR(INDEX(打卡匯入!$D$3:$D$2002,MATCH($C16&amp;"|"&amp;DAY($A16),打卡匯入!$E$3:$E$2002,0)),"")</f>
        <v/>
      </c>
      <c r="L16" s="81">
        <f>IF(OR($J16="",$K16=""),"",IFERROR(INDEX(設定!$F$6:$F$18,MATCH($G16,設定!$B$6:$B$18,0)),0))</f>
        <v/>
      </c>
      <c r="M16" s="82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1">
        <f>IF(OR($C16="",$H16="",$J16=""),0,IF(ROUND(($J16-$H16)*1440,0)&gt;設定!$C$42,ROUND(($J16-$H16)*1440,0),0))</f>
        <v/>
      </c>
      <c r="P16" s="81">
        <f>IF(OR($C16="",$I16="",$K16=""),0,IF(ROUND(($I16-$K16)*1440,0)&gt;設定!$C$42,ROUND(($I16-$K16)*1440,0),0))</f>
        <v/>
      </c>
      <c r="Q16" s="82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79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0">
        <f>IF($G17="","",IFERROR(INDEX(設定!$D$6:$D$18,MATCH($G17,設定!$B$6:$B$18,0)),""))</f>
        <v/>
      </c>
      <c r="I17" s="80">
        <f>IF($G17="","",IFERROR(INDEX(設定!$E$6:$E$18,MATCH($G17,設定!$B$6:$B$18,0)),""))</f>
        <v/>
      </c>
      <c r="J17" s="80">
        <f>IFERROR(INDEX(打卡匯入!$C$3:$C$2002,MATCH($C17&amp;"|"&amp;DAY($A17),打卡匯入!$E$3:$E$2002,0)),"")</f>
        <v/>
      </c>
      <c r="K17" s="80">
        <f>IFERROR(INDEX(打卡匯入!$D$3:$D$2002,MATCH($C17&amp;"|"&amp;DAY($A17),打卡匯入!$E$3:$E$2002,0)),"")</f>
        <v/>
      </c>
      <c r="L17" s="81">
        <f>IF(OR($J17="",$K17=""),"",IFERROR(INDEX(設定!$F$6:$F$18,MATCH($G17,設定!$B$6:$B$18,0)),0))</f>
        <v/>
      </c>
      <c r="M17" s="82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1">
        <f>IF(OR($C17="",$H17="",$J17=""),0,IF(ROUND(($J17-$H17)*1440,0)&gt;設定!$C$42,ROUND(($J17-$H17)*1440,0),0))</f>
        <v/>
      </c>
      <c r="P17" s="81">
        <f>IF(OR($C17="",$I17="",$K17=""),0,IF(ROUND(($I17-$K17)*1440,0)&gt;設定!$C$42,ROUND(($I17-$K17)*1440,0),0))</f>
        <v/>
      </c>
      <c r="Q17" s="82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79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0">
        <f>IF($G18="","",IFERROR(INDEX(設定!$D$6:$D$18,MATCH($G18,設定!$B$6:$B$18,0)),""))</f>
        <v/>
      </c>
      <c r="I18" s="80">
        <f>IF($G18="","",IFERROR(INDEX(設定!$E$6:$E$18,MATCH($G18,設定!$B$6:$B$18,0)),""))</f>
        <v/>
      </c>
      <c r="J18" s="80">
        <f>IFERROR(INDEX(打卡匯入!$C$3:$C$2002,MATCH($C18&amp;"|"&amp;DAY($A18),打卡匯入!$E$3:$E$2002,0)),"")</f>
        <v/>
      </c>
      <c r="K18" s="80">
        <f>IFERROR(INDEX(打卡匯入!$D$3:$D$2002,MATCH($C18&amp;"|"&amp;DAY($A18),打卡匯入!$E$3:$E$2002,0)),"")</f>
        <v/>
      </c>
      <c r="L18" s="81">
        <f>IF(OR($J18="",$K18=""),"",IFERROR(INDEX(設定!$F$6:$F$18,MATCH($G18,設定!$B$6:$B$18,0)),0))</f>
        <v/>
      </c>
      <c r="M18" s="82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1">
        <f>IF(OR($C18="",$H18="",$J18=""),0,IF(ROUND(($J18-$H18)*1440,0)&gt;設定!$C$42,ROUND(($J18-$H18)*1440,0),0))</f>
        <v/>
      </c>
      <c r="P18" s="81">
        <f>IF(OR($C18="",$I18="",$K18=""),0,IF(ROUND(($I18-$K18)*1440,0)&gt;設定!$C$42,ROUND(($I18-$K18)*1440,0),0))</f>
        <v/>
      </c>
      <c r="Q18" s="82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79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0">
        <f>IF($G19="","",IFERROR(INDEX(設定!$D$6:$D$18,MATCH($G19,設定!$B$6:$B$18,0)),""))</f>
        <v/>
      </c>
      <c r="I19" s="80">
        <f>IF($G19="","",IFERROR(INDEX(設定!$E$6:$E$18,MATCH($G19,設定!$B$6:$B$18,0)),""))</f>
        <v/>
      </c>
      <c r="J19" s="80">
        <f>IFERROR(INDEX(打卡匯入!$C$3:$C$2002,MATCH($C19&amp;"|"&amp;DAY($A19),打卡匯入!$E$3:$E$2002,0)),"")</f>
        <v/>
      </c>
      <c r="K19" s="80">
        <f>IFERROR(INDEX(打卡匯入!$D$3:$D$2002,MATCH($C19&amp;"|"&amp;DAY($A19),打卡匯入!$E$3:$E$2002,0)),"")</f>
        <v/>
      </c>
      <c r="L19" s="81">
        <f>IF(OR($J19="",$K19=""),"",IFERROR(INDEX(設定!$F$6:$F$18,MATCH($G19,設定!$B$6:$B$18,0)),0))</f>
        <v/>
      </c>
      <c r="M19" s="82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1">
        <f>IF(OR($C19="",$H19="",$J19=""),0,IF(ROUND(($J19-$H19)*1440,0)&gt;設定!$C$42,ROUND(($J19-$H19)*1440,0),0))</f>
        <v/>
      </c>
      <c r="P19" s="81">
        <f>IF(OR($C19="",$I19="",$K19=""),0,IF(ROUND(($I19-$K19)*1440,0)&gt;設定!$C$42,ROUND(($I19-$K19)*1440,0),0))</f>
        <v/>
      </c>
      <c r="Q19" s="82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79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0">
        <f>IF($G20="","",IFERROR(INDEX(設定!$D$6:$D$18,MATCH($G20,設定!$B$6:$B$18,0)),""))</f>
        <v/>
      </c>
      <c r="I20" s="80">
        <f>IF($G20="","",IFERROR(INDEX(設定!$E$6:$E$18,MATCH($G20,設定!$B$6:$B$18,0)),""))</f>
        <v/>
      </c>
      <c r="J20" s="80">
        <f>IFERROR(INDEX(打卡匯入!$C$3:$C$2002,MATCH($C20&amp;"|"&amp;DAY($A20),打卡匯入!$E$3:$E$2002,0)),"")</f>
        <v/>
      </c>
      <c r="K20" s="80">
        <f>IFERROR(INDEX(打卡匯入!$D$3:$D$2002,MATCH($C20&amp;"|"&amp;DAY($A20),打卡匯入!$E$3:$E$2002,0)),"")</f>
        <v/>
      </c>
      <c r="L20" s="81">
        <f>IF(OR($J20="",$K20=""),"",IFERROR(INDEX(設定!$F$6:$F$18,MATCH($G20,設定!$B$6:$B$18,0)),0))</f>
        <v/>
      </c>
      <c r="M20" s="82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1">
        <f>IF(OR($C20="",$H20="",$J20=""),0,IF(ROUND(($J20-$H20)*1440,0)&gt;設定!$C$42,ROUND(($J20-$H20)*1440,0),0))</f>
        <v/>
      </c>
      <c r="P20" s="81">
        <f>IF(OR($C20="",$I20="",$K20=""),0,IF(ROUND(($I20-$K20)*1440,0)&gt;設定!$C$42,ROUND(($I20-$K20)*1440,0),0))</f>
        <v/>
      </c>
      <c r="Q20" s="82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79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0">
        <f>IF($G21="","",IFERROR(INDEX(設定!$D$6:$D$18,MATCH($G21,設定!$B$6:$B$18,0)),""))</f>
        <v/>
      </c>
      <c r="I21" s="80">
        <f>IF($G21="","",IFERROR(INDEX(設定!$E$6:$E$18,MATCH($G21,設定!$B$6:$B$18,0)),""))</f>
        <v/>
      </c>
      <c r="J21" s="80">
        <f>IFERROR(INDEX(打卡匯入!$C$3:$C$2002,MATCH($C21&amp;"|"&amp;DAY($A21),打卡匯入!$E$3:$E$2002,0)),"")</f>
        <v/>
      </c>
      <c r="K21" s="80">
        <f>IFERROR(INDEX(打卡匯入!$D$3:$D$2002,MATCH($C21&amp;"|"&amp;DAY($A21),打卡匯入!$E$3:$E$2002,0)),"")</f>
        <v/>
      </c>
      <c r="L21" s="81">
        <f>IF(OR($J21="",$K21=""),"",IFERROR(INDEX(設定!$F$6:$F$18,MATCH($G21,設定!$B$6:$B$18,0)),0))</f>
        <v/>
      </c>
      <c r="M21" s="82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1">
        <f>IF(OR($C21="",$H21="",$J21=""),0,IF(ROUND(($J21-$H21)*1440,0)&gt;設定!$C$42,ROUND(($J21-$H21)*1440,0),0))</f>
        <v/>
      </c>
      <c r="P21" s="81">
        <f>IF(OR($C21="",$I21="",$K21=""),0,IF(ROUND(($I21-$K21)*1440,0)&gt;設定!$C$42,ROUND(($I21-$K21)*1440,0),0))</f>
        <v/>
      </c>
      <c r="Q21" s="82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79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0">
        <f>IF($G22="","",IFERROR(INDEX(設定!$D$6:$D$18,MATCH($G22,設定!$B$6:$B$18,0)),""))</f>
        <v/>
      </c>
      <c r="I22" s="80">
        <f>IF($G22="","",IFERROR(INDEX(設定!$E$6:$E$18,MATCH($G22,設定!$B$6:$B$18,0)),""))</f>
        <v/>
      </c>
      <c r="J22" s="80">
        <f>IFERROR(INDEX(打卡匯入!$C$3:$C$2002,MATCH($C22&amp;"|"&amp;DAY($A22),打卡匯入!$E$3:$E$2002,0)),"")</f>
        <v/>
      </c>
      <c r="K22" s="80">
        <f>IFERROR(INDEX(打卡匯入!$D$3:$D$2002,MATCH($C22&amp;"|"&amp;DAY($A22),打卡匯入!$E$3:$E$2002,0)),"")</f>
        <v/>
      </c>
      <c r="L22" s="81">
        <f>IF(OR($J22="",$K22=""),"",IFERROR(INDEX(設定!$F$6:$F$18,MATCH($G22,設定!$B$6:$B$18,0)),0))</f>
        <v/>
      </c>
      <c r="M22" s="82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1">
        <f>IF(OR($C22="",$H22="",$J22=""),0,IF(ROUND(($J22-$H22)*1440,0)&gt;設定!$C$42,ROUND(($J22-$H22)*1440,0),0))</f>
        <v/>
      </c>
      <c r="P22" s="81">
        <f>IF(OR($C22="",$I22="",$K22=""),0,IF(ROUND(($I22-$K22)*1440,0)&gt;設定!$C$42,ROUND(($I22-$K22)*1440,0),0))</f>
        <v/>
      </c>
      <c r="Q22" s="82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79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0">
        <f>IF($G23="","",IFERROR(INDEX(設定!$D$6:$D$18,MATCH($G23,設定!$B$6:$B$18,0)),""))</f>
        <v/>
      </c>
      <c r="I23" s="80">
        <f>IF($G23="","",IFERROR(INDEX(設定!$E$6:$E$18,MATCH($G23,設定!$B$6:$B$18,0)),""))</f>
        <v/>
      </c>
      <c r="J23" s="80">
        <f>IFERROR(INDEX(打卡匯入!$C$3:$C$2002,MATCH($C23&amp;"|"&amp;DAY($A23),打卡匯入!$E$3:$E$2002,0)),"")</f>
        <v/>
      </c>
      <c r="K23" s="80">
        <f>IFERROR(INDEX(打卡匯入!$D$3:$D$2002,MATCH($C23&amp;"|"&amp;DAY($A23),打卡匯入!$E$3:$E$2002,0)),"")</f>
        <v/>
      </c>
      <c r="L23" s="81">
        <f>IF(OR($J23="",$K23=""),"",IFERROR(INDEX(設定!$F$6:$F$18,MATCH($G23,設定!$B$6:$B$18,0)),0))</f>
        <v/>
      </c>
      <c r="M23" s="82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1">
        <f>IF(OR($C23="",$H23="",$J23=""),0,IF(ROUND(($J23-$H23)*1440,0)&gt;設定!$C$42,ROUND(($J23-$H23)*1440,0),0))</f>
        <v/>
      </c>
      <c r="P23" s="81">
        <f>IF(OR($C23="",$I23="",$K23=""),0,IF(ROUND(($I23-$K23)*1440,0)&gt;設定!$C$42,ROUND(($I23-$K23)*1440,0),0))</f>
        <v/>
      </c>
      <c r="Q23" s="82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79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0">
        <f>IF($G24="","",IFERROR(INDEX(設定!$D$6:$D$18,MATCH($G24,設定!$B$6:$B$18,0)),""))</f>
        <v/>
      </c>
      <c r="I24" s="80">
        <f>IF($G24="","",IFERROR(INDEX(設定!$E$6:$E$18,MATCH($G24,設定!$B$6:$B$18,0)),""))</f>
        <v/>
      </c>
      <c r="J24" s="80">
        <f>IFERROR(INDEX(打卡匯入!$C$3:$C$2002,MATCH($C24&amp;"|"&amp;DAY($A24),打卡匯入!$E$3:$E$2002,0)),"")</f>
        <v/>
      </c>
      <c r="K24" s="80">
        <f>IFERROR(INDEX(打卡匯入!$D$3:$D$2002,MATCH($C24&amp;"|"&amp;DAY($A24),打卡匯入!$E$3:$E$2002,0)),"")</f>
        <v/>
      </c>
      <c r="L24" s="81">
        <f>IF(OR($J24="",$K24=""),"",IFERROR(INDEX(設定!$F$6:$F$18,MATCH($G24,設定!$B$6:$B$18,0)),0))</f>
        <v/>
      </c>
      <c r="M24" s="82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1">
        <f>IF(OR($C24="",$H24="",$J24=""),0,IF(ROUND(($J24-$H24)*1440,0)&gt;設定!$C$42,ROUND(($J24-$H24)*1440,0),0))</f>
        <v/>
      </c>
      <c r="P24" s="81">
        <f>IF(OR($C24="",$I24="",$K24=""),0,IF(ROUND(($I24-$K24)*1440,0)&gt;設定!$C$42,ROUND(($I24-$K24)*1440,0),0))</f>
        <v/>
      </c>
      <c r="Q24" s="82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79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0">
        <f>IF($G25="","",IFERROR(INDEX(設定!$D$6:$D$18,MATCH($G25,設定!$B$6:$B$18,0)),""))</f>
        <v/>
      </c>
      <c r="I25" s="80">
        <f>IF($G25="","",IFERROR(INDEX(設定!$E$6:$E$18,MATCH($G25,設定!$B$6:$B$18,0)),""))</f>
        <v/>
      </c>
      <c r="J25" s="80">
        <f>IFERROR(INDEX(打卡匯入!$C$3:$C$2002,MATCH($C25&amp;"|"&amp;DAY($A25),打卡匯入!$E$3:$E$2002,0)),"")</f>
        <v/>
      </c>
      <c r="K25" s="80">
        <f>IFERROR(INDEX(打卡匯入!$D$3:$D$2002,MATCH($C25&amp;"|"&amp;DAY($A25),打卡匯入!$E$3:$E$2002,0)),"")</f>
        <v/>
      </c>
      <c r="L25" s="81">
        <f>IF(OR($J25="",$K25=""),"",IFERROR(INDEX(設定!$F$6:$F$18,MATCH($G25,設定!$B$6:$B$18,0)),0))</f>
        <v/>
      </c>
      <c r="M25" s="82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1">
        <f>IF(OR($C25="",$H25="",$J25=""),0,IF(ROUND(($J25-$H25)*1440,0)&gt;設定!$C$42,ROUND(($J25-$H25)*1440,0),0))</f>
        <v/>
      </c>
      <c r="P25" s="81">
        <f>IF(OR($C25="",$I25="",$K25=""),0,IF(ROUND(($I25-$K25)*1440,0)&gt;設定!$C$42,ROUND(($I25-$K25)*1440,0),0))</f>
        <v/>
      </c>
      <c r="Q25" s="82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79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0">
        <f>IF($G26="","",IFERROR(INDEX(設定!$D$6:$D$18,MATCH($G26,設定!$B$6:$B$18,0)),""))</f>
        <v/>
      </c>
      <c r="I26" s="80">
        <f>IF($G26="","",IFERROR(INDEX(設定!$E$6:$E$18,MATCH($G26,設定!$B$6:$B$18,0)),""))</f>
        <v/>
      </c>
      <c r="J26" s="80">
        <f>IFERROR(INDEX(打卡匯入!$C$3:$C$2002,MATCH($C26&amp;"|"&amp;DAY($A26),打卡匯入!$E$3:$E$2002,0)),"")</f>
        <v/>
      </c>
      <c r="K26" s="80">
        <f>IFERROR(INDEX(打卡匯入!$D$3:$D$2002,MATCH($C26&amp;"|"&amp;DAY($A26),打卡匯入!$E$3:$E$2002,0)),"")</f>
        <v/>
      </c>
      <c r="L26" s="81">
        <f>IF(OR($J26="",$K26=""),"",IFERROR(INDEX(設定!$F$6:$F$18,MATCH($G26,設定!$B$6:$B$18,0)),0))</f>
        <v/>
      </c>
      <c r="M26" s="82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1">
        <f>IF(OR($C26="",$H26="",$J26=""),0,IF(ROUND(($J26-$H26)*1440,0)&gt;設定!$C$42,ROUND(($J26-$H26)*1440,0),0))</f>
        <v/>
      </c>
      <c r="P26" s="81">
        <f>IF(OR($C26="",$I26="",$K26=""),0,IF(ROUND(($I26-$K26)*1440,0)&gt;設定!$C$42,ROUND(($I26-$K26)*1440,0),0))</f>
        <v/>
      </c>
      <c r="Q26" s="82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79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0">
        <f>IF($G27="","",IFERROR(INDEX(設定!$D$6:$D$18,MATCH($G27,設定!$B$6:$B$18,0)),""))</f>
        <v/>
      </c>
      <c r="I27" s="80">
        <f>IF($G27="","",IFERROR(INDEX(設定!$E$6:$E$18,MATCH($G27,設定!$B$6:$B$18,0)),""))</f>
        <v/>
      </c>
      <c r="J27" s="80">
        <f>IFERROR(INDEX(打卡匯入!$C$3:$C$2002,MATCH($C27&amp;"|"&amp;DAY($A27),打卡匯入!$E$3:$E$2002,0)),"")</f>
        <v/>
      </c>
      <c r="K27" s="80">
        <f>IFERROR(INDEX(打卡匯入!$D$3:$D$2002,MATCH($C27&amp;"|"&amp;DAY($A27),打卡匯入!$E$3:$E$2002,0)),"")</f>
        <v/>
      </c>
      <c r="L27" s="81">
        <f>IF(OR($J27="",$K27=""),"",IFERROR(INDEX(設定!$F$6:$F$18,MATCH($G27,設定!$B$6:$B$18,0)),0))</f>
        <v/>
      </c>
      <c r="M27" s="82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1">
        <f>IF(OR($C27="",$H27="",$J27=""),0,IF(ROUND(($J27-$H27)*1440,0)&gt;設定!$C$42,ROUND(($J27-$H27)*1440,0),0))</f>
        <v/>
      </c>
      <c r="P27" s="81">
        <f>IF(OR($C27="",$I27="",$K27=""),0,IF(ROUND(($I27-$K27)*1440,0)&gt;設定!$C$42,ROUND(($I27-$K27)*1440,0),0))</f>
        <v/>
      </c>
      <c r="Q27" s="82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79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0">
        <f>IF($G28="","",IFERROR(INDEX(設定!$D$6:$D$18,MATCH($G28,設定!$B$6:$B$18,0)),""))</f>
        <v/>
      </c>
      <c r="I28" s="80">
        <f>IF($G28="","",IFERROR(INDEX(設定!$E$6:$E$18,MATCH($G28,設定!$B$6:$B$18,0)),""))</f>
        <v/>
      </c>
      <c r="J28" s="80">
        <f>IFERROR(INDEX(打卡匯入!$C$3:$C$2002,MATCH($C28&amp;"|"&amp;DAY($A28),打卡匯入!$E$3:$E$2002,0)),"")</f>
        <v/>
      </c>
      <c r="K28" s="80">
        <f>IFERROR(INDEX(打卡匯入!$D$3:$D$2002,MATCH($C28&amp;"|"&amp;DAY($A28),打卡匯入!$E$3:$E$2002,0)),"")</f>
        <v/>
      </c>
      <c r="L28" s="81">
        <f>IF(OR($J28="",$K28=""),"",IFERROR(INDEX(設定!$F$6:$F$18,MATCH($G28,設定!$B$6:$B$18,0)),0))</f>
        <v/>
      </c>
      <c r="M28" s="82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1">
        <f>IF(OR($C28="",$H28="",$J28=""),0,IF(ROUND(($J28-$H28)*1440,0)&gt;設定!$C$42,ROUND(($J28-$H28)*1440,0),0))</f>
        <v/>
      </c>
      <c r="P28" s="81">
        <f>IF(OR($C28="",$I28="",$K28=""),0,IF(ROUND(($I28-$K28)*1440,0)&gt;設定!$C$42,ROUND(($I28-$K28)*1440,0),0))</f>
        <v/>
      </c>
      <c r="Q28" s="82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79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0">
        <f>IF($G29="","",IFERROR(INDEX(設定!$D$6:$D$18,MATCH($G29,設定!$B$6:$B$18,0)),""))</f>
        <v/>
      </c>
      <c r="I29" s="80">
        <f>IF($G29="","",IFERROR(INDEX(設定!$E$6:$E$18,MATCH($G29,設定!$B$6:$B$18,0)),""))</f>
        <v/>
      </c>
      <c r="J29" s="80">
        <f>IFERROR(INDEX(打卡匯入!$C$3:$C$2002,MATCH($C29&amp;"|"&amp;DAY($A29),打卡匯入!$E$3:$E$2002,0)),"")</f>
        <v/>
      </c>
      <c r="K29" s="80">
        <f>IFERROR(INDEX(打卡匯入!$D$3:$D$2002,MATCH($C29&amp;"|"&amp;DAY($A29),打卡匯入!$E$3:$E$2002,0)),"")</f>
        <v/>
      </c>
      <c r="L29" s="81">
        <f>IF(OR($J29="",$K29=""),"",IFERROR(INDEX(設定!$F$6:$F$18,MATCH($G29,設定!$B$6:$B$18,0)),0))</f>
        <v/>
      </c>
      <c r="M29" s="82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1">
        <f>IF(OR($C29="",$H29="",$J29=""),0,IF(ROUND(($J29-$H29)*1440,0)&gt;設定!$C$42,ROUND(($J29-$H29)*1440,0),0))</f>
        <v/>
      </c>
      <c r="P29" s="81">
        <f>IF(OR($C29="",$I29="",$K29=""),0,IF(ROUND(($I29-$K29)*1440,0)&gt;設定!$C$42,ROUND(($I29-$K29)*1440,0),0))</f>
        <v/>
      </c>
      <c r="Q29" s="82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79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0">
        <f>IF($G30="","",IFERROR(INDEX(設定!$D$6:$D$18,MATCH($G30,設定!$B$6:$B$18,0)),""))</f>
        <v/>
      </c>
      <c r="I30" s="80">
        <f>IF($G30="","",IFERROR(INDEX(設定!$E$6:$E$18,MATCH($G30,設定!$B$6:$B$18,0)),""))</f>
        <v/>
      </c>
      <c r="J30" s="80">
        <f>IFERROR(INDEX(打卡匯入!$C$3:$C$2002,MATCH($C30&amp;"|"&amp;DAY($A30),打卡匯入!$E$3:$E$2002,0)),"")</f>
        <v/>
      </c>
      <c r="K30" s="80">
        <f>IFERROR(INDEX(打卡匯入!$D$3:$D$2002,MATCH($C30&amp;"|"&amp;DAY($A30),打卡匯入!$E$3:$E$2002,0)),"")</f>
        <v/>
      </c>
      <c r="L30" s="81">
        <f>IF(OR($J30="",$K30=""),"",IFERROR(INDEX(設定!$F$6:$F$18,MATCH($G30,設定!$B$6:$B$18,0)),0))</f>
        <v/>
      </c>
      <c r="M30" s="82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1">
        <f>IF(OR($C30="",$H30="",$J30=""),0,IF(ROUND(($J30-$H30)*1440,0)&gt;設定!$C$42,ROUND(($J30-$H30)*1440,0),0))</f>
        <v/>
      </c>
      <c r="P30" s="81">
        <f>IF(OR($C30="",$I30="",$K30=""),0,IF(ROUND(($I30-$K30)*1440,0)&gt;設定!$C$42,ROUND(($I30-$K30)*1440,0),0))</f>
        <v/>
      </c>
      <c r="Q30" s="82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79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0">
        <f>IF($G31="","",IFERROR(INDEX(設定!$D$6:$D$18,MATCH($G31,設定!$B$6:$B$18,0)),""))</f>
        <v/>
      </c>
      <c r="I31" s="80">
        <f>IF($G31="","",IFERROR(INDEX(設定!$E$6:$E$18,MATCH($G31,設定!$B$6:$B$18,0)),""))</f>
        <v/>
      </c>
      <c r="J31" s="80">
        <f>IFERROR(INDEX(打卡匯入!$C$3:$C$2002,MATCH($C31&amp;"|"&amp;DAY($A31),打卡匯入!$E$3:$E$2002,0)),"")</f>
        <v/>
      </c>
      <c r="K31" s="80">
        <f>IFERROR(INDEX(打卡匯入!$D$3:$D$2002,MATCH($C31&amp;"|"&amp;DAY($A31),打卡匯入!$E$3:$E$2002,0)),"")</f>
        <v/>
      </c>
      <c r="L31" s="81">
        <f>IF(OR($J31="",$K31=""),"",IFERROR(INDEX(設定!$F$6:$F$18,MATCH($G31,設定!$B$6:$B$18,0)),0))</f>
        <v/>
      </c>
      <c r="M31" s="82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1">
        <f>IF(OR($C31="",$H31="",$J31=""),0,IF(ROUND(($J31-$H31)*1440,0)&gt;設定!$C$42,ROUND(($J31-$H31)*1440,0),0))</f>
        <v/>
      </c>
      <c r="P31" s="81">
        <f>IF(OR($C31="",$I31="",$K31=""),0,IF(ROUND(($I31-$K31)*1440,0)&gt;設定!$C$42,ROUND(($I31-$K31)*1440,0),0))</f>
        <v/>
      </c>
      <c r="Q31" s="82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79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0">
        <f>IF($G32="","",IFERROR(INDEX(設定!$D$6:$D$18,MATCH($G32,設定!$B$6:$B$18,0)),""))</f>
        <v/>
      </c>
      <c r="I32" s="80">
        <f>IF($G32="","",IFERROR(INDEX(設定!$E$6:$E$18,MATCH($G32,設定!$B$6:$B$18,0)),""))</f>
        <v/>
      </c>
      <c r="J32" s="80">
        <f>IFERROR(INDEX(打卡匯入!$C$3:$C$2002,MATCH($C32&amp;"|"&amp;DAY($A32),打卡匯入!$E$3:$E$2002,0)),"")</f>
        <v/>
      </c>
      <c r="K32" s="80">
        <f>IFERROR(INDEX(打卡匯入!$D$3:$D$2002,MATCH($C32&amp;"|"&amp;DAY($A32),打卡匯入!$E$3:$E$2002,0)),"")</f>
        <v/>
      </c>
      <c r="L32" s="81">
        <f>IF(OR($J32="",$K32=""),"",IFERROR(INDEX(設定!$F$6:$F$18,MATCH($G32,設定!$B$6:$B$18,0)),0))</f>
        <v/>
      </c>
      <c r="M32" s="82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1">
        <f>IF(OR($C32="",$H32="",$J32=""),0,IF(ROUND(($J32-$H32)*1440,0)&gt;設定!$C$42,ROUND(($J32-$H32)*1440,0),0))</f>
        <v/>
      </c>
      <c r="P32" s="81">
        <f>IF(OR($C32="",$I32="",$K32=""),0,IF(ROUND(($I32-$K32)*1440,0)&gt;設定!$C$42,ROUND(($I32-$K32)*1440,0),0))</f>
        <v/>
      </c>
      <c r="Q32" s="82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79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0">
        <f>IF($G33="","",IFERROR(INDEX(設定!$D$6:$D$18,MATCH($G33,設定!$B$6:$B$18,0)),""))</f>
        <v/>
      </c>
      <c r="I33" s="80">
        <f>IF($G33="","",IFERROR(INDEX(設定!$E$6:$E$18,MATCH($G33,設定!$B$6:$B$18,0)),""))</f>
        <v/>
      </c>
      <c r="J33" s="80">
        <f>IFERROR(INDEX(打卡匯入!$C$3:$C$2002,MATCH($C33&amp;"|"&amp;DAY($A33),打卡匯入!$E$3:$E$2002,0)),"")</f>
        <v/>
      </c>
      <c r="K33" s="80">
        <f>IFERROR(INDEX(打卡匯入!$D$3:$D$2002,MATCH($C33&amp;"|"&amp;DAY($A33),打卡匯入!$E$3:$E$2002,0)),"")</f>
        <v/>
      </c>
      <c r="L33" s="81">
        <f>IF(OR($J33="",$K33=""),"",IFERROR(INDEX(設定!$F$6:$F$18,MATCH($G33,設定!$B$6:$B$18,0)),0))</f>
        <v/>
      </c>
      <c r="M33" s="82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1">
        <f>IF(OR($C33="",$H33="",$J33=""),0,IF(ROUND(($J33-$H33)*1440,0)&gt;設定!$C$42,ROUND(($J33-$H33)*1440,0),0))</f>
        <v/>
      </c>
      <c r="P33" s="81">
        <f>IF(OR($C33="",$I33="",$K33=""),0,IF(ROUND(($I33-$K33)*1440,0)&gt;設定!$C$42,ROUND(($I33-$K33)*1440,0),0))</f>
        <v/>
      </c>
      <c r="Q33" s="82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79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0">
        <f>IF($G34="","",IFERROR(INDEX(設定!$D$6:$D$18,MATCH($G34,設定!$B$6:$B$18,0)),""))</f>
        <v/>
      </c>
      <c r="I34" s="80">
        <f>IF($G34="","",IFERROR(INDEX(設定!$E$6:$E$18,MATCH($G34,設定!$B$6:$B$18,0)),""))</f>
        <v/>
      </c>
      <c r="J34" s="80">
        <f>IFERROR(INDEX(打卡匯入!$C$3:$C$2002,MATCH($C34&amp;"|"&amp;DAY($A34),打卡匯入!$E$3:$E$2002,0)),"")</f>
        <v/>
      </c>
      <c r="K34" s="80">
        <f>IFERROR(INDEX(打卡匯入!$D$3:$D$2002,MATCH($C34&amp;"|"&amp;DAY($A34),打卡匯入!$E$3:$E$2002,0)),"")</f>
        <v/>
      </c>
      <c r="L34" s="81">
        <f>IF(OR($J34="",$K34=""),"",IFERROR(INDEX(設定!$F$6:$F$18,MATCH($G34,設定!$B$6:$B$18,0)),0))</f>
        <v/>
      </c>
      <c r="M34" s="82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1">
        <f>IF(OR($C34="",$H34="",$J34=""),0,IF(ROUND(($J34-$H34)*1440,0)&gt;設定!$C$42,ROUND(($J34-$H34)*1440,0),0))</f>
        <v/>
      </c>
      <c r="P34" s="81">
        <f>IF(OR($C34="",$I34="",$K34=""),0,IF(ROUND(($I34-$K34)*1440,0)&gt;設定!$C$42,ROUND(($I34-$K34)*1440,0),0))</f>
        <v/>
      </c>
      <c r="Q34" s="82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79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0">
        <f>IF($G35="","",IFERROR(INDEX(設定!$D$6:$D$18,MATCH($G35,設定!$B$6:$B$18,0)),""))</f>
        <v/>
      </c>
      <c r="I35" s="80">
        <f>IF($G35="","",IFERROR(INDEX(設定!$E$6:$E$18,MATCH($G35,設定!$B$6:$B$18,0)),""))</f>
        <v/>
      </c>
      <c r="J35" s="80">
        <f>IFERROR(INDEX(打卡匯入!$C$3:$C$2002,MATCH($C35&amp;"|"&amp;DAY($A35),打卡匯入!$E$3:$E$2002,0)),"")</f>
        <v/>
      </c>
      <c r="K35" s="80">
        <f>IFERROR(INDEX(打卡匯入!$D$3:$D$2002,MATCH($C35&amp;"|"&amp;DAY($A35),打卡匯入!$E$3:$E$2002,0)),"")</f>
        <v/>
      </c>
      <c r="L35" s="81">
        <f>IF(OR($J35="",$K35=""),"",IFERROR(INDEX(設定!$F$6:$F$18,MATCH($G35,設定!$B$6:$B$18,0)),0))</f>
        <v/>
      </c>
      <c r="M35" s="82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1">
        <f>IF(OR($C35="",$H35="",$J35=""),0,IF(ROUND(($J35-$H35)*1440,0)&gt;設定!$C$42,ROUND(($J35-$H35)*1440,0),0))</f>
        <v/>
      </c>
      <c r="P35" s="81">
        <f>IF(OR($C35="",$I35="",$K35=""),0,IF(ROUND(($I35-$K35)*1440,0)&gt;設定!$C$42,ROUND(($I35-$K35)*1440,0),0))</f>
        <v/>
      </c>
      <c r="Q35" s="82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79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0">
        <f>IF($G36="","",IFERROR(INDEX(設定!$D$6:$D$18,MATCH($G36,設定!$B$6:$B$18,0)),""))</f>
        <v/>
      </c>
      <c r="I36" s="80">
        <f>IF($G36="","",IFERROR(INDEX(設定!$E$6:$E$18,MATCH($G36,設定!$B$6:$B$18,0)),""))</f>
        <v/>
      </c>
      <c r="J36" s="80">
        <f>IFERROR(INDEX(打卡匯入!$C$3:$C$2002,MATCH($C36&amp;"|"&amp;DAY($A36),打卡匯入!$E$3:$E$2002,0)),"")</f>
        <v/>
      </c>
      <c r="K36" s="80">
        <f>IFERROR(INDEX(打卡匯入!$D$3:$D$2002,MATCH($C36&amp;"|"&amp;DAY($A36),打卡匯入!$E$3:$E$2002,0)),"")</f>
        <v/>
      </c>
      <c r="L36" s="81">
        <f>IF(OR($J36="",$K36=""),"",IFERROR(INDEX(設定!$F$6:$F$18,MATCH($G36,設定!$B$6:$B$18,0)),0))</f>
        <v/>
      </c>
      <c r="M36" s="82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1">
        <f>IF(OR($C36="",$H36="",$J36=""),0,IF(ROUND(($J36-$H36)*1440,0)&gt;設定!$C$42,ROUND(($J36-$H36)*1440,0),0))</f>
        <v/>
      </c>
      <c r="P36" s="81">
        <f>IF(OR($C36="",$I36="",$K36=""),0,IF(ROUND(($I36-$K36)*1440,0)&gt;設定!$C$42,ROUND(($I36-$K36)*1440,0),0))</f>
        <v/>
      </c>
      <c r="Q36" s="82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79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0">
        <f>IF($G37="","",IFERROR(INDEX(設定!$D$6:$D$18,MATCH($G37,設定!$B$6:$B$18,0)),""))</f>
        <v/>
      </c>
      <c r="I37" s="80">
        <f>IF($G37="","",IFERROR(INDEX(設定!$E$6:$E$18,MATCH($G37,設定!$B$6:$B$18,0)),""))</f>
        <v/>
      </c>
      <c r="J37" s="80">
        <f>IFERROR(INDEX(打卡匯入!$C$3:$C$2002,MATCH($C37&amp;"|"&amp;DAY($A37),打卡匯入!$E$3:$E$2002,0)),"")</f>
        <v/>
      </c>
      <c r="K37" s="80">
        <f>IFERROR(INDEX(打卡匯入!$D$3:$D$2002,MATCH($C37&amp;"|"&amp;DAY($A37),打卡匯入!$E$3:$E$2002,0)),"")</f>
        <v/>
      </c>
      <c r="L37" s="81">
        <f>IF(OR($J37="",$K37=""),"",IFERROR(INDEX(設定!$F$6:$F$18,MATCH($G37,設定!$B$6:$B$18,0)),0))</f>
        <v/>
      </c>
      <c r="M37" s="82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1">
        <f>IF(OR($C37="",$H37="",$J37=""),0,IF(ROUND(($J37-$H37)*1440,0)&gt;設定!$C$42,ROUND(($J37-$H37)*1440,0),0))</f>
        <v/>
      </c>
      <c r="P37" s="81">
        <f>IF(OR($C37="",$I37="",$K37=""),0,IF(ROUND(($I37-$K37)*1440,0)&gt;設定!$C$42,ROUND(($I37-$K37)*1440,0),0))</f>
        <v/>
      </c>
      <c r="Q37" s="82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79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0">
        <f>IF($G38="","",IFERROR(INDEX(設定!$D$6:$D$18,MATCH($G38,設定!$B$6:$B$18,0)),""))</f>
        <v/>
      </c>
      <c r="I38" s="80">
        <f>IF($G38="","",IFERROR(INDEX(設定!$E$6:$E$18,MATCH($G38,設定!$B$6:$B$18,0)),""))</f>
        <v/>
      </c>
      <c r="J38" s="80">
        <f>IFERROR(INDEX(打卡匯入!$C$3:$C$2002,MATCH($C38&amp;"|"&amp;DAY($A38),打卡匯入!$E$3:$E$2002,0)),"")</f>
        <v/>
      </c>
      <c r="K38" s="80">
        <f>IFERROR(INDEX(打卡匯入!$D$3:$D$2002,MATCH($C38&amp;"|"&amp;DAY($A38),打卡匯入!$E$3:$E$2002,0)),"")</f>
        <v/>
      </c>
      <c r="L38" s="81">
        <f>IF(OR($J38="",$K38=""),"",IFERROR(INDEX(設定!$F$6:$F$18,MATCH($G38,設定!$B$6:$B$18,0)),0))</f>
        <v/>
      </c>
      <c r="M38" s="82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1">
        <f>IF(OR($C38="",$H38="",$J38=""),0,IF(ROUND(($J38-$H38)*1440,0)&gt;設定!$C$42,ROUND(($J38-$H38)*1440,0),0))</f>
        <v/>
      </c>
      <c r="P38" s="81">
        <f>IF(OR($C38="",$I38="",$K38=""),0,IF(ROUND(($I38-$K38)*1440,0)&gt;設定!$C$42,ROUND(($I38-$K38)*1440,0),0))</f>
        <v/>
      </c>
      <c r="Q38" s="82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79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0">
        <f>IF($G39="","",IFERROR(INDEX(設定!$D$6:$D$18,MATCH($G39,設定!$B$6:$B$18,0)),""))</f>
        <v/>
      </c>
      <c r="I39" s="80">
        <f>IF($G39="","",IFERROR(INDEX(設定!$E$6:$E$18,MATCH($G39,設定!$B$6:$B$18,0)),""))</f>
        <v/>
      </c>
      <c r="J39" s="80">
        <f>IFERROR(INDEX(打卡匯入!$C$3:$C$2002,MATCH($C39&amp;"|"&amp;DAY($A39),打卡匯入!$E$3:$E$2002,0)),"")</f>
        <v/>
      </c>
      <c r="K39" s="80">
        <f>IFERROR(INDEX(打卡匯入!$D$3:$D$2002,MATCH($C39&amp;"|"&amp;DAY($A39),打卡匯入!$E$3:$E$2002,0)),"")</f>
        <v/>
      </c>
      <c r="L39" s="81">
        <f>IF(OR($J39="",$K39=""),"",IFERROR(INDEX(設定!$F$6:$F$18,MATCH($G39,設定!$B$6:$B$18,0)),0))</f>
        <v/>
      </c>
      <c r="M39" s="82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1">
        <f>IF(OR($C39="",$H39="",$J39=""),0,IF(ROUND(($J39-$H39)*1440,0)&gt;設定!$C$42,ROUND(($J39-$H39)*1440,0),0))</f>
        <v/>
      </c>
      <c r="P39" s="81">
        <f>IF(OR($C39="",$I39="",$K39=""),0,IF(ROUND(($I39-$K39)*1440,0)&gt;設定!$C$42,ROUND(($I39-$K39)*1440,0),0))</f>
        <v/>
      </c>
      <c r="Q39" s="82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79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0">
        <f>IF($G40="","",IFERROR(INDEX(設定!$D$6:$D$18,MATCH($G40,設定!$B$6:$B$18,0)),""))</f>
        <v/>
      </c>
      <c r="I40" s="80">
        <f>IF($G40="","",IFERROR(INDEX(設定!$E$6:$E$18,MATCH($G40,設定!$B$6:$B$18,0)),""))</f>
        <v/>
      </c>
      <c r="J40" s="80">
        <f>IFERROR(INDEX(打卡匯入!$C$3:$C$2002,MATCH($C40&amp;"|"&amp;DAY($A40),打卡匯入!$E$3:$E$2002,0)),"")</f>
        <v/>
      </c>
      <c r="K40" s="80">
        <f>IFERROR(INDEX(打卡匯入!$D$3:$D$2002,MATCH($C40&amp;"|"&amp;DAY($A40),打卡匯入!$E$3:$E$2002,0)),"")</f>
        <v/>
      </c>
      <c r="L40" s="81">
        <f>IF(OR($J40="",$K40=""),"",IFERROR(INDEX(設定!$F$6:$F$18,MATCH($G40,設定!$B$6:$B$18,0)),0))</f>
        <v/>
      </c>
      <c r="M40" s="82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1">
        <f>IF(OR($C40="",$H40="",$J40=""),0,IF(ROUND(($J40-$H40)*1440,0)&gt;設定!$C$42,ROUND(($J40-$H40)*1440,0),0))</f>
        <v/>
      </c>
      <c r="P40" s="81">
        <f>IF(OR($C40="",$I40="",$K40=""),0,IF(ROUND(($I40-$K40)*1440,0)&gt;設定!$C$42,ROUND(($I40-$K40)*1440,0),0))</f>
        <v/>
      </c>
      <c r="Q40" s="82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79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0">
        <f>IF($G41="","",IFERROR(INDEX(設定!$D$6:$D$18,MATCH($G41,設定!$B$6:$B$18,0)),""))</f>
        <v/>
      </c>
      <c r="I41" s="80">
        <f>IF($G41="","",IFERROR(INDEX(設定!$E$6:$E$18,MATCH($G41,設定!$B$6:$B$18,0)),""))</f>
        <v/>
      </c>
      <c r="J41" s="80">
        <f>IFERROR(INDEX(打卡匯入!$C$3:$C$2002,MATCH($C41&amp;"|"&amp;DAY($A41),打卡匯入!$E$3:$E$2002,0)),"")</f>
        <v/>
      </c>
      <c r="K41" s="80">
        <f>IFERROR(INDEX(打卡匯入!$D$3:$D$2002,MATCH($C41&amp;"|"&amp;DAY($A41),打卡匯入!$E$3:$E$2002,0)),"")</f>
        <v/>
      </c>
      <c r="L41" s="81">
        <f>IF(OR($J41="",$K41=""),"",IFERROR(INDEX(設定!$F$6:$F$18,MATCH($G41,設定!$B$6:$B$18,0)),0))</f>
        <v/>
      </c>
      <c r="M41" s="82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1">
        <f>IF(OR($C41="",$H41="",$J41=""),0,IF(ROUND(($J41-$H41)*1440,0)&gt;設定!$C$42,ROUND(($J41-$H41)*1440,0),0))</f>
        <v/>
      </c>
      <c r="P41" s="81">
        <f>IF(OR($C41="",$I41="",$K41=""),0,IF(ROUND(($I41-$K41)*1440,0)&gt;設定!$C$42,ROUND(($I41-$K41)*1440,0),0))</f>
        <v/>
      </c>
      <c r="Q41" s="82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79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0">
        <f>IF($G42="","",IFERROR(INDEX(設定!$D$6:$D$18,MATCH($G42,設定!$B$6:$B$18,0)),""))</f>
        <v/>
      </c>
      <c r="I42" s="80">
        <f>IF($G42="","",IFERROR(INDEX(設定!$E$6:$E$18,MATCH($G42,設定!$B$6:$B$18,0)),""))</f>
        <v/>
      </c>
      <c r="J42" s="80">
        <f>IFERROR(INDEX(打卡匯入!$C$3:$C$2002,MATCH($C42&amp;"|"&amp;DAY($A42),打卡匯入!$E$3:$E$2002,0)),"")</f>
        <v/>
      </c>
      <c r="K42" s="80">
        <f>IFERROR(INDEX(打卡匯入!$D$3:$D$2002,MATCH($C42&amp;"|"&amp;DAY($A42),打卡匯入!$E$3:$E$2002,0)),"")</f>
        <v/>
      </c>
      <c r="L42" s="81">
        <f>IF(OR($J42="",$K42=""),"",IFERROR(INDEX(設定!$F$6:$F$18,MATCH($G42,設定!$B$6:$B$18,0)),0))</f>
        <v/>
      </c>
      <c r="M42" s="82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1">
        <f>IF(OR($C42="",$H42="",$J42=""),0,IF(ROUND(($J42-$H42)*1440,0)&gt;設定!$C$42,ROUND(($J42-$H42)*1440,0),0))</f>
        <v/>
      </c>
      <c r="P42" s="81">
        <f>IF(OR($C42="",$I42="",$K42=""),0,IF(ROUND(($I42-$K42)*1440,0)&gt;設定!$C$42,ROUND(($I42-$K42)*1440,0),0))</f>
        <v/>
      </c>
      <c r="Q42" s="82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79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0">
        <f>IF($G43="","",IFERROR(INDEX(設定!$D$6:$D$18,MATCH($G43,設定!$B$6:$B$18,0)),""))</f>
        <v/>
      </c>
      <c r="I43" s="80">
        <f>IF($G43="","",IFERROR(INDEX(設定!$E$6:$E$18,MATCH($G43,設定!$B$6:$B$18,0)),""))</f>
        <v/>
      </c>
      <c r="J43" s="80">
        <f>IFERROR(INDEX(打卡匯入!$C$3:$C$2002,MATCH($C43&amp;"|"&amp;DAY($A43),打卡匯入!$E$3:$E$2002,0)),"")</f>
        <v/>
      </c>
      <c r="K43" s="80">
        <f>IFERROR(INDEX(打卡匯入!$D$3:$D$2002,MATCH($C43&amp;"|"&amp;DAY($A43),打卡匯入!$E$3:$E$2002,0)),"")</f>
        <v/>
      </c>
      <c r="L43" s="81">
        <f>IF(OR($J43="",$K43=""),"",IFERROR(INDEX(設定!$F$6:$F$18,MATCH($G43,設定!$B$6:$B$18,0)),0))</f>
        <v/>
      </c>
      <c r="M43" s="82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1">
        <f>IF(OR($C43="",$H43="",$J43=""),0,IF(ROUND(($J43-$H43)*1440,0)&gt;設定!$C$42,ROUND(($J43-$H43)*1440,0),0))</f>
        <v/>
      </c>
      <c r="P43" s="81">
        <f>IF(OR($C43="",$I43="",$K43=""),0,IF(ROUND(($I43-$K43)*1440,0)&gt;設定!$C$42,ROUND(($I43-$K43)*1440,0),0))</f>
        <v/>
      </c>
      <c r="Q43" s="82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79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0">
        <f>IF($G44="","",IFERROR(INDEX(設定!$D$6:$D$18,MATCH($G44,設定!$B$6:$B$18,0)),""))</f>
        <v/>
      </c>
      <c r="I44" s="80">
        <f>IF($G44="","",IFERROR(INDEX(設定!$E$6:$E$18,MATCH($G44,設定!$B$6:$B$18,0)),""))</f>
        <v/>
      </c>
      <c r="J44" s="80">
        <f>IFERROR(INDEX(打卡匯入!$C$3:$C$2002,MATCH($C44&amp;"|"&amp;DAY($A44),打卡匯入!$E$3:$E$2002,0)),"")</f>
        <v/>
      </c>
      <c r="K44" s="80">
        <f>IFERROR(INDEX(打卡匯入!$D$3:$D$2002,MATCH($C44&amp;"|"&amp;DAY($A44),打卡匯入!$E$3:$E$2002,0)),"")</f>
        <v/>
      </c>
      <c r="L44" s="81">
        <f>IF(OR($J44="",$K44=""),"",IFERROR(INDEX(設定!$F$6:$F$18,MATCH($G44,設定!$B$6:$B$18,0)),0))</f>
        <v/>
      </c>
      <c r="M44" s="82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1">
        <f>IF(OR($C44="",$H44="",$J44=""),0,IF(ROUND(($J44-$H44)*1440,0)&gt;設定!$C$42,ROUND(($J44-$H44)*1440,0),0))</f>
        <v/>
      </c>
      <c r="P44" s="81">
        <f>IF(OR($C44="",$I44="",$K44=""),0,IF(ROUND(($I44-$K44)*1440,0)&gt;設定!$C$42,ROUND(($I44-$K44)*1440,0),0))</f>
        <v/>
      </c>
      <c r="Q44" s="82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79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0">
        <f>IF($G45="","",IFERROR(INDEX(設定!$D$6:$D$18,MATCH($G45,設定!$B$6:$B$18,0)),""))</f>
        <v/>
      </c>
      <c r="I45" s="80">
        <f>IF($G45="","",IFERROR(INDEX(設定!$E$6:$E$18,MATCH($G45,設定!$B$6:$B$18,0)),""))</f>
        <v/>
      </c>
      <c r="J45" s="80">
        <f>IFERROR(INDEX(打卡匯入!$C$3:$C$2002,MATCH($C45&amp;"|"&amp;DAY($A45),打卡匯入!$E$3:$E$2002,0)),"")</f>
        <v/>
      </c>
      <c r="K45" s="80">
        <f>IFERROR(INDEX(打卡匯入!$D$3:$D$2002,MATCH($C45&amp;"|"&amp;DAY($A45),打卡匯入!$E$3:$E$2002,0)),"")</f>
        <v/>
      </c>
      <c r="L45" s="81">
        <f>IF(OR($J45="",$K45=""),"",IFERROR(INDEX(設定!$F$6:$F$18,MATCH($G45,設定!$B$6:$B$18,0)),0))</f>
        <v/>
      </c>
      <c r="M45" s="82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1">
        <f>IF(OR($C45="",$H45="",$J45=""),0,IF(ROUND(($J45-$H45)*1440,0)&gt;設定!$C$42,ROUND(($J45-$H45)*1440,0),0))</f>
        <v/>
      </c>
      <c r="P45" s="81">
        <f>IF(OR($C45="",$I45="",$K45=""),0,IF(ROUND(($I45-$K45)*1440,0)&gt;設定!$C$42,ROUND(($I45-$K45)*1440,0),0))</f>
        <v/>
      </c>
      <c r="Q45" s="82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79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0">
        <f>IF($G46="","",IFERROR(INDEX(設定!$D$6:$D$18,MATCH($G46,設定!$B$6:$B$18,0)),""))</f>
        <v/>
      </c>
      <c r="I46" s="80">
        <f>IF($G46="","",IFERROR(INDEX(設定!$E$6:$E$18,MATCH($G46,設定!$B$6:$B$18,0)),""))</f>
        <v/>
      </c>
      <c r="J46" s="80">
        <f>IFERROR(INDEX(打卡匯入!$C$3:$C$2002,MATCH($C46&amp;"|"&amp;DAY($A46),打卡匯入!$E$3:$E$2002,0)),"")</f>
        <v/>
      </c>
      <c r="K46" s="80">
        <f>IFERROR(INDEX(打卡匯入!$D$3:$D$2002,MATCH($C46&amp;"|"&amp;DAY($A46),打卡匯入!$E$3:$E$2002,0)),"")</f>
        <v/>
      </c>
      <c r="L46" s="81">
        <f>IF(OR($J46="",$K46=""),"",IFERROR(INDEX(設定!$F$6:$F$18,MATCH($G46,設定!$B$6:$B$18,0)),0))</f>
        <v/>
      </c>
      <c r="M46" s="82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1">
        <f>IF(OR($C46="",$H46="",$J46=""),0,IF(ROUND(($J46-$H46)*1440,0)&gt;設定!$C$42,ROUND(($J46-$H46)*1440,0),0))</f>
        <v/>
      </c>
      <c r="P46" s="81">
        <f>IF(OR($C46="",$I46="",$K46=""),0,IF(ROUND(($I46-$K46)*1440,0)&gt;設定!$C$42,ROUND(($I46-$K46)*1440,0),0))</f>
        <v/>
      </c>
      <c r="Q46" s="82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79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0">
        <f>IF($G47="","",IFERROR(INDEX(設定!$D$6:$D$18,MATCH($G47,設定!$B$6:$B$18,0)),""))</f>
        <v/>
      </c>
      <c r="I47" s="80">
        <f>IF($G47="","",IFERROR(INDEX(設定!$E$6:$E$18,MATCH($G47,設定!$B$6:$B$18,0)),""))</f>
        <v/>
      </c>
      <c r="J47" s="80">
        <f>IFERROR(INDEX(打卡匯入!$C$3:$C$2002,MATCH($C47&amp;"|"&amp;DAY($A47),打卡匯入!$E$3:$E$2002,0)),"")</f>
        <v/>
      </c>
      <c r="K47" s="80">
        <f>IFERROR(INDEX(打卡匯入!$D$3:$D$2002,MATCH($C47&amp;"|"&amp;DAY($A47),打卡匯入!$E$3:$E$2002,0)),"")</f>
        <v/>
      </c>
      <c r="L47" s="81">
        <f>IF(OR($J47="",$K47=""),"",IFERROR(INDEX(設定!$F$6:$F$18,MATCH($G47,設定!$B$6:$B$18,0)),0))</f>
        <v/>
      </c>
      <c r="M47" s="82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1">
        <f>IF(OR($C47="",$H47="",$J47=""),0,IF(ROUND(($J47-$H47)*1440,0)&gt;設定!$C$42,ROUND(($J47-$H47)*1440,0),0))</f>
        <v/>
      </c>
      <c r="P47" s="81">
        <f>IF(OR($C47="",$I47="",$K47=""),0,IF(ROUND(($I47-$K47)*1440,0)&gt;設定!$C$42,ROUND(($I47-$K47)*1440,0),0))</f>
        <v/>
      </c>
      <c r="Q47" s="82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79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0">
        <f>IF($G48="","",IFERROR(INDEX(設定!$D$6:$D$18,MATCH($G48,設定!$B$6:$B$18,0)),""))</f>
        <v/>
      </c>
      <c r="I48" s="80">
        <f>IF($G48="","",IFERROR(INDEX(設定!$E$6:$E$18,MATCH($G48,設定!$B$6:$B$18,0)),""))</f>
        <v/>
      </c>
      <c r="J48" s="80">
        <f>IFERROR(INDEX(打卡匯入!$C$3:$C$2002,MATCH($C48&amp;"|"&amp;DAY($A48),打卡匯入!$E$3:$E$2002,0)),"")</f>
        <v/>
      </c>
      <c r="K48" s="80">
        <f>IFERROR(INDEX(打卡匯入!$D$3:$D$2002,MATCH($C48&amp;"|"&amp;DAY($A48),打卡匯入!$E$3:$E$2002,0)),"")</f>
        <v/>
      </c>
      <c r="L48" s="81">
        <f>IF(OR($J48="",$K48=""),"",IFERROR(INDEX(設定!$F$6:$F$18,MATCH($G48,設定!$B$6:$B$18,0)),0))</f>
        <v/>
      </c>
      <c r="M48" s="82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1">
        <f>IF(OR($C48="",$H48="",$J48=""),0,IF(ROUND(($J48-$H48)*1440,0)&gt;設定!$C$42,ROUND(($J48-$H48)*1440,0),0))</f>
        <v/>
      </c>
      <c r="P48" s="81">
        <f>IF(OR($C48="",$I48="",$K48=""),0,IF(ROUND(($I48-$K48)*1440,0)&gt;設定!$C$42,ROUND(($I48-$K48)*1440,0),0))</f>
        <v/>
      </c>
      <c r="Q48" s="82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79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0">
        <f>IF($G49="","",IFERROR(INDEX(設定!$D$6:$D$18,MATCH($G49,設定!$B$6:$B$18,0)),""))</f>
        <v/>
      </c>
      <c r="I49" s="80">
        <f>IF($G49="","",IFERROR(INDEX(設定!$E$6:$E$18,MATCH($G49,設定!$B$6:$B$18,0)),""))</f>
        <v/>
      </c>
      <c r="J49" s="80">
        <f>IFERROR(INDEX(打卡匯入!$C$3:$C$2002,MATCH($C49&amp;"|"&amp;DAY($A49),打卡匯入!$E$3:$E$2002,0)),"")</f>
        <v/>
      </c>
      <c r="K49" s="80">
        <f>IFERROR(INDEX(打卡匯入!$D$3:$D$2002,MATCH($C49&amp;"|"&amp;DAY($A49),打卡匯入!$E$3:$E$2002,0)),"")</f>
        <v/>
      </c>
      <c r="L49" s="81">
        <f>IF(OR($J49="",$K49=""),"",IFERROR(INDEX(設定!$F$6:$F$18,MATCH($G49,設定!$B$6:$B$18,0)),0))</f>
        <v/>
      </c>
      <c r="M49" s="82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1">
        <f>IF(OR($C49="",$H49="",$J49=""),0,IF(ROUND(($J49-$H49)*1440,0)&gt;設定!$C$42,ROUND(($J49-$H49)*1440,0),0))</f>
        <v/>
      </c>
      <c r="P49" s="81">
        <f>IF(OR($C49="",$I49="",$K49=""),0,IF(ROUND(($I49-$K49)*1440,0)&gt;設定!$C$42,ROUND(($I49-$K49)*1440,0),0))</f>
        <v/>
      </c>
      <c r="Q49" s="82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79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0">
        <f>IF($G50="","",IFERROR(INDEX(設定!$D$6:$D$18,MATCH($G50,設定!$B$6:$B$18,0)),""))</f>
        <v/>
      </c>
      <c r="I50" s="80">
        <f>IF($G50="","",IFERROR(INDEX(設定!$E$6:$E$18,MATCH($G50,設定!$B$6:$B$18,0)),""))</f>
        <v/>
      </c>
      <c r="J50" s="80">
        <f>IFERROR(INDEX(打卡匯入!$C$3:$C$2002,MATCH($C50&amp;"|"&amp;DAY($A50),打卡匯入!$E$3:$E$2002,0)),"")</f>
        <v/>
      </c>
      <c r="K50" s="80">
        <f>IFERROR(INDEX(打卡匯入!$D$3:$D$2002,MATCH($C50&amp;"|"&amp;DAY($A50),打卡匯入!$E$3:$E$2002,0)),"")</f>
        <v/>
      </c>
      <c r="L50" s="81">
        <f>IF(OR($J50="",$K50=""),"",IFERROR(INDEX(設定!$F$6:$F$18,MATCH($G50,設定!$B$6:$B$18,0)),0))</f>
        <v/>
      </c>
      <c r="M50" s="82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1">
        <f>IF(OR($C50="",$H50="",$J50=""),0,IF(ROUND(($J50-$H50)*1440,0)&gt;設定!$C$42,ROUND(($J50-$H50)*1440,0),0))</f>
        <v/>
      </c>
      <c r="P50" s="81">
        <f>IF(OR($C50="",$I50="",$K50=""),0,IF(ROUND(($I50-$K50)*1440,0)&gt;設定!$C$42,ROUND(($I50-$K50)*1440,0),0))</f>
        <v/>
      </c>
      <c r="Q50" s="82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79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0">
        <f>IF($G51="","",IFERROR(INDEX(設定!$D$6:$D$18,MATCH($G51,設定!$B$6:$B$18,0)),""))</f>
        <v/>
      </c>
      <c r="I51" s="80">
        <f>IF($G51="","",IFERROR(INDEX(設定!$E$6:$E$18,MATCH($G51,設定!$B$6:$B$18,0)),""))</f>
        <v/>
      </c>
      <c r="J51" s="80">
        <f>IFERROR(INDEX(打卡匯入!$C$3:$C$2002,MATCH($C51&amp;"|"&amp;DAY($A51),打卡匯入!$E$3:$E$2002,0)),"")</f>
        <v/>
      </c>
      <c r="K51" s="80">
        <f>IFERROR(INDEX(打卡匯入!$D$3:$D$2002,MATCH($C51&amp;"|"&amp;DAY($A51),打卡匯入!$E$3:$E$2002,0)),"")</f>
        <v/>
      </c>
      <c r="L51" s="81">
        <f>IF(OR($J51="",$K51=""),"",IFERROR(INDEX(設定!$F$6:$F$18,MATCH($G51,設定!$B$6:$B$18,0)),0))</f>
        <v/>
      </c>
      <c r="M51" s="82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1">
        <f>IF(OR($C51="",$H51="",$J51=""),0,IF(ROUND(($J51-$H51)*1440,0)&gt;設定!$C$42,ROUND(($J51-$H51)*1440,0),0))</f>
        <v/>
      </c>
      <c r="P51" s="81">
        <f>IF(OR($C51="",$I51="",$K51=""),0,IF(ROUND(($I51-$K51)*1440,0)&gt;設定!$C$42,ROUND(($I51-$K51)*1440,0),0))</f>
        <v/>
      </c>
      <c r="Q51" s="82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79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0">
        <f>IF($G52="","",IFERROR(INDEX(設定!$D$6:$D$18,MATCH($G52,設定!$B$6:$B$18,0)),""))</f>
        <v/>
      </c>
      <c r="I52" s="80">
        <f>IF($G52="","",IFERROR(INDEX(設定!$E$6:$E$18,MATCH($G52,設定!$B$6:$B$18,0)),""))</f>
        <v/>
      </c>
      <c r="J52" s="80">
        <f>IFERROR(INDEX(打卡匯入!$C$3:$C$2002,MATCH($C52&amp;"|"&amp;DAY($A52),打卡匯入!$E$3:$E$2002,0)),"")</f>
        <v/>
      </c>
      <c r="K52" s="80">
        <f>IFERROR(INDEX(打卡匯入!$D$3:$D$2002,MATCH($C52&amp;"|"&amp;DAY($A52),打卡匯入!$E$3:$E$2002,0)),"")</f>
        <v/>
      </c>
      <c r="L52" s="81">
        <f>IF(OR($J52="",$K52=""),"",IFERROR(INDEX(設定!$F$6:$F$18,MATCH($G52,設定!$B$6:$B$18,0)),0))</f>
        <v/>
      </c>
      <c r="M52" s="82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1">
        <f>IF(OR($C52="",$H52="",$J52=""),0,IF(ROUND(($J52-$H52)*1440,0)&gt;設定!$C$42,ROUND(($J52-$H52)*1440,0),0))</f>
        <v/>
      </c>
      <c r="P52" s="81">
        <f>IF(OR($C52="",$I52="",$K52=""),0,IF(ROUND(($I52-$K52)*1440,0)&gt;設定!$C$42,ROUND(($I52-$K52)*1440,0),0))</f>
        <v/>
      </c>
      <c r="Q52" s="82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79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0">
        <f>IF($G53="","",IFERROR(INDEX(設定!$D$6:$D$18,MATCH($G53,設定!$B$6:$B$18,0)),""))</f>
        <v/>
      </c>
      <c r="I53" s="80">
        <f>IF($G53="","",IFERROR(INDEX(設定!$E$6:$E$18,MATCH($G53,設定!$B$6:$B$18,0)),""))</f>
        <v/>
      </c>
      <c r="J53" s="80">
        <f>IFERROR(INDEX(打卡匯入!$C$3:$C$2002,MATCH($C53&amp;"|"&amp;DAY($A53),打卡匯入!$E$3:$E$2002,0)),"")</f>
        <v/>
      </c>
      <c r="K53" s="80">
        <f>IFERROR(INDEX(打卡匯入!$D$3:$D$2002,MATCH($C53&amp;"|"&amp;DAY($A53),打卡匯入!$E$3:$E$2002,0)),"")</f>
        <v/>
      </c>
      <c r="L53" s="81">
        <f>IF(OR($J53="",$K53=""),"",IFERROR(INDEX(設定!$F$6:$F$18,MATCH($G53,設定!$B$6:$B$18,0)),0))</f>
        <v/>
      </c>
      <c r="M53" s="82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1">
        <f>IF(OR($C53="",$H53="",$J53=""),0,IF(ROUND(($J53-$H53)*1440,0)&gt;設定!$C$42,ROUND(($J53-$H53)*1440,0),0))</f>
        <v/>
      </c>
      <c r="P53" s="81">
        <f>IF(OR($C53="",$I53="",$K53=""),0,IF(ROUND(($I53-$K53)*1440,0)&gt;設定!$C$42,ROUND(($I53-$K53)*1440,0),0))</f>
        <v/>
      </c>
      <c r="Q53" s="82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79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0">
        <f>IF($G54="","",IFERROR(INDEX(設定!$D$6:$D$18,MATCH($G54,設定!$B$6:$B$18,0)),""))</f>
        <v/>
      </c>
      <c r="I54" s="80">
        <f>IF($G54="","",IFERROR(INDEX(設定!$E$6:$E$18,MATCH($G54,設定!$B$6:$B$18,0)),""))</f>
        <v/>
      </c>
      <c r="J54" s="80">
        <f>IFERROR(INDEX(打卡匯入!$C$3:$C$2002,MATCH($C54&amp;"|"&amp;DAY($A54),打卡匯入!$E$3:$E$2002,0)),"")</f>
        <v/>
      </c>
      <c r="K54" s="80">
        <f>IFERROR(INDEX(打卡匯入!$D$3:$D$2002,MATCH($C54&amp;"|"&amp;DAY($A54),打卡匯入!$E$3:$E$2002,0)),"")</f>
        <v/>
      </c>
      <c r="L54" s="81">
        <f>IF(OR($J54="",$K54=""),"",IFERROR(INDEX(設定!$F$6:$F$18,MATCH($G54,設定!$B$6:$B$18,0)),0))</f>
        <v/>
      </c>
      <c r="M54" s="82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1">
        <f>IF(OR($C54="",$H54="",$J54=""),0,IF(ROUND(($J54-$H54)*1440,0)&gt;設定!$C$42,ROUND(($J54-$H54)*1440,0),0))</f>
        <v/>
      </c>
      <c r="P54" s="81">
        <f>IF(OR($C54="",$I54="",$K54=""),0,IF(ROUND(($I54-$K54)*1440,0)&gt;設定!$C$42,ROUND(($I54-$K54)*1440,0),0))</f>
        <v/>
      </c>
      <c r="Q54" s="82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79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0">
        <f>IF($G55="","",IFERROR(INDEX(設定!$D$6:$D$18,MATCH($G55,設定!$B$6:$B$18,0)),""))</f>
        <v/>
      </c>
      <c r="I55" s="80">
        <f>IF($G55="","",IFERROR(INDEX(設定!$E$6:$E$18,MATCH($G55,設定!$B$6:$B$18,0)),""))</f>
        <v/>
      </c>
      <c r="J55" s="80">
        <f>IFERROR(INDEX(打卡匯入!$C$3:$C$2002,MATCH($C55&amp;"|"&amp;DAY($A55),打卡匯入!$E$3:$E$2002,0)),"")</f>
        <v/>
      </c>
      <c r="K55" s="80">
        <f>IFERROR(INDEX(打卡匯入!$D$3:$D$2002,MATCH($C55&amp;"|"&amp;DAY($A55),打卡匯入!$E$3:$E$2002,0)),"")</f>
        <v/>
      </c>
      <c r="L55" s="81">
        <f>IF(OR($J55="",$K55=""),"",IFERROR(INDEX(設定!$F$6:$F$18,MATCH($G55,設定!$B$6:$B$18,0)),0))</f>
        <v/>
      </c>
      <c r="M55" s="82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1">
        <f>IF(OR($C55="",$H55="",$J55=""),0,IF(ROUND(($J55-$H55)*1440,0)&gt;設定!$C$42,ROUND(($J55-$H55)*1440,0),0))</f>
        <v/>
      </c>
      <c r="P55" s="81">
        <f>IF(OR($C55="",$I55="",$K55=""),0,IF(ROUND(($I55-$K55)*1440,0)&gt;設定!$C$42,ROUND(($I55-$K55)*1440,0),0))</f>
        <v/>
      </c>
      <c r="Q55" s="82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79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0">
        <f>IF($G56="","",IFERROR(INDEX(設定!$D$6:$D$18,MATCH($G56,設定!$B$6:$B$18,0)),""))</f>
        <v/>
      </c>
      <c r="I56" s="80">
        <f>IF($G56="","",IFERROR(INDEX(設定!$E$6:$E$18,MATCH($G56,設定!$B$6:$B$18,0)),""))</f>
        <v/>
      </c>
      <c r="J56" s="80">
        <f>IFERROR(INDEX(打卡匯入!$C$3:$C$2002,MATCH($C56&amp;"|"&amp;DAY($A56),打卡匯入!$E$3:$E$2002,0)),"")</f>
        <v/>
      </c>
      <c r="K56" s="80">
        <f>IFERROR(INDEX(打卡匯入!$D$3:$D$2002,MATCH($C56&amp;"|"&amp;DAY($A56),打卡匯入!$E$3:$E$2002,0)),"")</f>
        <v/>
      </c>
      <c r="L56" s="81">
        <f>IF(OR($J56="",$K56=""),"",IFERROR(INDEX(設定!$F$6:$F$18,MATCH($G56,設定!$B$6:$B$18,0)),0))</f>
        <v/>
      </c>
      <c r="M56" s="82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1">
        <f>IF(OR($C56="",$H56="",$J56=""),0,IF(ROUND(($J56-$H56)*1440,0)&gt;設定!$C$42,ROUND(($J56-$H56)*1440,0),0))</f>
        <v/>
      </c>
      <c r="P56" s="81">
        <f>IF(OR($C56="",$I56="",$K56=""),0,IF(ROUND(($I56-$K56)*1440,0)&gt;設定!$C$42,ROUND(($I56-$K56)*1440,0),0))</f>
        <v/>
      </c>
      <c r="Q56" s="82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79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0">
        <f>IF($G57="","",IFERROR(INDEX(設定!$D$6:$D$18,MATCH($G57,設定!$B$6:$B$18,0)),""))</f>
        <v/>
      </c>
      <c r="I57" s="80">
        <f>IF($G57="","",IFERROR(INDEX(設定!$E$6:$E$18,MATCH($G57,設定!$B$6:$B$18,0)),""))</f>
        <v/>
      </c>
      <c r="J57" s="80">
        <f>IFERROR(INDEX(打卡匯入!$C$3:$C$2002,MATCH($C57&amp;"|"&amp;DAY($A57),打卡匯入!$E$3:$E$2002,0)),"")</f>
        <v/>
      </c>
      <c r="K57" s="80">
        <f>IFERROR(INDEX(打卡匯入!$D$3:$D$2002,MATCH($C57&amp;"|"&amp;DAY($A57),打卡匯入!$E$3:$E$2002,0)),"")</f>
        <v/>
      </c>
      <c r="L57" s="81">
        <f>IF(OR($J57="",$K57=""),"",IFERROR(INDEX(設定!$F$6:$F$18,MATCH($G57,設定!$B$6:$B$18,0)),0))</f>
        <v/>
      </c>
      <c r="M57" s="82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1">
        <f>IF(OR($C57="",$H57="",$J57=""),0,IF(ROUND(($J57-$H57)*1440,0)&gt;設定!$C$42,ROUND(($J57-$H57)*1440,0),0))</f>
        <v/>
      </c>
      <c r="P57" s="81">
        <f>IF(OR($C57="",$I57="",$K57=""),0,IF(ROUND(($I57-$K57)*1440,0)&gt;設定!$C$42,ROUND(($I57-$K57)*1440,0),0))</f>
        <v/>
      </c>
      <c r="Q57" s="82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79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0">
        <f>IF($G58="","",IFERROR(INDEX(設定!$D$6:$D$18,MATCH($G58,設定!$B$6:$B$18,0)),""))</f>
        <v/>
      </c>
      <c r="I58" s="80">
        <f>IF($G58="","",IFERROR(INDEX(設定!$E$6:$E$18,MATCH($G58,設定!$B$6:$B$18,0)),""))</f>
        <v/>
      </c>
      <c r="J58" s="80">
        <f>IFERROR(INDEX(打卡匯入!$C$3:$C$2002,MATCH($C58&amp;"|"&amp;DAY($A58),打卡匯入!$E$3:$E$2002,0)),"")</f>
        <v/>
      </c>
      <c r="K58" s="80">
        <f>IFERROR(INDEX(打卡匯入!$D$3:$D$2002,MATCH($C58&amp;"|"&amp;DAY($A58),打卡匯入!$E$3:$E$2002,0)),"")</f>
        <v/>
      </c>
      <c r="L58" s="81">
        <f>IF(OR($J58="",$K58=""),"",IFERROR(INDEX(設定!$F$6:$F$18,MATCH($G58,設定!$B$6:$B$18,0)),0))</f>
        <v/>
      </c>
      <c r="M58" s="82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1">
        <f>IF(OR($C58="",$H58="",$J58=""),0,IF(ROUND(($J58-$H58)*1440,0)&gt;設定!$C$42,ROUND(($J58-$H58)*1440,0),0))</f>
        <v/>
      </c>
      <c r="P58" s="81">
        <f>IF(OR($C58="",$I58="",$K58=""),0,IF(ROUND(($I58-$K58)*1440,0)&gt;設定!$C$42,ROUND(($I58-$K58)*1440,0),0))</f>
        <v/>
      </c>
      <c r="Q58" s="82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79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0">
        <f>IF($G59="","",IFERROR(INDEX(設定!$D$6:$D$18,MATCH($G59,設定!$B$6:$B$18,0)),""))</f>
        <v/>
      </c>
      <c r="I59" s="80">
        <f>IF($G59="","",IFERROR(INDEX(設定!$E$6:$E$18,MATCH($G59,設定!$B$6:$B$18,0)),""))</f>
        <v/>
      </c>
      <c r="J59" s="80">
        <f>IFERROR(INDEX(打卡匯入!$C$3:$C$2002,MATCH($C59&amp;"|"&amp;DAY($A59),打卡匯入!$E$3:$E$2002,0)),"")</f>
        <v/>
      </c>
      <c r="K59" s="80">
        <f>IFERROR(INDEX(打卡匯入!$D$3:$D$2002,MATCH($C59&amp;"|"&amp;DAY($A59),打卡匯入!$E$3:$E$2002,0)),"")</f>
        <v/>
      </c>
      <c r="L59" s="81">
        <f>IF(OR($J59="",$K59=""),"",IFERROR(INDEX(設定!$F$6:$F$18,MATCH($G59,設定!$B$6:$B$18,0)),0))</f>
        <v/>
      </c>
      <c r="M59" s="82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1">
        <f>IF(OR($C59="",$H59="",$J59=""),0,IF(ROUND(($J59-$H59)*1440,0)&gt;設定!$C$42,ROUND(($J59-$H59)*1440,0),0))</f>
        <v/>
      </c>
      <c r="P59" s="81">
        <f>IF(OR($C59="",$I59="",$K59=""),0,IF(ROUND(($I59-$K59)*1440,0)&gt;設定!$C$42,ROUND(($I59-$K59)*1440,0),0))</f>
        <v/>
      </c>
      <c r="Q59" s="82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79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0">
        <f>IF($G60="","",IFERROR(INDEX(設定!$D$6:$D$18,MATCH($G60,設定!$B$6:$B$18,0)),""))</f>
        <v/>
      </c>
      <c r="I60" s="80">
        <f>IF($G60="","",IFERROR(INDEX(設定!$E$6:$E$18,MATCH($G60,設定!$B$6:$B$18,0)),""))</f>
        <v/>
      </c>
      <c r="J60" s="80">
        <f>IFERROR(INDEX(打卡匯入!$C$3:$C$2002,MATCH($C60&amp;"|"&amp;DAY($A60),打卡匯入!$E$3:$E$2002,0)),"")</f>
        <v/>
      </c>
      <c r="K60" s="80">
        <f>IFERROR(INDEX(打卡匯入!$D$3:$D$2002,MATCH($C60&amp;"|"&amp;DAY($A60),打卡匯入!$E$3:$E$2002,0)),"")</f>
        <v/>
      </c>
      <c r="L60" s="81">
        <f>IF(OR($J60="",$K60=""),"",IFERROR(INDEX(設定!$F$6:$F$18,MATCH($G60,設定!$B$6:$B$18,0)),0))</f>
        <v/>
      </c>
      <c r="M60" s="82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1">
        <f>IF(OR($C60="",$H60="",$J60=""),0,IF(ROUND(($J60-$H60)*1440,0)&gt;設定!$C$42,ROUND(($J60-$H60)*1440,0),0))</f>
        <v/>
      </c>
      <c r="P60" s="81">
        <f>IF(OR($C60="",$I60="",$K60=""),0,IF(ROUND(($I60-$K60)*1440,0)&gt;設定!$C$42,ROUND(($I60-$K60)*1440,0),0))</f>
        <v/>
      </c>
      <c r="Q60" s="82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79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0">
        <f>IF($G61="","",IFERROR(INDEX(設定!$D$6:$D$18,MATCH($G61,設定!$B$6:$B$18,0)),""))</f>
        <v/>
      </c>
      <c r="I61" s="80">
        <f>IF($G61="","",IFERROR(INDEX(設定!$E$6:$E$18,MATCH($G61,設定!$B$6:$B$18,0)),""))</f>
        <v/>
      </c>
      <c r="J61" s="80">
        <f>IFERROR(INDEX(打卡匯入!$C$3:$C$2002,MATCH($C61&amp;"|"&amp;DAY($A61),打卡匯入!$E$3:$E$2002,0)),"")</f>
        <v/>
      </c>
      <c r="K61" s="80">
        <f>IFERROR(INDEX(打卡匯入!$D$3:$D$2002,MATCH($C61&amp;"|"&amp;DAY($A61),打卡匯入!$E$3:$E$2002,0)),"")</f>
        <v/>
      </c>
      <c r="L61" s="81">
        <f>IF(OR($J61="",$K61=""),"",IFERROR(INDEX(設定!$F$6:$F$18,MATCH($G61,設定!$B$6:$B$18,0)),0))</f>
        <v/>
      </c>
      <c r="M61" s="82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1">
        <f>IF(OR($C61="",$H61="",$J61=""),0,IF(ROUND(($J61-$H61)*1440,0)&gt;設定!$C$42,ROUND(($J61-$H61)*1440,0),0))</f>
        <v/>
      </c>
      <c r="P61" s="81">
        <f>IF(OR($C61="",$I61="",$K61=""),0,IF(ROUND(($I61-$K61)*1440,0)&gt;設定!$C$42,ROUND(($I61-$K61)*1440,0),0))</f>
        <v/>
      </c>
      <c r="Q61" s="82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79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0">
        <f>IF($G62="","",IFERROR(INDEX(設定!$D$6:$D$18,MATCH($G62,設定!$B$6:$B$18,0)),""))</f>
        <v/>
      </c>
      <c r="I62" s="80">
        <f>IF($G62="","",IFERROR(INDEX(設定!$E$6:$E$18,MATCH($G62,設定!$B$6:$B$18,0)),""))</f>
        <v/>
      </c>
      <c r="J62" s="80">
        <f>IFERROR(INDEX(打卡匯入!$C$3:$C$2002,MATCH($C62&amp;"|"&amp;DAY($A62),打卡匯入!$E$3:$E$2002,0)),"")</f>
        <v/>
      </c>
      <c r="K62" s="80">
        <f>IFERROR(INDEX(打卡匯入!$D$3:$D$2002,MATCH($C62&amp;"|"&amp;DAY($A62),打卡匯入!$E$3:$E$2002,0)),"")</f>
        <v/>
      </c>
      <c r="L62" s="81">
        <f>IF(OR($J62="",$K62=""),"",IFERROR(INDEX(設定!$F$6:$F$18,MATCH($G62,設定!$B$6:$B$18,0)),0))</f>
        <v/>
      </c>
      <c r="M62" s="82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1">
        <f>IF(OR($C62="",$H62="",$J62=""),0,IF(ROUND(($J62-$H62)*1440,0)&gt;設定!$C$42,ROUND(($J62-$H62)*1440,0),0))</f>
        <v/>
      </c>
      <c r="P62" s="81">
        <f>IF(OR($C62="",$I62="",$K62=""),0,IF(ROUND(($I62-$K62)*1440,0)&gt;設定!$C$42,ROUND(($I62-$K62)*1440,0),0))</f>
        <v/>
      </c>
      <c r="Q62" s="82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79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0">
        <f>IF($G63="","",IFERROR(INDEX(設定!$D$6:$D$18,MATCH($G63,設定!$B$6:$B$18,0)),""))</f>
        <v/>
      </c>
      <c r="I63" s="80">
        <f>IF($G63="","",IFERROR(INDEX(設定!$E$6:$E$18,MATCH($G63,設定!$B$6:$B$18,0)),""))</f>
        <v/>
      </c>
      <c r="J63" s="80">
        <f>IFERROR(INDEX(打卡匯入!$C$3:$C$2002,MATCH($C63&amp;"|"&amp;DAY($A63),打卡匯入!$E$3:$E$2002,0)),"")</f>
        <v/>
      </c>
      <c r="K63" s="80">
        <f>IFERROR(INDEX(打卡匯入!$D$3:$D$2002,MATCH($C63&amp;"|"&amp;DAY($A63),打卡匯入!$E$3:$E$2002,0)),"")</f>
        <v/>
      </c>
      <c r="L63" s="81">
        <f>IF(OR($J63="",$K63=""),"",IFERROR(INDEX(設定!$F$6:$F$18,MATCH($G63,設定!$B$6:$B$18,0)),0))</f>
        <v/>
      </c>
      <c r="M63" s="82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1">
        <f>IF(OR($C63="",$H63="",$J63=""),0,IF(ROUND(($J63-$H63)*1440,0)&gt;設定!$C$42,ROUND(($J63-$H63)*1440,0),0))</f>
        <v/>
      </c>
      <c r="P63" s="81">
        <f>IF(OR($C63="",$I63="",$K63=""),0,IF(ROUND(($I63-$K63)*1440,0)&gt;設定!$C$42,ROUND(($I63-$K63)*1440,0),0))</f>
        <v/>
      </c>
      <c r="Q63" s="82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79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0">
        <f>IF($G64="","",IFERROR(INDEX(設定!$D$6:$D$18,MATCH($G64,設定!$B$6:$B$18,0)),""))</f>
        <v/>
      </c>
      <c r="I64" s="80">
        <f>IF($G64="","",IFERROR(INDEX(設定!$E$6:$E$18,MATCH($G64,設定!$B$6:$B$18,0)),""))</f>
        <v/>
      </c>
      <c r="J64" s="80">
        <f>IFERROR(INDEX(打卡匯入!$C$3:$C$2002,MATCH($C64&amp;"|"&amp;DAY($A64),打卡匯入!$E$3:$E$2002,0)),"")</f>
        <v/>
      </c>
      <c r="K64" s="80">
        <f>IFERROR(INDEX(打卡匯入!$D$3:$D$2002,MATCH($C64&amp;"|"&amp;DAY($A64),打卡匯入!$E$3:$E$2002,0)),"")</f>
        <v/>
      </c>
      <c r="L64" s="81">
        <f>IF(OR($J64="",$K64=""),"",IFERROR(INDEX(設定!$F$6:$F$18,MATCH($G64,設定!$B$6:$B$18,0)),0))</f>
        <v/>
      </c>
      <c r="M64" s="82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1">
        <f>IF(OR($C64="",$H64="",$J64=""),0,IF(ROUND(($J64-$H64)*1440,0)&gt;設定!$C$42,ROUND(($J64-$H64)*1440,0),0))</f>
        <v/>
      </c>
      <c r="P64" s="81">
        <f>IF(OR($C64="",$I64="",$K64=""),0,IF(ROUND(($I64-$K64)*1440,0)&gt;設定!$C$42,ROUND(($I64-$K64)*1440,0),0))</f>
        <v/>
      </c>
      <c r="Q64" s="82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79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0">
        <f>IF($G65="","",IFERROR(INDEX(設定!$D$6:$D$18,MATCH($G65,設定!$B$6:$B$18,0)),""))</f>
        <v/>
      </c>
      <c r="I65" s="80">
        <f>IF($G65="","",IFERROR(INDEX(設定!$E$6:$E$18,MATCH($G65,設定!$B$6:$B$18,0)),""))</f>
        <v/>
      </c>
      <c r="J65" s="80">
        <f>IFERROR(INDEX(打卡匯入!$C$3:$C$2002,MATCH($C65&amp;"|"&amp;DAY($A65),打卡匯入!$E$3:$E$2002,0)),"")</f>
        <v/>
      </c>
      <c r="K65" s="80">
        <f>IFERROR(INDEX(打卡匯入!$D$3:$D$2002,MATCH($C65&amp;"|"&amp;DAY($A65),打卡匯入!$E$3:$E$2002,0)),"")</f>
        <v/>
      </c>
      <c r="L65" s="81">
        <f>IF(OR($J65="",$K65=""),"",IFERROR(INDEX(設定!$F$6:$F$18,MATCH($G65,設定!$B$6:$B$18,0)),0))</f>
        <v/>
      </c>
      <c r="M65" s="82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1">
        <f>IF(OR($C65="",$H65="",$J65=""),0,IF(ROUND(($J65-$H65)*1440,0)&gt;設定!$C$42,ROUND(($J65-$H65)*1440,0),0))</f>
        <v/>
      </c>
      <c r="P65" s="81">
        <f>IF(OR($C65="",$I65="",$K65=""),0,IF(ROUND(($I65-$K65)*1440,0)&gt;設定!$C$42,ROUND(($I65-$K65)*1440,0),0))</f>
        <v/>
      </c>
      <c r="Q65" s="82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79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0">
        <f>IF($G66="","",IFERROR(INDEX(設定!$D$6:$D$18,MATCH($G66,設定!$B$6:$B$18,0)),""))</f>
        <v/>
      </c>
      <c r="I66" s="80">
        <f>IF($G66="","",IFERROR(INDEX(設定!$E$6:$E$18,MATCH($G66,設定!$B$6:$B$18,0)),""))</f>
        <v/>
      </c>
      <c r="J66" s="80">
        <f>IFERROR(INDEX(打卡匯入!$C$3:$C$2002,MATCH($C66&amp;"|"&amp;DAY($A66),打卡匯入!$E$3:$E$2002,0)),"")</f>
        <v/>
      </c>
      <c r="K66" s="80">
        <f>IFERROR(INDEX(打卡匯入!$D$3:$D$2002,MATCH($C66&amp;"|"&amp;DAY($A66),打卡匯入!$E$3:$E$2002,0)),"")</f>
        <v/>
      </c>
      <c r="L66" s="81">
        <f>IF(OR($J66="",$K66=""),"",IFERROR(INDEX(設定!$F$6:$F$18,MATCH($G66,設定!$B$6:$B$18,0)),0))</f>
        <v/>
      </c>
      <c r="M66" s="82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1">
        <f>IF(OR($C66="",$H66="",$J66=""),0,IF(ROUND(($J66-$H66)*1440,0)&gt;設定!$C$42,ROUND(($J66-$H66)*1440,0),0))</f>
        <v/>
      </c>
      <c r="P66" s="81">
        <f>IF(OR($C66="",$I66="",$K66=""),0,IF(ROUND(($I66-$K66)*1440,0)&gt;設定!$C$42,ROUND(($I66-$K66)*1440,0),0))</f>
        <v/>
      </c>
      <c r="Q66" s="82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79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0">
        <f>IF($G67="","",IFERROR(INDEX(設定!$D$6:$D$18,MATCH($G67,設定!$B$6:$B$18,0)),""))</f>
        <v/>
      </c>
      <c r="I67" s="80">
        <f>IF($G67="","",IFERROR(INDEX(設定!$E$6:$E$18,MATCH($G67,設定!$B$6:$B$18,0)),""))</f>
        <v/>
      </c>
      <c r="J67" s="80">
        <f>IFERROR(INDEX(打卡匯入!$C$3:$C$2002,MATCH($C67&amp;"|"&amp;DAY($A67),打卡匯入!$E$3:$E$2002,0)),"")</f>
        <v/>
      </c>
      <c r="K67" s="80">
        <f>IFERROR(INDEX(打卡匯入!$D$3:$D$2002,MATCH($C67&amp;"|"&amp;DAY($A67),打卡匯入!$E$3:$E$2002,0)),"")</f>
        <v/>
      </c>
      <c r="L67" s="81">
        <f>IF(OR($J67="",$K67=""),"",IFERROR(INDEX(設定!$F$6:$F$18,MATCH($G67,設定!$B$6:$B$18,0)),0))</f>
        <v/>
      </c>
      <c r="M67" s="82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1">
        <f>IF(OR($C67="",$H67="",$J67=""),0,IF(ROUND(($J67-$H67)*1440,0)&gt;設定!$C$42,ROUND(($J67-$H67)*1440,0),0))</f>
        <v/>
      </c>
      <c r="P67" s="81">
        <f>IF(OR($C67="",$I67="",$K67=""),0,IF(ROUND(($I67-$K67)*1440,0)&gt;設定!$C$42,ROUND(($I67-$K67)*1440,0),0))</f>
        <v/>
      </c>
      <c r="Q67" s="82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79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0">
        <f>IF($G68="","",IFERROR(INDEX(設定!$D$6:$D$18,MATCH($G68,設定!$B$6:$B$18,0)),""))</f>
        <v/>
      </c>
      <c r="I68" s="80">
        <f>IF($G68="","",IFERROR(INDEX(設定!$E$6:$E$18,MATCH($G68,設定!$B$6:$B$18,0)),""))</f>
        <v/>
      </c>
      <c r="J68" s="80">
        <f>IFERROR(INDEX(打卡匯入!$C$3:$C$2002,MATCH($C68&amp;"|"&amp;DAY($A68),打卡匯入!$E$3:$E$2002,0)),"")</f>
        <v/>
      </c>
      <c r="K68" s="80">
        <f>IFERROR(INDEX(打卡匯入!$D$3:$D$2002,MATCH($C68&amp;"|"&amp;DAY($A68),打卡匯入!$E$3:$E$2002,0)),"")</f>
        <v/>
      </c>
      <c r="L68" s="81">
        <f>IF(OR($J68="",$K68=""),"",IFERROR(INDEX(設定!$F$6:$F$18,MATCH($G68,設定!$B$6:$B$18,0)),0))</f>
        <v/>
      </c>
      <c r="M68" s="82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1">
        <f>IF(OR($C68="",$H68="",$J68=""),0,IF(ROUND(($J68-$H68)*1440,0)&gt;設定!$C$42,ROUND(($J68-$H68)*1440,0),0))</f>
        <v/>
      </c>
      <c r="P68" s="81">
        <f>IF(OR($C68="",$I68="",$K68=""),0,IF(ROUND(($I68-$K68)*1440,0)&gt;設定!$C$42,ROUND(($I68-$K68)*1440,0),0))</f>
        <v/>
      </c>
      <c r="Q68" s="82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79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0">
        <f>IF($G69="","",IFERROR(INDEX(設定!$D$6:$D$18,MATCH($G69,設定!$B$6:$B$18,0)),""))</f>
        <v/>
      </c>
      <c r="I69" s="80">
        <f>IF($G69="","",IFERROR(INDEX(設定!$E$6:$E$18,MATCH($G69,設定!$B$6:$B$18,0)),""))</f>
        <v/>
      </c>
      <c r="J69" s="80">
        <f>IFERROR(INDEX(打卡匯入!$C$3:$C$2002,MATCH($C69&amp;"|"&amp;DAY($A69),打卡匯入!$E$3:$E$2002,0)),"")</f>
        <v/>
      </c>
      <c r="K69" s="80">
        <f>IFERROR(INDEX(打卡匯入!$D$3:$D$2002,MATCH($C69&amp;"|"&amp;DAY($A69),打卡匯入!$E$3:$E$2002,0)),"")</f>
        <v/>
      </c>
      <c r="L69" s="81">
        <f>IF(OR($J69="",$K69=""),"",IFERROR(INDEX(設定!$F$6:$F$18,MATCH($G69,設定!$B$6:$B$18,0)),0))</f>
        <v/>
      </c>
      <c r="M69" s="82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1">
        <f>IF(OR($C69="",$H69="",$J69=""),0,IF(ROUND(($J69-$H69)*1440,0)&gt;設定!$C$42,ROUND(($J69-$H69)*1440,0),0))</f>
        <v/>
      </c>
      <c r="P69" s="81">
        <f>IF(OR($C69="",$I69="",$K69=""),0,IF(ROUND(($I69-$K69)*1440,0)&gt;設定!$C$42,ROUND(($I69-$K69)*1440,0),0))</f>
        <v/>
      </c>
      <c r="Q69" s="82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79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0">
        <f>IF($G70="","",IFERROR(INDEX(設定!$D$6:$D$18,MATCH($G70,設定!$B$6:$B$18,0)),""))</f>
        <v/>
      </c>
      <c r="I70" s="80">
        <f>IF($G70="","",IFERROR(INDEX(設定!$E$6:$E$18,MATCH($G70,設定!$B$6:$B$18,0)),""))</f>
        <v/>
      </c>
      <c r="J70" s="80">
        <f>IFERROR(INDEX(打卡匯入!$C$3:$C$2002,MATCH($C70&amp;"|"&amp;DAY($A70),打卡匯入!$E$3:$E$2002,0)),"")</f>
        <v/>
      </c>
      <c r="K70" s="80">
        <f>IFERROR(INDEX(打卡匯入!$D$3:$D$2002,MATCH($C70&amp;"|"&amp;DAY($A70),打卡匯入!$E$3:$E$2002,0)),"")</f>
        <v/>
      </c>
      <c r="L70" s="81">
        <f>IF(OR($J70="",$K70=""),"",IFERROR(INDEX(設定!$F$6:$F$18,MATCH($G70,設定!$B$6:$B$18,0)),0))</f>
        <v/>
      </c>
      <c r="M70" s="82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1">
        <f>IF(OR($C70="",$H70="",$J70=""),0,IF(ROUND(($J70-$H70)*1440,0)&gt;設定!$C$42,ROUND(($J70-$H70)*1440,0),0))</f>
        <v/>
      </c>
      <c r="P70" s="81">
        <f>IF(OR($C70="",$I70="",$K70=""),0,IF(ROUND(($I70-$K70)*1440,0)&gt;設定!$C$42,ROUND(($I70-$K70)*1440,0),0))</f>
        <v/>
      </c>
      <c r="Q70" s="82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79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0">
        <f>IF($G71="","",IFERROR(INDEX(設定!$D$6:$D$18,MATCH($G71,設定!$B$6:$B$18,0)),""))</f>
        <v/>
      </c>
      <c r="I71" s="80">
        <f>IF($G71="","",IFERROR(INDEX(設定!$E$6:$E$18,MATCH($G71,設定!$B$6:$B$18,0)),""))</f>
        <v/>
      </c>
      <c r="J71" s="80">
        <f>IFERROR(INDEX(打卡匯入!$C$3:$C$2002,MATCH($C71&amp;"|"&amp;DAY($A71),打卡匯入!$E$3:$E$2002,0)),"")</f>
        <v/>
      </c>
      <c r="K71" s="80">
        <f>IFERROR(INDEX(打卡匯入!$D$3:$D$2002,MATCH($C71&amp;"|"&amp;DAY($A71),打卡匯入!$E$3:$E$2002,0)),"")</f>
        <v/>
      </c>
      <c r="L71" s="81">
        <f>IF(OR($J71="",$K71=""),"",IFERROR(INDEX(設定!$F$6:$F$18,MATCH($G71,設定!$B$6:$B$18,0)),0))</f>
        <v/>
      </c>
      <c r="M71" s="82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1">
        <f>IF(OR($C71="",$H71="",$J71=""),0,IF(ROUND(($J71-$H71)*1440,0)&gt;設定!$C$42,ROUND(($J71-$H71)*1440,0),0))</f>
        <v/>
      </c>
      <c r="P71" s="81">
        <f>IF(OR($C71="",$I71="",$K71=""),0,IF(ROUND(($I71-$K71)*1440,0)&gt;設定!$C$42,ROUND(($I71-$K71)*1440,0),0))</f>
        <v/>
      </c>
      <c r="Q71" s="82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79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0">
        <f>IF($G72="","",IFERROR(INDEX(設定!$D$6:$D$18,MATCH($G72,設定!$B$6:$B$18,0)),""))</f>
        <v/>
      </c>
      <c r="I72" s="80">
        <f>IF($G72="","",IFERROR(INDEX(設定!$E$6:$E$18,MATCH($G72,設定!$B$6:$B$18,0)),""))</f>
        <v/>
      </c>
      <c r="J72" s="80">
        <f>IFERROR(INDEX(打卡匯入!$C$3:$C$2002,MATCH($C72&amp;"|"&amp;DAY($A72),打卡匯入!$E$3:$E$2002,0)),"")</f>
        <v/>
      </c>
      <c r="K72" s="80">
        <f>IFERROR(INDEX(打卡匯入!$D$3:$D$2002,MATCH($C72&amp;"|"&amp;DAY($A72),打卡匯入!$E$3:$E$2002,0)),"")</f>
        <v/>
      </c>
      <c r="L72" s="81">
        <f>IF(OR($J72="",$K72=""),"",IFERROR(INDEX(設定!$F$6:$F$18,MATCH($G72,設定!$B$6:$B$18,0)),0))</f>
        <v/>
      </c>
      <c r="M72" s="82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1">
        <f>IF(OR($C72="",$H72="",$J72=""),0,IF(ROUND(($J72-$H72)*1440,0)&gt;設定!$C$42,ROUND(($J72-$H72)*1440,0),0))</f>
        <v/>
      </c>
      <c r="P72" s="81">
        <f>IF(OR($C72="",$I72="",$K72=""),0,IF(ROUND(($I72-$K72)*1440,0)&gt;設定!$C$42,ROUND(($I72-$K72)*1440,0),0))</f>
        <v/>
      </c>
      <c r="Q72" s="82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79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0">
        <f>IF($G73="","",IFERROR(INDEX(設定!$D$6:$D$18,MATCH($G73,設定!$B$6:$B$18,0)),""))</f>
        <v/>
      </c>
      <c r="I73" s="80">
        <f>IF($G73="","",IFERROR(INDEX(設定!$E$6:$E$18,MATCH($G73,設定!$B$6:$B$18,0)),""))</f>
        <v/>
      </c>
      <c r="J73" s="80">
        <f>IFERROR(INDEX(打卡匯入!$C$3:$C$2002,MATCH($C73&amp;"|"&amp;DAY($A73),打卡匯入!$E$3:$E$2002,0)),"")</f>
        <v/>
      </c>
      <c r="K73" s="80">
        <f>IFERROR(INDEX(打卡匯入!$D$3:$D$2002,MATCH($C73&amp;"|"&amp;DAY($A73),打卡匯入!$E$3:$E$2002,0)),"")</f>
        <v/>
      </c>
      <c r="L73" s="81">
        <f>IF(OR($J73="",$K73=""),"",IFERROR(INDEX(設定!$F$6:$F$18,MATCH($G73,設定!$B$6:$B$18,0)),0))</f>
        <v/>
      </c>
      <c r="M73" s="82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1">
        <f>IF(OR($C73="",$H73="",$J73=""),0,IF(ROUND(($J73-$H73)*1440,0)&gt;設定!$C$42,ROUND(($J73-$H73)*1440,0),0))</f>
        <v/>
      </c>
      <c r="P73" s="81">
        <f>IF(OR($C73="",$I73="",$K73=""),0,IF(ROUND(($I73-$K73)*1440,0)&gt;設定!$C$42,ROUND(($I73-$K73)*1440,0),0))</f>
        <v/>
      </c>
      <c r="Q73" s="82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79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0">
        <f>IF($G74="","",IFERROR(INDEX(設定!$D$6:$D$18,MATCH($G74,設定!$B$6:$B$18,0)),""))</f>
        <v/>
      </c>
      <c r="I74" s="80">
        <f>IF($G74="","",IFERROR(INDEX(設定!$E$6:$E$18,MATCH($G74,設定!$B$6:$B$18,0)),""))</f>
        <v/>
      </c>
      <c r="J74" s="80">
        <f>IFERROR(INDEX(打卡匯入!$C$3:$C$2002,MATCH($C74&amp;"|"&amp;DAY($A74),打卡匯入!$E$3:$E$2002,0)),"")</f>
        <v/>
      </c>
      <c r="K74" s="80">
        <f>IFERROR(INDEX(打卡匯入!$D$3:$D$2002,MATCH($C74&amp;"|"&amp;DAY($A74),打卡匯入!$E$3:$E$2002,0)),"")</f>
        <v/>
      </c>
      <c r="L74" s="81">
        <f>IF(OR($J74="",$K74=""),"",IFERROR(INDEX(設定!$F$6:$F$18,MATCH($G74,設定!$B$6:$B$18,0)),0))</f>
        <v/>
      </c>
      <c r="M74" s="82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1">
        <f>IF(OR($C74="",$H74="",$J74=""),0,IF(ROUND(($J74-$H74)*1440,0)&gt;設定!$C$42,ROUND(($J74-$H74)*1440,0),0))</f>
        <v/>
      </c>
      <c r="P74" s="81">
        <f>IF(OR($C74="",$I74="",$K74=""),0,IF(ROUND(($I74-$K74)*1440,0)&gt;設定!$C$42,ROUND(($I74-$K74)*1440,0),0))</f>
        <v/>
      </c>
      <c r="Q74" s="82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79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0">
        <f>IF($G75="","",IFERROR(INDEX(設定!$D$6:$D$18,MATCH($G75,設定!$B$6:$B$18,0)),""))</f>
        <v/>
      </c>
      <c r="I75" s="80">
        <f>IF($G75="","",IFERROR(INDEX(設定!$E$6:$E$18,MATCH($G75,設定!$B$6:$B$18,0)),""))</f>
        <v/>
      </c>
      <c r="J75" s="80">
        <f>IFERROR(INDEX(打卡匯入!$C$3:$C$2002,MATCH($C75&amp;"|"&amp;DAY($A75),打卡匯入!$E$3:$E$2002,0)),"")</f>
        <v/>
      </c>
      <c r="K75" s="80">
        <f>IFERROR(INDEX(打卡匯入!$D$3:$D$2002,MATCH($C75&amp;"|"&amp;DAY($A75),打卡匯入!$E$3:$E$2002,0)),"")</f>
        <v/>
      </c>
      <c r="L75" s="81">
        <f>IF(OR($J75="",$K75=""),"",IFERROR(INDEX(設定!$F$6:$F$18,MATCH($G75,設定!$B$6:$B$18,0)),0))</f>
        <v/>
      </c>
      <c r="M75" s="82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1">
        <f>IF(OR($C75="",$H75="",$J75=""),0,IF(ROUND(($J75-$H75)*1440,0)&gt;設定!$C$42,ROUND(($J75-$H75)*1440,0),0))</f>
        <v/>
      </c>
      <c r="P75" s="81">
        <f>IF(OR($C75="",$I75="",$K75=""),0,IF(ROUND(($I75-$K75)*1440,0)&gt;設定!$C$42,ROUND(($I75-$K75)*1440,0),0))</f>
        <v/>
      </c>
      <c r="Q75" s="82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79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0">
        <f>IF($G76="","",IFERROR(INDEX(設定!$D$6:$D$18,MATCH($G76,設定!$B$6:$B$18,0)),""))</f>
        <v/>
      </c>
      <c r="I76" s="80">
        <f>IF($G76="","",IFERROR(INDEX(設定!$E$6:$E$18,MATCH($G76,設定!$B$6:$B$18,0)),""))</f>
        <v/>
      </c>
      <c r="J76" s="80">
        <f>IFERROR(INDEX(打卡匯入!$C$3:$C$2002,MATCH($C76&amp;"|"&amp;DAY($A76),打卡匯入!$E$3:$E$2002,0)),"")</f>
        <v/>
      </c>
      <c r="K76" s="80">
        <f>IFERROR(INDEX(打卡匯入!$D$3:$D$2002,MATCH($C76&amp;"|"&amp;DAY($A76),打卡匯入!$E$3:$E$2002,0)),"")</f>
        <v/>
      </c>
      <c r="L76" s="81">
        <f>IF(OR($J76="",$K76=""),"",IFERROR(INDEX(設定!$F$6:$F$18,MATCH($G76,設定!$B$6:$B$18,0)),0))</f>
        <v/>
      </c>
      <c r="M76" s="82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1">
        <f>IF(OR($C76="",$H76="",$J76=""),0,IF(ROUND(($J76-$H76)*1440,0)&gt;設定!$C$42,ROUND(($J76-$H76)*1440,0),0))</f>
        <v/>
      </c>
      <c r="P76" s="81">
        <f>IF(OR($C76="",$I76="",$K76=""),0,IF(ROUND(($I76-$K76)*1440,0)&gt;設定!$C$42,ROUND(($I76-$K76)*1440,0),0))</f>
        <v/>
      </c>
      <c r="Q76" s="82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79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0">
        <f>IF($G77="","",IFERROR(INDEX(設定!$D$6:$D$18,MATCH($G77,設定!$B$6:$B$18,0)),""))</f>
        <v/>
      </c>
      <c r="I77" s="80">
        <f>IF($G77="","",IFERROR(INDEX(設定!$E$6:$E$18,MATCH($G77,設定!$B$6:$B$18,0)),""))</f>
        <v/>
      </c>
      <c r="J77" s="80">
        <f>IFERROR(INDEX(打卡匯入!$C$3:$C$2002,MATCH($C77&amp;"|"&amp;DAY($A77),打卡匯入!$E$3:$E$2002,0)),"")</f>
        <v/>
      </c>
      <c r="K77" s="80">
        <f>IFERROR(INDEX(打卡匯入!$D$3:$D$2002,MATCH($C77&amp;"|"&amp;DAY($A77),打卡匯入!$E$3:$E$2002,0)),"")</f>
        <v/>
      </c>
      <c r="L77" s="81">
        <f>IF(OR($J77="",$K77=""),"",IFERROR(INDEX(設定!$F$6:$F$18,MATCH($G77,設定!$B$6:$B$18,0)),0))</f>
        <v/>
      </c>
      <c r="M77" s="82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1">
        <f>IF(OR($C77="",$H77="",$J77=""),0,IF(ROUND(($J77-$H77)*1440,0)&gt;設定!$C$42,ROUND(($J77-$H77)*1440,0),0))</f>
        <v/>
      </c>
      <c r="P77" s="81">
        <f>IF(OR($C77="",$I77="",$K77=""),0,IF(ROUND(($I77-$K77)*1440,0)&gt;設定!$C$42,ROUND(($I77-$K77)*1440,0),0))</f>
        <v/>
      </c>
      <c r="Q77" s="82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79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0">
        <f>IF($G78="","",IFERROR(INDEX(設定!$D$6:$D$18,MATCH($G78,設定!$B$6:$B$18,0)),""))</f>
        <v/>
      </c>
      <c r="I78" s="80">
        <f>IF($G78="","",IFERROR(INDEX(設定!$E$6:$E$18,MATCH($G78,設定!$B$6:$B$18,0)),""))</f>
        <v/>
      </c>
      <c r="J78" s="80">
        <f>IFERROR(INDEX(打卡匯入!$C$3:$C$2002,MATCH($C78&amp;"|"&amp;DAY($A78),打卡匯入!$E$3:$E$2002,0)),"")</f>
        <v/>
      </c>
      <c r="K78" s="80">
        <f>IFERROR(INDEX(打卡匯入!$D$3:$D$2002,MATCH($C78&amp;"|"&amp;DAY($A78),打卡匯入!$E$3:$E$2002,0)),"")</f>
        <v/>
      </c>
      <c r="L78" s="81">
        <f>IF(OR($J78="",$K78=""),"",IFERROR(INDEX(設定!$F$6:$F$18,MATCH($G78,設定!$B$6:$B$18,0)),0))</f>
        <v/>
      </c>
      <c r="M78" s="82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1">
        <f>IF(OR($C78="",$H78="",$J78=""),0,IF(ROUND(($J78-$H78)*1440,0)&gt;設定!$C$42,ROUND(($J78-$H78)*1440,0),0))</f>
        <v/>
      </c>
      <c r="P78" s="81">
        <f>IF(OR($C78="",$I78="",$K78=""),0,IF(ROUND(($I78-$K78)*1440,0)&gt;設定!$C$42,ROUND(($I78-$K78)*1440,0),0))</f>
        <v/>
      </c>
      <c r="Q78" s="82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79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0">
        <f>IF($G79="","",IFERROR(INDEX(設定!$D$6:$D$18,MATCH($G79,設定!$B$6:$B$18,0)),""))</f>
        <v/>
      </c>
      <c r="I79" s="80">
        <f>IF($G79="","",IFERROR(INDEX(設定!$E$6:$E$18,MATCH($G79,設定!$B$6:$B$18,0)),""))</f>
        <v/>
      </c>
      <c r="J79" s="80">
        <f>IFERROR(INDEX(打卡匯入!$C$3:$C$2002,MATCH($C79&amp;"|"&amp;DAY($A79),打卡匯入!$E$3:$E$2002,0)),"")</f>
        <v/>
      </c>
      <c r="K79" s="80">
        <f>IFERROR(INDEX(打卡匯入!$D$3:$D$2002,MATCH($C79&amp;"|"&amp;DAY($A79),打卡匯入!$E$3:$E$2002,0)),"")</f>
        <v/>
      </c>
      <c r="L79" s="81">
        <f>IF(OR($J79="",$K79=""),"",IFERROR(INDEX(設定!$F$6:$F$18,MATCH($G79,設定!$B$6:$B$18,0)),0))</f>
        <v/>
      </c>
      <c r="M79" s="82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1">
        <f>IF(OR($C79="",$H79="",$J79=""),0,IF(ROUND(($J79-$H79)*1440,0)&gt;設定!$C$42,ROUND(($J79-$H79)*1440,0),0))</f>
        <v/>
      </c>
      <c r="P79" s="81">
        <f>IF(OR($C79="",$I79="",$K79=""),0,IF(ROUND(($I79-$K79)*1440,0)&gt;設定!$C$42,ROUND(($I79-$K79)*1440,0),0))</f>
        <v/>
      </c>
      <c r="Q79" s="82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79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0">
        <f>IF($G80="","",IFERROR(INDEX(設定!$D$6:$D$18,MATCH($G80,設定!$B$6:$B$18,0)),""))</f>
        <v/>
      </c>
      <c r="I80" s="80">
        <f>IF($G80="","",IFERROR(INDEX(設定!$E$6:$E$18,MATCH($G80,設定!$B$6:$B$18,0)),""))</f>
        <v/>
      </c>
      <c r="J80" s="80">
        <f>IFERROR(INDEX(打卡匯入!$C$3:$C$2002,MATCH($C80&amp;"|"&amp;DAY($A80),打卡匯入!$E$3:$E$2002,0)),"")</f>
        <v/>
      </c>
      <c r="K80" s="80">
        <f>IFERROR(INDEX(打卡匯入!$D$3:$D$2002,MATCH($C80&amp;"|"&amp;DAY($A80),打卡匯入!$E$3:$E$2002,0)),"")</f>
        <v/>
      </c>
      <c r="L80" s="81">
        <f>IF(OR($J80="",$K80=""),"",IFERROR(INDEX(設定!$F$6:$F$18,MATCH($G80,設定!$B$6:$B$18,0)),0))</f>
        <v/>
      </c>
      <c r="M80" s="82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1">
        <f>IF(OR($C80="",$H80="",$J80=""),0,IF(ROUND(($J80-$H80)*1440,0)&gt;設定!$C$42,ROUND(($J80-$H80)*1440,0),0))</f>
        <v/>
      </c>
      <c r="P80" s="81">
        <f>IF(OR($C80="",$I80="",$K80=""),0,IF(ROUND(($I80-$K80)*1440,0)&gt;設定!$C$42,ROUND(($I80-$K80)*1440,0),0))</f>
        <v/>
      </c>
      <c r="Q80" s="82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79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0">
        <f>IF($G81="","",IFERROR(INDEX(設定!$D$6:$D$18,MATCH($G81,設定!$B$6:$B$18,0)),""))</f>
        <v/>
      </c>
      <c r="I81" s="80">
        <f>IF($G81="","",IFERROR(INDEX(設定!$E$6:$E$18,MATCH($G81,設定!$B$6:$B$18,0)),""))</f>
        <v/>
      </c>
      <c r="J81" s="80">
        <f>IFERROR(INDEX(打卡匯入!$C$3:$C$2002,MATCH($C81&amp;"|"&amp;DAY($A81),打卡匯入!$E$3:$E$2002,0)),"")</f>
        <v/>
      </c>
      <c r="K81" s="80">
        <f>IFERROR(INDEX(打卡匯入!$D$3:$D$2002,MATCH($C81&amp;"|"&amp;DAY($A81),打卡匯入!$E$3:$E$2002,0)),"")</f>
        <v/>
      </c>
      <c r="L81" s="81">
        <f>IF(OR($J81="",$K81=""),"",IFERROR(INDEX(設定!$F$6:$F$18,MATCH($G81,設定!$B$6:$B$18,0)),0))</f>
        <v/>
      </c>
      <c r="M81" s="82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1">
        <f>IF(OR($C81="",$H81="",$J81=""),0,IF(ROUND(($J81-$H81)*1440,0)&gt;設定!$C$42,ROUND(($J81-$H81)*1440,0),0))</f>
        <v/>
      </c>
      <c r="P81" s="81">
        <f>IF(OR($C81="",$I81="",$K81=""),0,IF(ROUND(($I81-$K81)*1440,0)&gt;設定!$C$42,ROUND(($I81-$K81)*1440,0),0))</f>
        <v/>
      </c>
      <c r="Q81" s="82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79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0">
        <f>IF($G82="","",IFERROR(INDEX(設定!$D$6:$D$18,MATCH($G82,設定!$B$6:$B$18,0)),""))</f>
        <v/>
      </c>
      <c r="I82" s="80">
        <f>IF($G82="","",IFERROR(INDEX(設定!$E$6:$E$18,MATCH($G82,設定!$B$6:$B$18,0)),""))</f>
        <v/>
      </c>
      <c r="J82" s="80">
        <f>IFERROR(INDEX(打卡匯入!$C$3:$C$2002,MATCH($C82&amp;"|"&amp;DAY($A82),打卡匯入!$E$3:$E$2002,0)),"")</f>
        <v/>
      </c>
      <c r="K82" s="80">
        <f>IFERROR(INDEX(打卡匯入!$D$3:$D$2002,MATCH($C82&amp;"|"&amp;DAY($A82),打卡匯入!$E$3:$E$2002,0)),"")</f>
        <v/>
      </c>
      <c r="L82" s="81">
        <f>IF(OR($J82="",$K82=""),"",IFERROR(INDEX(設定!$F$6:$F$18,MATCH($G82,設定!$B$6:$B$18,0)),0))</f>
        <v/>
      </c>
      <c r="M82" s="82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1">
        <f>IF(OR($C82="",$H82="",$J82=""),0,IF(ROUND(($J82-$H82)*1440,0)&gt;設定!$C$42,ROUND(($J82-$H82)*1440,0),0))</f>
        <v/>
      </c>
      <c r="P82" s="81">
        <f>IF(OR($C82="",$I82="",$K82=""),0,IF(ROUND(($I82-$K82)*1440,0)&gt;設定!$C$42,ROUND(($I82-$K82)*1440,0),0))</f>
        <v/>
      </c>
      <c r="Q82" s="82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79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0">
        <f>IF($G83="","",IFERROR(INDEX(設定!$D$6:$D$18,MATCH($G83,設定!$B$6:$B$18,0)),""))</f>
        <v/>
      </c>
      <c r="I83" s="80">
        <f>IF($G83="","",IFERROR(INDEX(設定!$E$6:$E$18,MATCH($G83,設定!$B$6:$B$18,0)),""))</f>
        <v/>
      </c>
      <c r="J83" s="80">
        <f>IFERROR(INDEX(打卡匯入!$C$3:$C$2002,MATCH($C83&amp;"|"&amp;DAY($A83),打卡匯入!$E$3:$E$2002,0)),"")</f>
        <v/>
      </c>
      <c r="K83" s="80">
        <f>IFERROR(INDEX(打卡匯入!$D$3:$D$2002,MATCH($C83&amp;"|"&amp;DAY($A83),打卡匯入!$E$3:$E$2002,0)),"")</f>
        <v/>
      </c>
      <c r="L83" s="81">
        <f>IF(OR($J83="",$K83=""),"",IFERROR(INDEX(設定!$F$6:$F$18,MATCH($G83,設定!$B$6:$B$18,0)),0))</f>
        <v/>
      </c>
      <c r="M83" s="82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1">
        <f>IF(OR($C83="",$H83="",$J83=""),0,IF(ROUND(($J83-$H83)*1440,0)&gt;設定!$C$42,ROUND(($J83-$H83)*1440,0),0))</f>
        <v/>
      </c>
      <c r="P83" s="81">
        <f>IF(OR($C83="",$I83="",$K83=""),0,IF(ROUND(($I83-$K83)*1440,0)&gt;設定!$C$42,ROUND(($I83-$K83)*1440,0),0))</f>
        <v/>
      </c>
      <c r="Q83" s="82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79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0">
        <f>IF($G84="","",IFERROR(INDEX(設定!$D$6:$D$18,MATCH($G84,設定!$B$6:$B$18,0)),""))</f>
        <v/>
      </c>
      <c r="I84" s="80">
        <f>IF($G84="","",IFERROR(INDEX(設定!$E$6:$E$18,MATCH($G84,設定!$B$6:$B$18,0)),""))</f>
        <v/>
      </c>
      <c r="J84" s="80">
        <f>IFERROR(INDEX(打卡匯入!$C$3:$C$2002,MATCH($C84&amp;"|"&amp;DAY($A84),打卡匯入!$E$3:$E$2002,0)),"")</f>
        <v/>
      </c>
      <c r="K84" s="80">
        <f>IFERROR(INDEX(打卡匯入!$D$3:$D$2002,MATCH($C84&amp;"|"&amp;DAY($A84),打卡匯入!$E$3:$E$2002,0)),"")</f>
        <v/>
      </c>
      <c r="L84" s="81">
        <f>IF(OR($J84="",$K84=""),"",IFERROR(INDEX(設定!$F$6:$F$18,MATCH($G84,設定!$B$6:$B$18,0)),0))</f>
        <v/>
      </c>
      <c r="M84" s="82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1">
        <f>IF(OR($C84="",$H84="",$J84=""),0,IF(ROUND(($J84-$H84)*1440,0)&gt;設定!$C$42,ROUND(($J84-$H84)*1440,0),0))</f>
        <v/>
      </c>
      <c r="P84" s="81">
        <f>IF(OR($C84="",$I84="",$K84=""),0,IF(ROUND(($I84-$K84)*1440,0)&gt;設定!$C$42,ROUND(($I84-$K84)*1440,0),0))</f>
        <v/>
      </c>
      <c r="Q84" s="82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79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0">
        <f>IF($G85="","",IFERROR(INDEX(設定!$D$6:$D$18,MATCH($G85,設定!$B$6:$B$18,0)),""))</f>
        <v/>
      </c>
      <c r="I85" s="80">
        <f>IF($G85="","",IFERROR(INDEX(設定!$E$6:$E$18,MATCH($G85,設定!$B$6:$B$18,0)),""))</f>
        <v/>
      </c>
      <c r="J85" s="80">
        <f>IFERROR(INDEX(打卡匯入!$C$3:$C$2002,MATCH($C85&amp;"|"&amp;DAY($A85),打卡匯入!$E$3:$E$2002,0)),"")</f>
        <v/>
      </c>
      <c r="K85" s="80">
        <f>IFERROR(INDEX(打卡匯入!$D$3:$D$2002,MATCH($C85&amp;"|"&amp;DAY($A85),打卡匯入!$E$3:$E$2002,0)),"")</f>
        <v/>
      </c>
      <c r="L85" s="81">
        <f>IF(OR($J85="",$K85=""),"",IFERROR(INDEX(設定!$F$6:$F$18,MATCH($G85,設定!$B$6:$B$18,0)),0))</f>
        <v/>
      </c>
      <c r="M85" s="82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1">
        <f>IF(OR($C85="",$H85="",$J85=""),0,IF(ROUND(($J85-$H85)*1440,0)&gt;設定!$C$42,ROUND(($J85-$H85)*1440,0),0))</f>
        <v/>
      </c>
      <c r="P85" s="81">
        <f>IF(OR($C85="",$I85="",$K85=""),0,IF(ROUND(($I85-$K85)*1440,0)&gt;設定!$C$42,ROUND(($I85-$K85)*1440,0),0))</f>
        <v/>
      </c>
      <c r="Q85" s="82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79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0">
        <f>IF($G86="","",IFERROR(INDEX(設定!$D$6:$D$18,MATCH($G86,設定!$B$6:$B$18,0)),""))</f>
        <v/>
      </c>
      <c r="I86" s="80">
        <f>IF($G86="","",IFERROR(INDEX(設定!$E$6:$E$18,MATCH($G86,設定!$B$6:$B$18,0)),""))</f>
        <v/>
      </c>
      <c r="J86" s="80">
        <f>IFERROR(INDEX(打卡匯入!$C$3:$C$2002,MATCH($C86&amp;"|"&amp;DAY($A86),打卡匯入!$E$3:$E$2002,0)),"")</f>
        <v/>
      </c>
      <c r="K86" s="80">
        <f>IFERROR(INDEX(打卡匯入!$D$3:$D$2002,MATCH($C86&amp;"|"&amp;DAY($A86),打卡匯入!$E$3:$E$2002,0)),"")</f>
        <v/>
      </c>
      <c r="L86" s="81">
        <f>IF(OR($J86="",$K86=""),"",IFERROR(INDEX(設定!$F$6:$F$18,MATCH($G86,設定!$B$6:$B$18,0)),0))</f>
        <v/>
      </c>
      <c r="M86" s="82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1">
        <f>IF(OR($C86="",$H86="",$J86=""),0,IF(ROUND(($J86-$H86)*1440,0)&gt;設定!$C$42,ROUND(($J86-$H86)*1440,0),0))</f>
        <v/>
      </c>
      <c r="P86" s="81">
        <f>IF(OR($C86="",$I86="",$K86=""),0,IF(ROUND(($I86-$K86)*1440,0)&gt;設定!$C$42,ROUND(($I86-$K86)*1440,0),0))</f>
        <v/>
      </c>
      <c r="Q86" s="82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79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0">
        <f>IF($G87="","",IFERROR(INDEX(設定!$D$6:$D$18,MATCH($G87,設定!$B$6:$B$18,0)),""))</f>
        <v/>
      </c>
      <c r="I87" s="80">
        <f>IF($G87="","",IFERROR(INDEX(設定!$E$6:$E$18,MATCH($G87,設定!$B$6:$B$18,0)),""))</f>
        <v/>
      </c>
      <c r="J87" s="80">
        <f>IFERROR(INDEX(打卡匯入!$C$3:$C$2002,MATCH($C87&amp;"|"&amp;DAY($A87),打卡匯入!$E$3:$E$2002,0)),"")</f>
        <v/>
      </c>
      <c r="K87" s="80">
        <f>IFERROR(INDEX(打卡匯入!$D$3:$D$2002,MATCH($C87&amp;"|"&amp;DAY($A87),打卡匯入!$E$3:$E$2002,0)),"")</f>
        <v/>
      </c>
      <c r="L87" s="81">
        <f>IF(OR($J87="",$K87=""),"",IFERROR(INDEX(設定!$F$6:$F$18,MATCH($G87,設定!$B$6:$B$18,0)),0))</f>
        <v/>
      </c>
      <c r="M87" s="82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1">
        <f>IF(OR($C87="",$H87="",$J87=""),0,IF(ROUND(($J87-$H87)*1440,0)&gt;設定!$C$42,ROUND(($J87-$H87)*1440,0),0))</f>
        <v/>
      </c>
      <c r="P87" s="81">
        <f>IF(OR($C87="",$I87="",$K87=""),0,IF(ROUND(($I87-$K87)*1440,0)&gt;設定!$C$42,ROUND(($I87-$K87)*1440,0),0))</f>
        <v/>
      </c>
      <c r="Q87" s="82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79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0">
        <f>IF($G88="","",IFERROR(INDEX(設定!$D$6:$D$18,MATCH($G88,設定!$B$6:$B$18,0)),""))</f>
        <v/>
      </c>
      <c r="I88" s="80">
        <f>IF($G88="","",IFERROR(INDEX(設定!$E$6:$E$18,MATCH($G88,設定!$B$6:$B$18,0)),""))</f>
        <v/>
      </c>
      <c r="J88" s="80">
        <f>IFERROR(INDEX(打卡匯入!$C$3:$C$2002,MATCH($C88&amp;"|"&amp;DAY($A88),打卡匯入!$E$3:$E$2002,0)),"")</f>
        <v/>
      </c>
      <c r="K88" s="80">
        <f>IFERROR(INDEX(打卡匯入!$D$3:$D$2002,MATCH($C88&amp;"|"&amp;DAY($A88),打卡匯入!$E$3:$E$2002,0)),"")</f>
        <v/>
      </c>
      <c r="L88" s="81">
        <f>IF(OR($J88="",$K88=""),"",IFERROR(INDEX(設定!$F$6:$F$18,MATCH($G88,設定!$B$6:$B$18,0)),0))</f>
        <v/>
      </c>
      <c r="M88" s="82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1">
        <f>IF(OR($C88="",$H88="",$J88=""),0,IF(ROUND(($J88-$H88)*1440,0)&gt;設定!$C$42,ROUND(($J88-$H88)*1440,0),0))</f>
        <v/>
      </c>
      <c r="P88" s="81">
        <f>IF(OR($C88="",$I88="",$K88=""),0,IF(ROUND(($I88-$K88)*1440,0)&gt;設定!$C$42,ROUND(($I88-$K88)*1440,0),0))</f>
        <v/>
      </c>
      <c r="Q88" s="82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79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0">
        <f>IF($G89="","",IFERROR(INDEX(設定!$D$6:$D$18,MATCH($G89,設定!$B$6:$B$18,0)),""))</f>
        <v/>
      </c>
      <c r="I89" s="80">
        <f>IF($G89="","",IFERROR(INDEX(設定!$E$6:$E$18,MATCH($G89,設定!$B$6:$B$18,0)),""))</f>
        <v/>
      </c>
      <c r="J89" s="80">
        <f>IFERROR(INDEX(打卡匯入!$C$3:$C$2002,MATCH($C89&amp;"|"&amp;DAY($A89),打卡匯入!$E$3:$E$2002,0)),"")</f>
        <v/>
      </c>
      <c r="K89" s="80">
        <f>IFERROR(INDEX(打卡匯入!$D$3:$D$2002,MATCH($C89&amp;"|"&amp;DAY($A89),打卡匯入!$E$3:$E$2002,0)),"")</f>
        <v/>
      </c>
      <c r="L89" s="81">
        <f>IF(OR($J89="",$K89=""),"",IFERROR(INDEX(設定!$F$6:$F$18,MATCH($G89,設定!$B$6:$B$18,0)),0))</f>
        <v/>
      </c>
      <c r="M89" s="82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1">
        <f>IF(OR($C89="",$H89="",$J89=""),0,IF(ROUND(($J89-$H89)*1440,0)&gt;設定!$C$42,ROUND(($J89-$H89)*1440,0),0))</f>
        <v/>
      </c>
      <c r="P89" s="81">
        <f>IF(OR($C89="",$I89="",$K89=""),0,IF(ROUND(($I89-$K89)*1440,0)&gt;設定!$C$42,ROUND(($I89-$K89)*1440,0),0))</f>
        <v/>
      </c>
      <c r="Q89" s="82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79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0">
        <f>IF($G90="","",IFERROR(INDEX(設定!$D$6:$D$18,MATCH($G90,設定!$B$6:$B$18,0)),""))</f>
        <v/>
      </c>
      <c r="I90" s="80">
        <f>IF($G90="","",IFERROR(INDEX(設定!$E$6:$E$18,MATCH($G90,設定!$B$6:$B$18,0)),""))</f>
        <v/>
      </c>
      <c r="J90" s="80">
        <f>IFERROR(INDEX(打卡匯入!$C$3:$C$2002,MATCH($C90&amp;"|"&amp;DAY($A90),打卡匯入!$E$3:$E$2002,0)),"")</f>
        <v/>
      </c>
      <c r="K90" s="80">
        <f>IFERROR(INDEX(打卡匯入!$D$3:$D$2002,MATCH($C90&amp;"|"&amp;DAY($A90),打卡匯入!$E$3:$E$2002,0)),"")</f>
        <v/>
      </c>
      <c r="L90" s="81">
        <f>IF(OR($J90="",$K90=""),"",IFERROR(INDEX(設定!$F$6:$F$18,MATCH($G90,設定!$B$6:$B$18,0)),0))</f>
        <v/>
      </c>
      <c r="M90" s="82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1">
        <f>IF(OR($C90="",$H90="",$J90=""),0,IF(ROUND(($J90-$H90)*1440,0)&gt;設定!$C$42,ROUND(($J90-$H90)*1440,0),0))</f>
        <v/>
      </c>
      <c r="P90" s="81">
        <f>IF(OR($C90="",$I90="",$K90=""),0,IF(ROUND(($I90-$K90)*1440,0)&gt;設定!$C$42,ROUND(($I90-$K90)*1440,0),0))</f>
        <v/>
      </c>
      <c r="Q90" s="82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79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0">
        <f>IF($G91="","",IFERROR(INDEX(設定!$D$6:$D$18,MATCH($G91,設定!$B$6:$B$18,0)),""))</f>
        <v/>
      </c>
      <c r="I91" s="80">
        <f>IF($G91="","",IFERROR(INDEX(設定!$E$6:$E$18,MATCH($G91,設定!$B$6:$B$18,0)),""))</f>
        <v/>
      </c>
      <c r="J91" s="80">
        <f>IFERROR(INDEX(打卡匯入!$C$3:$C$2002,MATCH($C91&amp;"|"&amp;DAY($A91),打卡匯入!$E$3:$E$2002,0)),"")</f>
        <v/>
      </c>
      <c r="K91" s="80">
        <f>IFERROR(INDEX(打卡匯入!$D$3:$D$2002,MATCH($C91&amp;"|"&amp;DAY($A91),打卡匯入!$E$3:$E$2002,0)),"")</f>
        <v/>
      </c>
      <c r="L91" s="81">
        <f>IF(OR($J91="",$K91=""),"",IFERROR(INDEX(設定!$F$6:$F$18,MATCH($G91,設定!$B$6:$B$18,0)),0))</f>
        <v/>
      </c>
      <c r="M91" s="82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1">
        <f>IF(OR($C91="",$H91="",$J91=""),0,IF(ROUND(($J91-$H91)*1440,0)&gt;設定!$C$42,ROUND(($J91-$H91)*1440,0),0))</f>
        <v/>
      </c>
      <c r="P91" s="81">
        <f>IF(OR($C91="",$I91="",$K91=""),0,IF(ROUND(($I91-$K91)*1440,0)&gt;設定!$C$42,ROUND(($I91-$K91)*1440,0),0))</f>
        <v/>
      </c>
      <c r="Q91" s="82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79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0">
        <f>IF($G92="","",IFERROR(INDEX(設定!$D$6:$D$18,MATCH($G92,設定!$B$6:$B$18,0)),""))</f>
        <v/>
      </c>
      <c r="I92" s="80">
        <f>IF($G92="","",IFERROR(INDEX(設定!$E$6:$E$18,MATCH($G92,設定!$B$6:$B$18,0)),""))</f>
        <v/>
      </c>
      <c r="J92" s="80">
        <f>IFERROR(INDEX(打卡匯入!$C$3:$C$2002,MATCH($C92&amp;"|"&amp;DAY($A92),打卡匯入!$E$3:$E$2002,0)),"")</f>
        <v/>
      </c>
      <c r="K92" s="80">
        <f>IFERROR(INDEX(打卡匯入!$D$3:$D$2002,MATCH($C92&amp;"|"&amp;DAY($A92),打卡匯入!$E$3:$E$2002,0)),"")</f>
        <v/>
      </c>
      <c r="L92" s="81">
        <f>IF(OR($J92="",$K92=""),"",IFERROR(INDEX(設定!$F$6:$F$18,MATCH($G92,設定!$B$6:$B$18,0)),0))</f>
        <v/>
      </c>
      <c r="M92" s="82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1">
        <f>IF(OR($C92="",$H92="",$J92=""),0,IF(ROUND(($J92-$H92)*1440,0)&gt;設定!$C$42,ROUND(($J92-$H92)*1440,0),0))</f>
        <v/>
      </c>
      <c r="P92" s="81">
        <f>IF(OR($C92="",$I92="",$K92=""),0,IF(ROUND(($I92-$K92)*1440,0)&gt;設定!$C$42,ROUND(($I92-$K92)*1440,0),0))</f>
        <v/>
      </c>
      <c r="Q92" s="82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79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0">
        <f>IF($G93="","",IFERROR(INDEX(設定!$D$6:$D$18,MATCH($G93,設定!$B$6:$B$18,0)),""))</f>
        <v/>
      </c>
      <c r="I93" s="80">
        <f>IF($G93="","",IFERROR(INDEX(設定!$E$6:$E$18,MATCH($G93,設定!$B$6:$B$18,0)),""))</f>
        <v/>
      </c>
      <c r="J93" s="80">
        <f>IFERROR(INDEX(打卡匯入!$C$3:$C$2002,MATCH($C93&amp;"|"&amp;DAY($A93),打卡匯入!$E$3:$E$2002,0)),"")</f>
        <v/>
      </c>
      <c r="K93" s="80">
        <f>IFERROR(INDEX(打卡匯入!$D$3:$D$2002,MATCH($C93&amp;"|"&amp;DAY($A93),打卡匯入!$E$3:$E$2002,0)),"")</f>
        <v/>
      </c>
      <c r="L93" s="81">
        <f>IF(OR($J93="",$K93=""),"",IFERROR(INDEX(設定!$F$6:$F$18,MATCH($G93,設定!$B$6:$B$18,0)),0))</f>
        <v/>
      </c>
      <c r="M93" s="82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1">
        <f>IF(OR($C93="",$H93="",$J93=""),0,IF(ROUND(($J93-$H93)*1440,0)&gt;設定!$C$42,ROUND(($J93-$H93)*1440,0),0))</f>
        <v/>
      </c>
      <c r="P93" s="81">
        <f>IF(OR($C93="",$I93="",$K93=""),0,IF(ROUND(($I93-$K93)*1440,0)&gt;設定!$C$42,ROUND(($I93-$K93)*1440,0),0))</f>
        <v/>
      </c>
      <c r="Q93" s="82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79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0">
        <f>IF($G94="","",IFERROR(INDEX(設定!$D$6:$D$18,MATCH($G94,設定!$B$6:$B$18,0)),""))</f>
        <v/>
      </c>
      <c r="I94" s="80">
        <f>IF($G94="","",IFERROR(INDEX(設定!$E$6:$E$18,MATCH($G94,設定!$B$6:$B$18,0)),""))</f>
        <v/>
      </c>
      <c r="J94" s="80">
        <f>IFERROR(INDEX(打卡匯入!$C$3:$C$2002,MATCH($C94&amp;"|"&amp;DAY($A94),打卡匯入!$E$3:$E$2002,0)),"")</f>
        <v/>
      </c>
      <c r="K94" s="80">
        <f>IFERROR(INDEX(打卡匯入!$D$3:$D$2002,MATCH($C94&amp;"|"&amp;DAY($A94),打卡匯入!$E$3:$E$2002,0)),"")</f>
        <v/>
      </c>
      <c r="L94" s="81">
        <f>IF(OR($J94="",$K94=""),"",IFERROR(INDEX(設定!$F$6:$F$18,MATCH($G94,設定!$B$6:$B$18,0)),0))</f>
        <v/>
      </c>
      <c r="M94" s="82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1">
        <f>IF(OR($C94="",$H94="",$J94=""),0,IF(ROUND(($J94-$H94)*1440,0)&gt;設定!$C$42,ROUND(($J94-$H94)*1440,0),0))</f>
        <v/>
      </c>
      <c r="P94" s="81">
        <f>IF(OR($C94="",$I94="",$K94=""),0,IF(ROUND(($I94-$K94)*1440,0)&gt;設定!$C$42,ROUND(($I94-$K94)*1440,0),0))</f>
        <v/>
      </c>
      <c r="Q94" s="82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79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0">
        <f>IF($G95="","",IFERROR(INDEX(設定!$D$6:$D$18,MATCH($G95,設定!$B$6:$B$18,0)),""))</f>
        <v/>
      </c>
      <c r="I95" s="80">
        <f>IF($G95="","",IFERROR(INDEX(設定!$E$6:$E$18,MATCH($G95,設定!$B$6:$B$18,0)),""))</f>
        <v/>
      </c>
      <c r="J95" s="80">
        <f>IFERROR(INDEX(打卡匯入!$C$3:$C$2002,MATCH($C95&amp;"|"&amp;DAY($A95),打卡匯入!$E$3:$E$2002,0)),"")</f>
        <v/>
      </c>
      <c r="K95" s="80">
        <f>IFERROR(INDEX(打卡匯入!$D$3:$D$2002,MATCH($C95&amp;"|"&amp;DAY($A95),打卡匯入!$E$3:$E$2002,0)),"")</f>
        <v/>
      </c>
      <c r="L95" s="81">
        <f>IF(OR($J95="",$K95=""),"",IFERROR(INDEX(設定!$F$6:$F$18,MATCH($G95,設定!$B$6:$B$18,0)),0))</f>
        <v/>
      </c>
      <c r="M95" s="82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1">
        <f>IF(OR($C95="",$H95="",$J95=""),0,IF(ROUND(($J95-$H95)*1440,0)&gt;設定!$C$42,ROUND(($J95-$H95)*1440,0),0))</f>
        <v/>
      </c>
      <c r="P95" s="81">
        <f>IF(OR($C95="",$I95="",$K95=""),0,IF(ROUND(($I95-$K95)*1440,0)&gt;設定!$C$42,ROUND(($I95-$K95)*1440,0),0))</f>
        <v/>
      </c>
      <c r="Q95" s="82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79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0">
        <f>IF($G96="","",IFERROR(INDEX(設定!$D$6:$D$18,MATCH($G96,設定!$B$6:$B$18,0)),""))</f>
        <v/>
      </c>
      <c r="I96" s="80">
        <f>IF($G96="","",IFERROR(INDEX(設定!$E$6:$E$18,MATCH($G96,設定!$B$6:$B$18,0)),""))</f>
        <v/>
      </c>
      <c r="J96" s="80">
        <f>IFERROR(INDEX(打卡匯入!$C$3:$C$2002,MATCH($C96&amp;"|"&amp;DAY($A96),打卡匯入!$E$3:$E$2002,0)),"")</f>
        <v/>
      </c>
      <c r="K96" s="80">
        <f>IFERROR(INDEX(打卡匯入!$D$3:$D$2002,MATCH($C96&amp;"|"&amp;DAY($A96),打卡匯入!$E$3:$E$2002,0)),"")</f>
        <v/>
      </c>
      <c r="L96" s="81">
        <f>IF(OR($J96="",$K96=""),"",IFERROR(INDEX(設定!$F$6:$F$18,MATCH($G96,設定!$B$6:$B$18,0)),0))</f>
        <v/>
      </c>
      <c r="M96" s="82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1">
        <f>IF(OR($C96="",$H96="",$J96=""),0,IF(ROUND(($J96-$H96)*1440,0)&gt;設定!$C$42,ROUND(($J96-$H96)*1440,0),0))</f>
        <v/>
      </c>
      <c r="P96" s="81">
        <f>IF(OR($C96="",$I96="",$K96=""),0,IF(ROUND(($I96-$K96)*1440,0)&gt;設定!$C$42,ROUND(($I96-$K96)*1440,0),0))</f>
        <v/>
      </c>
      <c r="Q96" s="82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79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0">
        <f>IF($G97="","",IFERROR(INDEX(設定!$D$6:$D$18,MATCH($G97,設定!$B$6:$B$18,0)),""))</f>
        <v/>
      </c>
      <c r="I97" s="80">
        <f>IF($G97="","",IFERROR(INDEX(設定!$E$6:$E$18,MATCH($G97,設定!$B$6:$B$18,0)),""))</f>
        <v/>
      </c>
      <c r="J97" s="80">
        <f>IFERROR(INDEX(打卡匯入!$C$3:$C$2002,MATCH($C97&amp;"|"&amp;DAY($A97),打卡匯入!$E$3:$E$2002,0)),"")</f>
        <v/>
      </c>
      <c r="K97" s="80">
        <f>IFERROR(INDEX(打卡匯入!$D$3:$D$2002,MATCH($C97&amp;"|"&amp;DAY($A97),打卡匯入!$E$3:$E$2002,0)),"")</f>
        <v/>
      </c>
      <c r="L97" s="81">
        <f>IF(OR($J97="",$K97=""),"",IFERROR(INDEX(設定!$F$6:$F$18,MATCH($G97,設定!$B$6:$B$18,0)),0))</f>
        <v/>
      </c>
      <c r="M97" s="82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1">
        <f>IF(OR($C97="",$H97="",$J97=""),0,IF(ROUND(($J97-$H97)*1440,0)&gt;設定!$C$42,ROUND(($J97-$H97)*1440,0),0))</f>
        <v/>
      </c>
      <c r="P97" s="81">
        <f>IF(OR($C97="",$I97="",$K97=""),0,IF(ROUND(($I97-$K97)*1440,0)&gt;設定!$C$42,ROUND(($I97-$K97)*1440,0),0))</f>
        <v/>
      </c>
      <c r="Q97" s="82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79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0">
        <f>IF($G98="","",IFERROR(INDEX(設定!$D$6:$D$18,MATCH($G98,設定!$B$6:$B$18,0)),""))</f>
        <v/>
      </c>
      <c r="I98" s="80">
        <f>IF($G98="","",IFERROR(INDEX(設定!$E$6:$E$18,MATCH($G98,設定!$B$6:$B$18,0)),""))</f>
        <v/>
      </c>
      <c r="J98" s="80">
        <f>IFERROR(INDEX(打卡匯入!$C$3:$C$2002,MATCH($C98&amp;"|"&amp;DAY($A98),打卡匯入!$E$3:$E$2002,0)),"")</f>
        <v/>
      </c>
      <c r="K98" s="80">
        <f>IFERROR(INDEX(打卡匯入!$D$3:$D$2002,MATCH($C98&amp;"|"&amp;DAY($A98),打卡匯入!$E$3:$E$2002,0)),"")</f>
        <v/>
      </c>
      <c r="L98" s="81">
        <f>IF(OR($J98="",$K98=""),"",IFERROR(INDEX(設定!$F$6:$F$18,MATCH($G98,設定!$B$6:$B$18,0)),0))</f>
        <v/>
      </c>
      <c r="M98" s="82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1">
        <f>IF(OR($C98="",$H98="",$J98=""),0,IF(ROUND(($J98-$H98)*1440,0)&gt;設定!$C$42,ROUND(($J98-$H98)*1440,0),0))</f>
        <v/>
      </c>
      <c r="P98" s="81">
        <f>IF(OR($C98="",$I98="",$K98=""),0,IF(ROUND(($I98-$K98)*1440,0)&gt;設定!$C$42,ROUND(($I98-$K98)*1440,0),0))</f>
        <v/>
      </c>
      <c r="Q98" s="82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79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0">
        <f>IF($G99="","",IFERROR(INDEX(設定!$D$6:$D$18,MATCH($G99,設定!$B$6:$B$18,0)),""))</f>
        <v/>
      </c>
      <c r="I99" s="80">
        <f>IF($G99="","",IFERROR(INDEX(設定!$E$6:$E$18,MATCH($G99,設定!$B$6:$B$18,0)),""))</f>
        <v/>
      </c>
      <c r="J99" s="80">
        <f>IFERROR(INDEX(打卡匯入!$C$3:$C$2002,MATCH($C99&amp;"|"&amp;DAY($A99),打卡匯入!$E$3:$E$2002,0)),"")</f>
        <v/>
      </c>
      <c r="K99" s="80">
        <f>IFERROR(INDEX(打卡匯入!$D$3:$D$2002,MATCH($C99&amp;"|"&amp;DAY($A99),打卡匯入!$E$3:$E$2002,0)),"")</f>
        <v/>
      </c>
      <c r="L99" s="81">
        <f>IF(OR($J99="",$K99=""),"",IFERROR(INDEX(設定!$F$6:$F$18,MATCH($G99,設定!$B$6:$B$18,0)),0))</f>
        <v/>
      </c>
      <c r="M99" s="82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1">
        <f>IF(OR($C99="",$H99="",$J99=""),0,IF(ROUND(($J99-$H99)*1440,0)&gt;設定!$C$42,ROUND(($J99-$H99)*1440,0),0))</f>
        <v/>
      </c>
      <c r="P99" s="81">
        <f>IF(OR($C99="",$I99="",$K99=""),0,IF(ROUND(($I99-$K99)*1440,0)&gt;設定!$C$42,ROUND(($I99-$K99)*1440,0),0))</f>
        <v/>
      </c>
      <c r="Q99" s="82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79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0">
        <f>IF($G100="","",IFERROR(INDEX(設定!$D$6:$D$18,MATCH($G100,設定!$B$6:$B$18,0)),""))</f>
        <v/>
      </c>
      <c r="I100" s="80">
        <f>IF($G100="","",IFERROR(INDEX(設定!$E$6:$E$18,MATCH($G100,設定!$B$6:$B$18,0)),""))</f>
        <v/>
      </c>
      <c r="J100" s="80">
        <f>IFERROR(INDEX(打卡匯入!$C$3:$C$2002,MATCH($C100&amp;"|"&amp;DAY($A100),打卡匯入!$E$3:$E$2002,0)),"")</f>
        <v/>
      </c>
      <c r="K100" s="80">
        <f>IFERROR(INDEX(打卡匯入!$D$3:$D$2002,MATCH($C100&amp;"|"&amp;DAY($A100),打卡匯入!$E$3:$E$2002,0)),"")</f>
        <v/>
      </c>
      <c r="L100" s="81">
        <f>IF(OR($J100="",$K100=""),"",IFERROR(INDEX(設定!$F$6:$F$18,MATCH($G100,設定!$B$6:$B$18,0)),0))</f>
        <v/>
      </c>
      <c r="M100" s="82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1">
        <f>IF(OR($C100="",$H100="",$J100=""),0,IF(ROUND(($J100-$H100)*1440,0)&gt;設定!$C$42,ROUND(($J100-$H100)*1440,0),0))</f>
        <v/>
      </c>
      <c r="P100" s="81">
        <f>IF(OR($C100="",$I100="",$K100=""),0,IF(ROUND(($I100-$K100)*1440,0)&gt;設定!$C$42,ROUND(($I100-$K100)*1440,0),0))</f>
        <v/>
      </c>
      <c r="Q100" s="82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79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0">
        <f>IF($G101="","",IFERROR(INDEX(設定!$D$6:$D$18,MATCH($G101,設定!$B$6:$B$18,0)),""))</f>
        <v/>
      </c>
      <c r="I101" s="80">
        <f>IF($G101="","",IFERROR(INDEX(設定!$E$6:$E$18,MATCH($G101,設定!$B$6:$B$18,0)),""))</f>
        <v/>
      </c>
      <c r="J101" s="80">
        <f>IFERROR(INDEX(打卡匯入!$C$3:$C$2002,MATCH($C101&amp;"|"&amp;DAY($A101),打卡匯入!$E$3:$E$2002,0)),"")</f>
        <v/>
      </c>
      <c r="K101" s="80">
        <f>IFERROR(INDEX(打卡匯入!$D$3:$D$2002,MATCH($C101&amp;"|"&amp;DAY($A101),打卡匯入!$E$3:$E$2002,0)),"")</f>
        <v/>
      </c>
      <c r="L101" s="81">
        <f>IF(OR($J101="",$K101=""),"",IFERROR(INDEX(設定!$F$6:$F$18,MATCH($G101,設定!$B$6:$B$18,0)),0))</f>
        <v/>
      </c>
      <c r="M101" s="82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1">
        <f>IF(OR($C101="",$H101="",$J101=""),0,IF(ROUND(($J101-$H101)*1440,0)&gt;設定!$C$42,ROUND(($J101-$H101)*1440,0),0))</f>
        <v/>
      </c>
      <c r="P101" s="81">
        <f>IF(OR($C101="",$I101="",$K101=""),0,IF(ROUND(($I101-$K101)*1440,0)&gt;設定!$C$42,ROUND(($I101-$K101)*1440,0),0))</f>
        <v/>
      </c>
      <c r="Q101" s="82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79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0">
        <f>IF($G102="","",IFERROR(INDEX(設定!$D$6:$D$18,MATCH($G102,設定!$B$6:$B$18,0)),""))</f>
        <v/>
      </c>
      <c r="I102" s="80">
        <f>IF($G102="","",IFERROR(INDEX(設定!$E$6:$E$18,MATCH($G102,設定!$B$6:$B$18,0)),""))</f>
        <v/>
      </c>
      <c r="J102" s="80">
        <f>IFERROR(INDEX(打卡匯入!$C$3:$C$2002,MATCH($C102&amp;"|"&amp;DAY($A102),打卡匯入!$E$3:$E$2002,0)),"")</f>
        <v/>
      </c>
      <c r="K102" s="80">
        <f>IFERROR(INDEX(打卡匯入!$D$3:$D$2002,MATCH($C102&amp;"|"&amp;DAY($A102),打卡匯入!$E$3:$E$2002,0)),"")</f>
        <v/>
      </c>
      <c r="L102" s="81">
        <f>IF(OR($J102="",$K102=""),"",IFERROR(INDEX(設定!$F$6:$F$18,MATCH($G102,設定!$B$6:$B$18,0)),0))</f>
        <v/>
      </c>
      <c r="M102" s="82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1">
        <f>IF(OR($C102="",$H102="",$J102=""),0,IF(ROUND(($J102-$H102)*1440,0)&gt;設定!$C$42,ROUND(($J102-$H102)*1440,0),0))</f>
        <v/>
      </c>
      <c r="P102" s="81">
        <f>IF(OR($C102="",$I102="",$K102=""),0,IF(ROUND(($I102-$K102)*1440,0)&gt;設定!$C$42,ROUND(($I102-$K102)*1440,0),0))</f>
        <v/>
      </c>
      <c r="Q102" s="82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79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0">
        <f>IF($G103="","",IFERROR(INDEX(設定!$D$6:$D$18,MATCH($G103,設定!$B$6:$B$18,0)),""))</f>
        <v/>
      </c>
      <c r="I103" s="80">
        <f>IF($G103="","",IFERROR(INDEX(設定!$E$6:$E$18,MATCH($G103,設定!$B$6:$B$18,0)),""))</f>
        <v/>
      </c>
      <c r="J103" s="80">
        <f>IFERROR(INDEX(打卡匯入!$C$3:$C$2002,MATCH($C103&amp;"|"&amp;DAY($A103),打卡匯入!$E$3:$E$2002,0)),"")</f>
        <v/>
      </c>
      <c r="K103" s="80">
        <f>IFERROR(INDEX(打卡匯入!$D$3:$D$2002,MATCH($C103&amp;"|"&amp;DAY($A103),打卡匯入!$E$3:$E$2002,0)),"")</f>
        <v/>
      </c>
      <c r="L103" s="81">
        <f>IF(OR($J103="",$K103=""),"",IFERROR(INDEX(設定!$F$6:$F$18,MATCH($G103,設定!$B$6:$B$18,0)),0))</f>
        <v/>
      </c>
      <c r="M103" s="82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1">
        <f>IF(OR($C103="",$H103="",$J103=""),0,IF(ROUND(($J103-$H103)*1440,0)&gt;設定!$C$42,ROUND(($J103-$H103)*1440,0),0))</f>
        <v/>
      </c>
      <c r="P103" s="81">
        <f>IF(OR($C103="",$I103="",$K103=""),0,IF(ROUND(($I103-$K103)*1440,0)&gt;設定!$C$42,ROUND(($I103-$K103)*1440,0),0))</f>
        <v/>
      </c>
      <c r="Q103" s="82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79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0">
        <f>IF($G104="","",IFERROR(INDEX(設定!$D$6:$D$18,MATCH($G104,設定!$B$6:$B$18,0)),""))</f>
        <v/>
      </c>
      <c r="I104" s="80">
        <f>IF($G104="","",IFERROR(INDEX(設定!$E$6:$E$18,MATCH($G104,設定!$B$6:$B$18,0)),""))</f>
        <v/>
      </c>
      <c r="J104" s="80">
        <f>IFERROR(INDEX(打卡匯入!$C$3:$C$2002,MATCH($C104&amp;"|"&amp;DAY($A104),打卡匯入!$E$3:$E$2002,0)),"")</f>
        <v/>
      </c>
      <c r="K104" s="80">
        <f>IFERROR(INDEX(打卡匯入!$D$3:$D$2002,MATCH($C104&amp;"|"&amp;DAY($A104),打卡匯入!$E$3:$E$2002,0)),"")</f>
        <v/>
      </c>
      <c r="L104" s="81">
        <f>IF(OR($J104="",$K104=""),"",IFERROR(INDEX(設定!$F$6:$F$18,MATCH($G104,設定!$B$6:$B$18,0)),0))</f>
        <v/>
      </c>
      <c r="M104" s="82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1">
        <f>IF(OR($C104="",$H104="",$J104=""),0,IF(ROUND(($J104-$H104)*1440,0)&gt;設定!$C$42,ROUND(($J104-$H104)*1440,0),0))</f>
        <v/>
      </c>
      <c r="P104" s="81">
        <f>IF(OR($C104="",$I104="",$K104=""),0,IF(ROUND(($I104-$K104)*1440,0)&gt;設定!$C$42,ROUND(($I104-$K104)*1440,0),0))</f>
        <v/>
      </c>
      <c r="Q104" s="82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79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0">
        <f>IF($G105="","",IFERROR(INDEX(設定!$D$6:$D$18,MATCH($G105,設定!$B$6:$B$18,0)),""))</f>
        <v/>
      </c>
      <c r="I105" s="80">
        <f>IF($G105="","",IFERROR(INDEX(設定!$E$6:$E$18,MATCH($G105,設定!$B$6:$B$18,0)),""))</f>
        <v/>
      </c>
      <c r="J105" s="80">
        <f>IFERROR(INDEX(打卡匯入!$C$3:$C$2002,MATCH($C105&amp;"|"&amp;DAY($A105),打卡匯入!$E$3:$E$2002,0)),"")</f>
        <v/>
      </c>
      <c r="K105" s="80">
        <f>IFERROR(INDEX(打卡匯入!$D$3:$D$2002,MATCH($C105&amp;"|"&amp;DAY($A105),打卡匯入!$E$3:$E$2002,0)),"")</f>
        <v/>
      </c>
      <c r="L105" s="81">
        <f>IF(OR($J105="",$K105=""),"",IFERROR(INDEX(設定!$F$6:$F$18,MATCH($G105,設定!$B$6:$B$18,0)),0))</f>
        <v/>
      </c>
      <c r="M105" s="82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1">
        <f>IF(OR($C105="",$H105="",$J105=""),0,IF(ROUND(($J105-$H105)*1440,0)&gt;設定!$C$42,ROUND(($J105-$H105)*1440,0),0))</f>
        <v/>
      </c>
      <c r="P105" s="81">
        <f>IF(OR($C105="",$I105="",$K105=""),0,IF(ROUND(($I105-$K105)*1440,0)&gt;設定!$C$42,ROUND(($I105-$K105)*1440,0),0))</f>
        <v/>
      </c>
      <c r="Q105" s="82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79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0">
        <f>IF($G106="","",IFERROR(INDEX(設定!$D$6:$D$18,MATCH($G106,設定!$B$6:$B$18,0)),""))</f>
        <v/>
      </c>
      <c r="I106" s="80">
        <f>IF($G106="","",IFERROR(INDEX(設定!$E$6:$E$18,MATCH($G106,設定!$B$6:$B$18,0)),""))</f>
        <v/>
      </c>
      <c r="J106" s="80">
        <f>IFERROR(INDEX(打卡匯入!$C$3:$C$2002,MATCH($C106&amp;"|"&amp;DAY($A106),打卡匯入!$E$3:$E$2002,0)),"")</f>
        <v/>
      </c>
      <c r="K106" s="80">
        <f>IFERROR(INDEX(打卡匯入!$D$3:$D$2002,MATCH($C106&amp;"|"&amp;DAY($A106),打卡匯入!$E$3:$E$2002,0)),"")</f>
        <v/>
      </c>
      <c r="L106" s="81">
        <f>IF(OR($J106="",$K106=""),"",IFERROR(INDEX(設定!$F$6:$F$18,MATCH($G106,設定!$B$6:$B$18,0)),0))</f>
        <v/>
      </c>
      <c r="M106" s="82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1">
        <f>IF(OR($C106="",$H106="",$J106=""),0,IF(ROUND(($J106-$H106)*1440,0)&gt;設定!$C$42,ROUND(($J106-$H106)*1440,0),0))</f>
        <v/>
      </c>
      <c r="P106" s="81">
        <f>IF(OR($C106="",$I106="",$K106=""),0,IF(ROUND(($I106-$K106)*1440,0)&gt;設定!$C$42,ROUND(($I106-$K106)*1440,0),0))</f>
        <v/>
      </c>
      <c r="Q106" s="82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79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0">
        <f>IF($G107="","",IFERROR(INDEX(設定!$D$6:$D$18,MATCH($G107,設定!$B$6:$B$18,0)),""))</f>
        <v/>
      </c>
      <c r="I107" s="80">
        <f>IF($G107="","",IFERROR(INDEX(設定!$E$6:$E$18,MATCH($G107,設定!$B$6:$B$18,0)),""))</f>
        <v/>
      </c>
      <c r="J107" s="80">
        <f>IFERROR(INDEX(打卡匯入!$C$3:$C$2002,MATCH($C107&amp;"|"&amp;DAY($A107),打卡匯入!$E$3:$E$2002,0)),"")</f>
        <v/>
      </c>
      <c r="K107" s="80">
        <f>IFERROR(INDEX(打卡匯入!$D$3:$D$2002,MATCH($C107&amp;"|"&amp;DAY($A107),打卡匯入!$E$3:$E$2002,0)),"")</f>
        <v/>
      </c>
      <c r="L107" s="81">
        <f>IF(OR($J107="",$K107=""),"",IFERROR(INDEX(設定!$F$6:$F$18,MATCH($G107,設定!$B$6:$B$18,0)),0))</f>
        <v/>
      </c>
      <c r="M107" s="82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1">
        <f>IF(OR($C107="",$H107="",$J107=""),0,IF(ROUND(($J107-$H107)*1440,0)&gt;設定!$C$42,ROUND(($J107-$H107)*1440,0),0))</f>
        <v/>
      </c>
      <c r="P107" s="81">
        <f>IF(OR($C107="",$I107="",$K107=""),0,IF(ROUND(($I107-$K107)*1440,0)&gt;設定!$C$42,ROUND(($I107-$K107)*1440,0),0))</f>
        <v/>
      </c>
      <c r="Q107" s="82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79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0">
        <f>IF($G108="","",IFERROR(INDEX(設定!$D$6:$D$18,MATCH($G108,設定!$B$6:$B$18,0)),""))</f>
        <v/>
      </c>
      <c r="I108" s="80">
        <f>IF($G108="","",IFERROR(INDEX(設定!$E$6:$E$18,MATCH($G108,設定!$B$6:$B$18,0)),""))</f>
        <v/>
      </c>
      <c r="J108" s="80">
        <f>IFERROR(INDEX(打卡匯入!$C$3:$C$2002,MATCH($C108&amp;"|"&amp;DAY($A108),打卡匯入!$E$3:$E$2002,0)),"")</f>
        <v/>
      </c>
      <c r="K108" s="80">
        <f>IFERROR(INDEX(打卡匯入!$D$3:$D$2002,MATCH($C108&amp;"|"&amp;DAY($A108),打卡匯入!$E$3:$E$2002,0)),"")</f>
        <v/>
      </c>
      <c r="L108" s="81">
        <f>IF(OR($J108="",$K108=""),"",IFERROR(INDEX(設定!$F$6:$F$18,MATCH($G108,設定!$B$6:$B$18,0)),0))</f>
        <v/>
      </c>
      <c r="M108" s="82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1">
        <f>IF(OR($C108="",$H108="",$J108=""),0,IF(ROUND(($J108-$H108)*1440,0)&gt;設定!$C$42,ROUND(($J108-$H108)*1440,0),0))</f>
        <v/>
      </c>
      <c r="P108" s="81">
        <f>IF(OR($C108="",$I108="",$K108=""),0,IF(ROUND(($I108-$K108)*1440,0)&gt;設定!$C$42,ROUND(($I108-$K108)*1440,0),0))</f>
        <v/>
      </c>
      <c r="Q108" s="82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79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0">
        <f>IF($G109="","",IFERROR(INDEX(設定!$D$6:$D$18,MATCH($G109,設定!$B$6:$B$18,0)),""))</f>
        <v/>
      </c>
      <c r="I109" s="80">
        <f>IF($G109="","",IFERROR(INDEX(設定!$E$6:$E$18,MATCH($G109,設定!$B$6:$B$18,0)),""))</f>
        <v/>
      </c>
      <c r="J109" s="80">
        <f>IFERROR(INDEX(打卡匯入!$C$3:$C$2002,MATCH($C109&amp;"|"&amp;DAY($A109),打卡匯入!$E$3:$E$2002,0)),"")</f>
        <v/>
      </c>
      <c r="K109" s="80">
        <f>IFERROR(INDEX(打卡匯入!$D$3:$D$2002,MATCH($C109&amp;"|"&amp;DAY($A109),打卡匯入!$E$3:$E$2002,0)),"")</f>
        <v/>
      </c>
      <c r="L109" s="81">
        <f>IF(OR($J109="",$K109=""),"",IFERROR(INDEX(設定!$F$6:$F$18,MATCH($G109,設定!$B$6:$B$18,0)),0))</f>
        <v/>
      </c>
      <c r="M109" s="82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1">
        <f>IF(OR($C109="",$H109="",$J109=""),0,IF(ROUND(($J109-$H109)*1440,0)&gt;設定!$C$42,ROUND(($J109-$H109)*1440,0),0))</f>
        <v/>
      </c>
      <c r="P109" s="81">
        <f>IF(OR($C109="",$I109="",$K109=""),0,IF(ROUND(($I109-$K109)*1440,0)&gt;設定!$C$42,ROUND(($I109-$K109)*1440,0),0))</f>
        <v/>
      </c>
      <c r="Q109" s="82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79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0">
        <f>IF($G110="","",IFERROR(INDEX(設定!$D$6:$D$18,MATCH($G110,設定!$B$6:$B$18,0)),""))</f>
        <v/>
      </c>
      <c r="I110" s="80">
        <f>IF($G110="","",IFERROR(INDEX(設定!$E$6:$E$18,MATCH($G110,設定!$B$6:$B$18,0)),""))</f>
        <v/>
      </c>
      <c r="J110" s="80">
        <f>IFERROR(INDEX(打卡匯入!$C$3:$C$2002,MATCH($C110&amp;"|"&amp;DAY($A110),打卡匯入!$E$3:$E$2002,0)),"")</f>
        <v/>
      </c>
      <c r="K110" s="80">
        <f>IFERROR(INDEX(打卡匯入!$D$3:$D$2002,MATCH($C110&amp;"|"&amp;DAY($A110),打卡匯入!$E$3:$E$2002,0)),"")</f>
        <v/>
      </c>
      <c r="L110" s="81">
        <f>IF(OR($J110="",$K110=""),"",IFERROR(INDEX(設定!$F$6:$F$18,MATCH($G110,設定!$B$6:$B$18,0)),0))</f>
        <v/>
      </c>
      <c r="M110" s="82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1">
        <f>IF(OR($C110="",$H110="",$J110=""),0,IF(ROUND(($J110-$H110)*1440,0)&gt;設定!$C$42,ROUND(($J110-$H110)*1440,0),0))</f>
        <v/>
      </c>
      <c r="P110" s="81">
        <f>IF(OR($C110="",$I110="",$K110=""),0,IF(ROUND(($I110-$K110)*1440,0)&gt;設定!$C$42,ROUND(($I110-$K110)*1440,0),0))</f>
        <v/>
      </c>
      <c r="Q110" s="82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79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0">
        <f>IF($G111="","",IFERROR(INDEX(設定!$D$6:$D$18,MATCH($G111,設定!$B$6:$B$18,0)),""))</f>
        <v/>
      </c>
      <c r="I111" s="80">
        <f>IF($G111="","",IFERROR(INDEX(設定!$E$6:$E$18,MATCH($G111,設定!$B$6:$B$18,0)),""))</f>
        <v/>
      </c>
      <c r="J111" s="80">
        <f>IFERROR(INDEX(打卡匯入!$C$3:$C$2002,MATCH($C111&amp;"|"&amp;DAY($A111),打卡匯入!$E$3:$E$2002,0)),"")</f>
        <v/>
      </c>
      <c r="K111" s="80">
        <f>IFERROR(INDEX(打卡匯入!$D$3:$D$2002,MATCH($C111&amp;"|"&amp;DAY($A111),打卡匯入!$E$3:$E$2002,0)),"")</f>
        <v/>
      </c>
      <c r="L111" s="81">
        <f>IF(OR($J111="",$K111=""),"",IFERROR(INDEX(設定!$F$6:$F$18,MATCH($G111,設定!$B$6:$B$18,0)),0))</f>
        <v/>
      </c>
      <c r="M111" s="82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1">
        <f>IF(OR($C111="",$H111="",$J111=""),0,IF(ROUND(($J111-$H111)*1440,0)&gt;設定!$C$42,ROUND(($J111-$H111)*1440,0),0))</f>
        <v/>
      </c>
      <c r="P111" s="81">
        <f>IF(OR($C111="",$I111="",$K111=""),0,IF(ROUND(($I111-$K111)*1440,0)&gt;設定!$C$42,ROUND(($I111-$K111)*1440,0),0))</f>
        <v/>
      </c>
      <c r="Q111" s="82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79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0">
        <f>IF($G112="","",IFERROR(INDEX(設定!$D$6:$D$18,MATCH($G112,設定!$B$6:$B$18,0)),""))</f>
        <v/>
      </c>
      <c r="I112" s="80">
        <f>IF($G112="","",IFERROR(INDEX(設定!$E$6:$E$18,MATCH($G112,設定!$B$6:$B$18,0)),""))</f>
        <v/>
      </c>
      <c r="J112" s="80">
        <f>IFERROR(INDEX(打卡匯入!$C$3:$C$2002,MATCH($C112&amp;"|"&amp;DAY($A112),打卡匯入!$E$3:$E$2002,0)),"")</f>
        <v/>
      </c>
      <c r="K112" s="80">
        <f>IFERROR(INDEX(打卡匯入!$D$3:$D$2002,MATCH($C112&amp;"|"&amp;DAY($A112),打卡匯入!$E$3:$E$2002,0)),"")</f>
        <v/>
      </c>
      <c r="L112" s="81">
        <f>IF(OR($J112="",$K112=""),"",IFERROR(INDEX(設定!$F$6:$F$18,MATCH($G112,設定!$B$6:$B$18,0)),0))</f>
        <v/>
      </c>
      <c r="M112" s="82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1">
        <f>IF(OR($C112="",$H112="",$J112=""),0,IF(ROUND(($J112-$H112)*1440,0)&gt;設定!$C$42,ROUND(($J112-$H112)*1440,0),0))</f>
        <v/>
      </c>
      <c r="P112" s="81">
        <f>IF(OR($C112="",$I112="",$K112=""),0,IF(ROUND(($I112-$K112)*1440,0)&gt;設定!$C$42,ROUND(($I112-$K112)*1440,0),0))</f>
        <v/>
      </c>
      <c r="Q112" s="82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79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0">
        <f>IF($G113="","",IFERROR(INDEX(設定!$D$6:$D$18,MATCH($G113,設定!$B$6:$B$18,0)),""))</f>
        <v/>
      </c>
      <c r="I113" s="80">
        <f>IF($G113="","",IFERROR(INDEX(設定!$E$6:$E$18,MATCH($G113,設定!$B$6:$B$18,0)),""))</f>
        <v/>
      </c>
      <c r="J113" s="80">
        <f>IFERROR(INDEX(打卡匯入!$C$3:$C$2002,MATCH($C113&amp;"|"&amp;DAY($A113),打卡匯入!$E$3:$E$2002,0)),"")</f>
        <v/>
      </c>
      <c r="K113" s="80">
        <f>IFERROR(INDEX(打卡匯入!$D$3:$D$2002,MATCH($C113&amp;"|"&amp;DAY($A113),打卡匯入!$E$3:$E$2002,0)),"")</f>
        <v/>
      </c>
      <c r="L113" s="81">
        <f>IF(OR($J113="",$K113=""),"",IFERROR(INDEX(設定!$F$6:$F$18,MATCH($G113,設定!$B$6:$B$18,0)),0))</f>
        <v/>
      </c>
      <c r="M113" s="82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1">
        <f>IF(OR($C113="",$H113="",$J113=""),0,IF(ROUND(($J113-$H113)*1440,0)&gt;設定!$C$42,ROUND(($J113-$H113)*1440,0),0))</f>
        <v/>
      </c>
      <c r="P113" s="81">
        <f>IF(OR($C113="",$I113="",$K113=""),0,IF(ROUND(($I113-$K113)*1440,0)&gt;設定!$C$42,ROUND(($I113-$K113)*1440,0),0))</f>
        <v/>
      </c>
      <c r="Q113" s="82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79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0">
        <f>IF($G114="","",IFERROR(INDEX(設定!$D$6:$D$18,MATCH($G114,設定!$B$6:$B$18,0)),""))</f>
        <v/>
      </c>
      <c r="I114" s="80">
        <f>IF($G114="","",IFERROR(INDEX(設定!$E$6:$E$18,MATCH($G114,設定!$B$6:$B$18,0)),""))</f>
        <v/>
      </c>
      <c r="J114" s="80">
        <f>IFERROR(INDEX(打卡匯入!$C$3:$C$2002,MATCH($C114&amp;"|"&amp;DAY($A114),打卡匯入!$E$3:$E$2002,0)),"")</f>
        <v/>
      </c>
      <c r="K114" s="80">
        <f>IFERROR(INDEX(打卡匯入!$D$3:$D$2002,MATCH($C114&amp;"|"&amp;DAY($A114),打卡匯入!$E$3:$E$2002,0)),"")</f>
        <v/>
      </c>
      <c r="L114" s="81">
        <f>IF(OR($J114="",$K114=""),"",IFERROR(INDEX(設定!$F$6:$F$18,MATCH($G114,設定!$B$6:$B$18,0)),0))</f>
        <v/>
      </c>
      <c r="M114" s="82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1">
        <f>IF(OR($C114="",$H114="",$J114=""),0,IF(ROUND(($J114-$H114)*1440,0)&gt;設定!$C$42,ROUND(($J114-$H114)*1440,0),0))</f>
        <v/>
      </c>
      <c r="P114" s="81">
        <f>IF(OR($C114="",$I114="",$K114=""),0,IF(ROUND(($I114-$K114)*1440,0)&gt;設定!$C$42,ROUND(($I114-$K114)*1440,0),0))</f>
        <v/>
      </c>
      <c r="Q114" s="82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79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0">
        <f>IF($G115="","",IFERROR(INDEX(設定!$D$6:$D$18,MATCH($G115,設定!$B$6:$B$18,0)),""))</f>
        <v/>
      </c>
      <c r="I115" s="80">
        <f>IF($G115="","",IFERROR(INDEX(設定!$E$6:$E$18,MATCH($G115,設定!$B$6:$B$18,0)),""))</f>
        <v/>
      </c>
      <c r="J115" s="80">
        <f>IFERROR(INDEX(打卡匯入!$C$3:$C$2002,MATCH($C115&amp;"|"&amp;DAY($A115),打卡匯入!$E$3:$E$2002,0)),"")</f>
        <v/>
      </c>
      <c r="K115" s="80">
        <f>IFERROR(INDEX(打卡匯入!$D$3:$D$2002,MATCH($C115&amp;"|"&amp;DAY($A115),打卡匯入!$E$3:$E$2002,0)),"")</f>
        <v/>
      </c>
      <c r="L115" s="81">
        <f>IF(OR($J115="",$K115=""),"",IFERROR(INDEX(設定!$F$6:$F$18,MATCH($G115,設定!$B$6:$B$18,0)),0))</f>
        <v/>
      </c>
      <c r="M115" s="82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1">
        <f>IF(OR($C115="",$H115="",$J115=""),0,IF(ROUND(($J115-$H115)*1440,0)&gt;設定!$C$42,ROUND(($J115-$H115)*1440,0),0))</f>
        <v/>
      </c>
      <c r="P115" s="81">
        <f>IF(OR($C115="",$I115="",$K115=""),0,IF(ROUND(($I115-$K115)*1440,0)&gt;設定!$C$42,ROUND(($I115-$K115)*1440,0),0))</f>
        <v/>
      </c>
      <c r="Q115" s="82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79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0">
        <f>IF($G116="","",IFERROR(INDEX(設定!$D$6:$D$18,MATCH($G116,設定!$B$6:$B$18,0)),""))</f>
        <v/>
      </c>
      <c r="I116" s="80">
        <f>IF($G116="","",IFERROR(INDEX(設定!$E$6:$E$18,MATCH($G116,設定!$B$6:$B$18,0)),""))</f>
        <v/>
      </c>
      <c r="J116" s="80">
        <f>IFERROR(INDEX(打卡匯入!$C$3:$C$2002,MATCH($C116&amp;"|"&amp;DAY($A116),打卡匯入!$E$3:$E$2002,0)),"")</f>
        <v/>
      </c>
      <c r="K116" s="80">
        <f>IFERROR(INDEX(打卡匯入!$D$3:$D$2002,MATCH($C116&amp;"|"&amp;DAY($A116),打卡匯入!$E$3:$E$2002,0)),"")</f>
        <v/>
      </c>
      <c r="L116" s="81">
        <f>IF(OR($J116="",$K116=""),"",IFERROR(INDEX(設定!$F$6:$F$18,MATCH($G116,設定!$B$6:$B$18,0)),0))</f>
        <v/>
      </c>
      <c r="M116" s="82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1">
        <f>IF(OR($C116="",$H116="",$J116=""),0,IF(ROUND(($J116-$H116)*1440,0)&gt;設定!$C$42,ROUND(($J116-$H116)*1440,0),0))</f>
        <v/>
      </c>
      <c r="P116" s="81">
        <f>IF(OR($C116="",$I116="",$K116=""),0,IF(ROUND(($I116-$K116)*1440,0)&gt;設定!$C$42,ROUND(($I116-$K116)*1440,0),0))</f>
        <v/>
      </c>
      <c r="Q116" s="82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79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0">
        <f>IF($G117="","",IFERROR(INDEX(設定!$D$6:$D$18,MATCH($G117,設定!$B$6:$B$18,0)),""))</f>
        <v/>
      </c>
      <c r="I117" s="80">
        <f>IF($G117="","",IFERROR(INDEX(設定!$E$6:$E$18,MATCH($G117,設定!$B$6:$B$18,0)),""))</f>
        <v/>
      </c>
      <c r="J117" s="80">
        <f>IFERROR(INDEX(打卡匯入!$C$3:$C$2002,MATCH($C117&amp;"|"&amp;DAY($A117),打卡匯入!$E$3:$E$2002,0)),"")</f>
        <v/>
      </c>
      <c r="K117" s="80">
        <f>IFERROR(INDEX(打卡匯入!$D$3:$D$2002,MATCH($C117&amp;"|"&amp;DAY($A117),打卡匯入!$E$3:$E$2002,0)),"")</f>
        <v/>
      </c>
      <c r="L117" s="81">
        <f>IF(OR($J117="",$K117=""),"",IFERROR(INDEX(設定!$F$6:$F$18,MATCH($G117,設定!$B$6:$B$18,0)),0))</f>
        <v/>
      </c>
      <c r="M117" s="82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1">
        <f>IF(OR($C117="",$H117="",$J117=""),0,IF(ROUND(($J117-$H117)*1440,0)&gt;設定!$C$42,ROUND(($J117-$H117)*1440,0),0))</f>
        <v/>
      </c>
      <c r="P117" s="81">
        <f>IF(OR($C117="",$I117="",$K117=""),0,IF(ROUND(($I117-$K117)*1440,0)&gt;設定!$C$42,ROUND(($I117-$K117)*1440,0),0))</f>
        <v/>
      </c>
      <c r="Q117" s="82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79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0">
        <f>IF($G118="","",IFERROR(INDEX(設定!$D$6:$D$18,MATCH($G118,設定!$B$6:$B$18,0)),""))</f>
        <v/>
      </c>
      <c r="I118" s="80">
        <f>IF($G118="","",IFERROR(INDEX(設定!$E$6:$E$18,MATCH($G118,設定!$B$6:$B$18,0)),""))</f>
        <v/>
      </c>
      <c r="J118" s="80">
        <f>IFERROR(INDEX(打卡匯入!$C$3:$C$2002,MATCH($C118&amp;"|"&amp;DAY($A118),打卡匯入!$E$3:$E$2002,0)),"")</f>
        <v/>
      </c>
      <c r="K118" s="80">
        <f>IFERROR(INDEX(打卡匯入!$D$3:$D$2002,MATCH($C118&amp;"|"&amp;DAY($A118),打卡匯入!$E$3:$E$2002,0)),"")</f>
        <v/>
      </c>
      <c r="L118" s="81">
        <f>IF(OR($J118="",$K118=""),"",IFERROR(INDEX(設定!$F$6:$F$18,MATCH($G118,設定!$B$6:$B$18,0)),0))</f>
        <v/>
      </c>
      <c r="M118" s="82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1">
        <f>IF(OR($C118="",$H118="",$J118=""),0,IF(ROUND(($J118-$H118)*1440,0)&gt;設定!$C$42,ROUND(($J118-$H118)*1440,0),0))</f>
        <v/>
      </c>
      <c r="P118" s="81">
        <f>IF(OR($C118="",$I118="",$K118=""),0,IF(ROUND(($I118-$K118)*1440,0)&gt;設定!$C$42,ROUND(($I118-$K118)*1440,0),0))</f>
        <v/>
      </c>
      <c r="Q118" s="82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79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0">
        <f>IF($G119="","",IFERROR(INDEX(設定!$D$6:$D$18,MATCH($G119,設定!$B$6:$B$18,0)),""))</f>
        <v/>
      </c>
      <c r="I119" s="80">
        <f>IF($G119="","",IFERROR(INDEX(設定!$E$6:$E$18,MATCH($G119,設定!$B$6:$B$18,0)),""))</f>
        <v/>
      </c>
      <c r="J119" s="80">
        <f>IFERROR(INDEX(打卡匯入!$C$3:$C$2002,MATCH($C119&amp;"|"&amp;DAY($A119),打卡匯入!$E$3:$E$2002,0)),"")</f>
        <v/>
      </c>
      <c r="K119" s="80">
        <f>IFERROR(INDEX(打卡匯入!$D$3:$D$2002,MATCH($C119&amp;"|"&amp;DAY($A119),打卡匯入!$E$3:$E$2002,0)),"")</f>
        <v/>
      </c>
      <c r="L119" s="81">
        <f>IF(OR($J119="",$K119=""),"",IFERROR(INDEX(設定!$F$6:$F$18,MATCH($G119,設定!$B$6:$B$18,0)),0))</f>
        <v/>
      </c>
      <c r="M119" s="82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1">
        <f>IF(OR($C119="",$H119="",$J119=""),0,IF(ROUND(($J119-$H119)*1440,0)&gt;設定!$C$42,ROUND(($J119-$H119)*1440,0),0))</f>
        <v/>
      </c>
      <c r="P119" s="81">
        <f>IF(OR($C119="",$I119="",$K119=""),0,IF(ROUND(($I119-$K119)*1440,0)&gt;設定!$C$42,ROUND(($I119-$K119)*1440,0),0))</f>
        <v/>
      </c>
      <c r="Q119" s="82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79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0">
        <f>IF($G120="","",IFERROR(INDEX(設定!$D$6:$D$18,MATCH($G120,設定!$B$6:$B$18,0)),""))</f>
        <v/>
      </c>
      <c r="I120" s="80">
        <f>IF($G120="","",IFERROR(INDEX(設定!$E$6:$E$18,MATCH($G120,設定!$B$6:$B$18,0)),""))</f>
        <v/>
      </c>
      <c r="J120" s="80">
        <f>IFERROR(INDEX(打卡匯入!$C$3:$C$2002,MATCH($C120&amp;"|"&amp;DAY($A120),打卡匯入!$E$3:$E$2002,0)),"")</f>
        <v/>
      </c>
      <c r="K120" s="80">
        <f>IFERROR(INDEX(打卡匯入!$D$3:$D$2002,MATCH($C120&amp;"|"&amp;DAY($A120),打卡匯入!$E$3:$E$2002,0)),"")</f>
        <v/>
      </c>
      <c r="L120" s="81">
        <f>IF(OR($J120="",$K120=""),"",IFERROR(INDEX(設定!$F$6:$F$18,MATCH($G120,設定!$B$6:$B$18,0)),0))</f>
        <v/>
      </c>
      <c r="M120" s="82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1">
        <f>IF(OR($C120="",$H120="",$J120=""),0,IF(ROUND(($J120-$H120)*1440,0)&gt;設定!$C$42,ROUND(($J120-$H120)*1440,0),0))</f>
        <v/>
      </c>
      <c r="P120" s="81">
        <f>IF(OR($C120="",$I120="",$K120=""),0,IF(ROUND(($I120-$K120)*1440,0)&gt;設定!$C$42,ROUND(($I120-$K120)*1440,0),0))</f>
        <v/>
      </c>
      <c r="Q120" s="82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79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0">
        <f>IF($G121="","",IFERROR(INDEX(設定!$D$6:$D$18,MATCH($G121,設定!$B$6:$B$18,0)),""))</f>
        <v/>
      </c>
      <c r="I121" s="80">
        <f>IF($G121="","",IFERROR(INDEX(設定!$E$6:$E$18,MATCH($G121,設定!$B$6:$B$18,0)),""))</f>
        <v/>
      </c>
      <c r="J121" s="80">
        <f>IFERROR(INDEX(打卡匯入!$C$3:$C$2002,MATCH($C121&amp;"|"&amp;DAY($A121),打卡匯入!$E$3:$E$2002,0)),"")</f>
        <v/>
      </c>
      <c r="K121" s="80">
        <f>IFERROR(INDEX(打卡匯入!$D$3:$D$2002,MATCH($C121&amp;"|"&amp;DAY($A121),打卡匯入!$E$3:$E$2002,0)),"")</f>
        <v/>
      </c>
      <c r="L121" s="81">
        <f>IF(OR($J121="",$K121=""),"",IFERROR(INDEX(設定!$F$6:$F$18,MATCH($G121,設定!$B$6:$B$18,0)),0))</f>
        <v/>
      </c>
      <c r="M121" s="82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1">
        <f>IF(OR($C121="",$H121="",$J121=""),0,IF(ROUND(($J121-$H121)*1440,0)&gt;設定!$C$42,ROUND(($J121-$H121)*1440,0),0))</f>
        <v/>
      </c>
      <c r="P121" s="81">
        <f>IF(OR($C121="",$I121="",$K121=""),0,IF(ROUND(($I121-$K121)*1440,0)&gt;設定!$C$42,ROUND(($I121-$K121)*1440,0),0))</f>
        <v/>
      </c>
      <c r="Q121" s="82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79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0">
        <f>IF($G122="","",IFERROR(INDEX(設定!$D$6:$D$18,MATCH($G122,設定!$B$6:$B$18,0)),""))</f>
        <v/>
      </c>
      <c r="I122" s="80">
        <f>IF($G122="","",IFERROR(INDEX(設定!$E$6:$E$18,MATCH($G122,設定!$B$6:$B$18,0)),""))</f>
        <v/>
      </c>
      <c r="J122" s="80">
        <f>IFERROR(INDEX(打卡匯入!$C$3:$C$2002,MATCH($C122&amp;"|"&amp;DAY($A122),打卡匯入!$E$3:$E$2002,0)),"")</f>
        <v/>
      </c>
      <c r="K122" s="80">
        <f>IFERROR(INDEX(打卡匯入!$D$3:$D$2002,MATCH($C122&amp;"|"&amp;DAY($A122),打卡匯入!$E$3:$E$2002,0)),"")</f>
        <v/>
      </c>
      <c r="L122" s="81">
        <f>IF(OR($J122="",$K122=""),"",IFERROR(INDEX(設定!$F$6:$F$18,MATCH($G122,設定!$B$6:$B$18,0)),0))</f>
        <v/>
      </c>
      <c r="M122" s="82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1">
        <f>IF(OR($C122="",$H122="",$J122=""),0,IF(ROUND(($J122-$H122)*1440,0)&gt;設定!$C$42,ROUND(($J122-$H122)*1440,0),0))</f>
        <v/>
      </c>
      <c r="P122" s="81">
        <f>IF(OR($C122="",$I122="",$K122=""),0,IF(ROUND(($I122-$K122)*1440,0)&gt;設定!$C$42,ROUND(($I122-$K122)*1440,0),0))</f>
        <v/>
      </c>
      <c r="Q122" s="82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79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0">
        <f>IF($G123="","",IFERROR(INDEX(設定!$D$6:$D$18,MATCH($G123,設定!$B$6:$B$18,0)),""))</f>
        <v/>
      </c>
      <c r="I123" s="80">
        <f>IF($G123="","",IFERROR(INDEX(設定!$E$6:$E$18,MATCH($G123,設定!$B$6:$B$18,0)),""))</f>
        <v/>
      </c>
      <c r="J123" s="80">
        <f>IFERROR(INDEX(打卡匯入!$C$3:$C$2002,MATCH($C123&amp;"|"&amp;DAY($A123),打卡匯入!$E$3:$E$2002,0)),"")</f>
        <v/>
      </c>
      <c r="K123" s="80">
        <f>IFERROR(INDEX(打卡匯入!$D$3:$D$2002,MATCH($C123&amp;"|"&amp;DAY($A123),打卡匯入!$E$3:$E$2002,0)),"")</f>
        <v/>
      </c>
      <c r="L123" s="81">
        <f>IF(OR($J123="",$K123=""),"",IFERROR(INDEX(設定!$F$6:$F$18,MATCH($G123,設定!$B$6:$B$18,0)),0))</f>
        <v/>
      </c>
      <c r="M123" s="82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1">
        <f>IF(OR($C123="",$H123="",$J123=""),0,IF(ROUND(($J123-$H123)*1440,0)&gt;設定!$C$42,ROUND(($J123-$H123)*1440,0),0))</f>
        <v/>
      </c>
      <c r="P123" s="81">
        <f>IF(OR($C123="",$I123="",$K123=""),0,IF(ROUND(($I123-$K123)*1440,0)&gt;設定!$C$42,ROUND(($I123-$K123)*1440,0),0))</f>
        <v/>
      </c>
      <c r="Q123" s="82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79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0">
        <f>IF($G124="","",IFERROR(INDEX(設定!$D$6:$D$18,MATCH($G124,設定!$B$6:$B$18,0)),""))</f>
        <v/>
      </c>
      <c r="I124" s="80">
        <f>IF($G124="","",IFERROR(INDEX(設定!$E$6:$E$18,MATCH($G124,設定!$B$6:$B$18,0)),""))</f>
        <v/>
      </c>
      <c r="J124" s="80">
        <f>IFERROR(INDEX(打卡匯入!$C$3:$C$2002,MATCH($C124&amp;"|"&amp;DAY($A124),打卡匯入!$E$3:$E$2002,0)),"")</f>
        <v/>
      </c>
      <c r="K124" s="80">
        <f>IFERROR(INDEX(打卡匯入!$D$3:$D$2002,MATCH($C124&amp;"|"&amp;DAY($A124),打卡匯入!$E$3:$E$2002,0)),"")</f>
        <v/>
      </c>
      <c r="L124" s="81">
        <f>IF(OR($J124="",$K124=""),"",IFERROR(INDEX(設定!$F$6:$F$18,MATCH($G124,設定!$B$6:$B$18,0)),0))</f>
        <v/>
      </c>
      <c r="M124" s="82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1">
        <f>IF(OR($C124="",$H124="",$J124=""),0,IF(ROUND(($J124-$H124)*1440,0)&gt;設定!$C$42,ROUND(($J124-$H124)*1440,0),0))</f>
        <v/>
      </c>
      <c r="P124" s="81">
        <f>IF(OR($C124="",$I124="",$K124=""),0,IF(ROUND(($I124-$K124)*1440,0)&gt;設定!$C$42,ROUND(($I124-$K124)*1440,0),0))</f>
        <v/>
      </c>
      <c r="Q124" s="82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79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0">
        <f>IF($G125="","",IFERROR(INDEX(設定!$D$6:$D$18,MATCH($G125,設定!$B$6:$B$18,0)),""))</f>
        <v/>
      </c>
      <c r="I125" s="80">
        <f>IF($G125="","",IFERROR(INDEX(設定!$E$6:$E$18,MATCH($G125,設定!$B$6:$B$18,0)),""))</f>
        <v/>
      </c>
      <c r="J125" s="80">
        <f>IFERROR(INDEX(打卡匯入!$C$3:$C$2002,MATCH($C125&amp;"|"&amp;DAY($A125),打卡匯入!$E$3:$E$2002,0)),"")</f>
        <v/>
      </c>
      <c r="K125" s="80">
        <f>IFERROR(INDEX(打卡匯入!$D$3:$D$2002,MATCH($C125&amp;"|"&amp;DAY($A125),打卡匯入!$E$3:$E$2002,0)),"")</f>
        <v/>
      </c>
      <c r="L125" s="81">
        <f>IF(OR($J125="",$K125=""),"",IFERROR(INDEX(設定!$F$6:$F$18,MATCH($G125,設定!$B$6:$B$18,0)),0))</f>
        <v/>
      </c>
      <c r="M125" s="82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1">
        <f>IF(OR($C125="",$H125="",$J125=""),0,IF(ROUND(($J125-$H125)*1440,0)&gt;設定!$C$42,ROUND(($J125-$H125)*1440,0),0))</f>
        <v/>
      </c>
      <c r="P125" s="81">
        <f>IF(OR($C125="",$I125="",$K125=""),0,IF(ROUND(($I125-$K125)*1440,0)&gt;設定!$C$42,ROUND(($I125-$K125)*1440,0),0))</f>
        <v/>
      </c>
      <c r="Q125" s="82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79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0">
        <f>IF($G126="","",IFERROR(INDEX(設定!$D$6:$D$18,MATCH($G126,設定!$B$6:$B$18,0)),""))</f>
        <v/>
      </c>
      <c r="I126" s="80">
        <f>IF($G126="","",IFERROR(INDEX(設定!$E$6:$E$18,MATCH($G126,設定!$B$6:$B$18,0)),""))</f>
        <v/>
      </c>
      <c r="J126" s="80">
        <f>IFERROR(INDEX(打卡匯入!$C$3:$C$2002,MATCH($C126&amp;"|"&amp;DAY($A126),打卡匯入!$E$3:$E$2002,0)),"")</f>
        <v/>
      </c>
      <c r="K126" s="80">
        <f>IFERROR(INDEX(打卡匯入!$D$3:$D$2002,MATCH($C126&amp;"|"&amp;DAY($A126),打卡匯入!$E$3:$E$2002,0)),"")</f>
        <v/>
      </c>
      <c r="L126" s="81">
        <f>IF(OR($J126="",$K126=""),"",IFERROR(INDEX(設定!$F$6:$F$18,MATCH($G126,設定!$B$6:$B$18,0)),0))</f>
        <v/>
      </c>
      <c r="M126" s="82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1">
        <f>IF(OR($C126="",$H126="",$J126=""),0,IF(ROUND(($J126-$H126)*1440,0)&gt;設定!$C$42,ROUND(($J126-$H126)*1440,0),0))</f>
        <v/>
      </c>
      <c r="P126" s="81">
        <f>IF(OR($C126="",$I126="",$K126=""),0,IF(ROUND(($I126-$K126)*1440,0)&gt;設定!$C$42,ROUND(($I126-$K126)*1440,0),0))</f>
        <v/>
      </c>
      <c r="Q126" s="82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79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0">
        <f>IF($G127="","",IFERROR(INDEX(設定!$D$6:$D$18,MATCH($G127,設定!$B$6:$B$18,0)),""))</f>
        <v/>
      </c>
      <c r="I127" s="80">
        <f>IF($G127="","",IFERROR(INDEX(設定!$E$6:$E$18,MATCH($G127,設定!$B$6:$B$18,0)),""))</f>
        <v/>
      </c>
      <c r="J127" s="80">
        <f>IFERROR(INDEX(打卡匯入!$C$3:$C$2002,MATCH($C127&amp;"|"&amp;DAY($A127),打卡匯入!$E$3:$E$2002,0)),"")</f>
        <v/>
      </c>
      <c r="K127" s="80">
        <f>IFERROR(INDEX(打卡匯入!$D$3:$D$2002,MATCH($C127&amp;"|"&amp;DAY($A127),打卡匯入!$E$3:$E$2002,0)),"")</f>
        <v/>
      </c>
      <c r="L127" s="81">
        <f>IF(OR($J127="",$K127=""),"",IFERROR(INDEX(設定!$F$6:$F$18,MATCH($G127,設定!$B$6:$B$18,0)),0))</f>
        <v/>
      </c>
      <c r="M127" s="82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1">
        <f>IF(OR($C127="",$H127="",$J127=""),0,IF(ROUND(($J127-$H127)*1440,0)&gt;設定!$C$42,ROUND(($J127-$H127)*1440,0),0))</f>
        <v/>
      </c>
      <c r="P127" s="81">
        <f>IF(OR($C127="",$I127="",$K127=""),0,IF(ROUND(($I127-$K127)*1440,0)&gt;設定!$C$42,ROUND(($I127-$K127)*1440,0),0))</f>
        <v/>
      </c>
      <c r="Q127" s="82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79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0">
        <f>IF($G128="","",IFERROR(INDEX(設定!$D$6:$D$18,MATCH($G128,設定!$B$6:$B$18,0)),""))</f>
        <v/>
      </c>
      <c r="I128" s="80">
        <f>IF($G128="","",IFERROR(INDEX(設定!$E$6:$E$18,MATCH($G128,設定!$B$6:$B$18,0)),""))</f>
        <v/>
      </c>
      <c r="J128" s="80">
        <f>IFERROR(INDEX(打卡匯入!$C$3:$C$2002,MATCH($C128&amp;"|"&amp;DAY($A128),打卡匯入!$E$3:$E$2002,0)),"")</f>
        <v/>
      </c>
      <c r="K128" s="80">
        <f>IFERROR(INDEX(打卡匯入!$D$3:$D$2002,MATCH($C128&amp;"|"&amp;DAY($A128),打卡匯入!$E$3:$E$2002,0)),"")</f>
        <v/>
      </c>
      <c r="L128" s="81">
        <f>IF(OR($J128="",$K128=""),"",IFERROR(INDEX(設定!$F$6:$F$18,MATCH($G128,設定!$B$6:$B$18,0)),0))</f>
        <v/>
      </c>
      <c r="M128" s="82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1">
        <f>IF(OR($C128="",$H128="",$J128=""),0,IF(ROUND(($J128-$H128)*1440,0)&gt;設定!$C$42,ROUND(($J128-$H128)*1440,0),0))</f>
        <v/>
      </c>
      <c r="P128" s="81">
        <f>IF(OR($C128="",$I128="",$K128=""),0,IF(ROUND(($I128-$K128)*1440,0)&gt;設定!$C$42,ROUND(($I128-$K128)*1440,0),0))</f>
        <v/>
      </c>
      <c r="Q128" s="82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79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0">
        <f>IF($G129="","",IFERROR(INDEX(設定!$D$6:$D$18,MATCH($G129,設定!$B$6:$B$18,0)),""))</f>
        <v/>
      </c>
      <c r="I129" s="80">
        <f>IF($G129="","",IFERROR(INDEX(設定!$E$6:$E$18,MATCH($G129,設定!$B$6:$B$18,0)),""))</f>
        <v/>
      </c>
      <c r="J129" s="80">
        <f>IFERROR(INDEX(打卡匯入!$C$3:$C$2002,MATCH($C129&amp;"|"&amp;DAY($A129),打卡匯入!$E$3:$E$2002,0)),"")</f>
        <v/>
      </c>
      <c r="K129" s="80">
        <f>IFERROR(INDEX(打卡匯入!$D$3:$D$2002,MATCH($C129&amp;"|"&amp;DAY($A129),打卡匯入!$E$3:$E$2002,0)),"")</f>
        <v/>
      </c>
      <c r="L129" s="81">
        <f>IF(OR($J129="",$K129=""),"",IFERROR(INDEX(設定!$F$6:$F$18,MATCH($G129,設定!$B$6:$B$18,0)),0))</f>
        <v/>
      </c>
      <c r="M129" s="82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1">
        <f>IF(OR($C129="",$H129="",$J129=""),0,IF(ROUND(($J129-$H129)*1440,0)&gt;設定!$C$42,ROUND(($J129-$H129)*1440,0),0))</f>
        <v/>
      </c>
      <c r="P129" s="81">
        <f>IF(OR($C129="",$I129="",$K129=""),0,IF(ROUND(($I129-$K129)*1440,0)&gt;設定!$C$42,ROUND(($I129-$K129)*1440,0),0))</f>
        <v/>
      </c>
      <c r="Q129" s="82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79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0">
        <f>IF($G130="","",IFERROR(INDEX(設定!$D$6:$D$18,MATCH($G130,設定!$B$6:$B$18,0)),""))</f>
        <v/>
      </c>
      <c r="I130" s="80">
        <f>IF($G130="","",IFERROR(INDEX(設定!$E$6:$E$18,MATCH($G130,設定!$B$6:$B$18,0)),""))</f>
        <v/>
      </c>
      <c r="J130" s="80">
        <f>IFERROR(INDEX(打卡匯入!$C$3:$C$2002,MATCH($C130&amp;"|"&amp;DAY($A130),打卡匯入!$E$3:$E$2002,0)),"")</f>
        <v/>
      </c>
      <c r="K130" s="80">
        <f>IFERROR(INDEX(打卡匯入!$D$3:$D$2002,MATCH($C130&amp;"|"&amp;DAY($A130),打卡匯入!$E$3:$E$2002,0)),"")</f>
        <v/>
      </c>
      <c r="L130" s="81">
        <f>IF(OR($J130="",$K130=""),"",IFERROR(INDEX(設定!$F$6:$F$18,MATCH($G130,設定!$B$6:$B$18,0)),0))</f>
        <v/>
      </c>
      <c r="M130" s="82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1">
        <f>IF(OR($C130="",$H130="",$J130=""),0,IF(ROUND(($J130-$H130)*1440,0)&gt;設定!$C$42,ROUND(($J130-$H130)*1440,0),0))</f>
        <v/>
      </c>
      <c r="P130" s="81">
        <f>IF(OR($C130="",$I130="",$K130=""),0,IF(ROUND(($I130-$K130)*1440,0)&gt;設定!$C$42,ROUND(($I130-$K130)*1440,0),0))</f>
        <v/>
      </c>
      <c r="Q130" s="82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79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0">
        <f>IF($G131="","",IFERROR(INDEX(設定!$D$6:$D$18,MATCH($G131,設定!$B$6:$B$18,0)),""))</f>
        <v/>
      </c>
      <c r="I131" s="80">
        <f>IF($G131="","",IFERROR(INDEX(設定!$E$6:$E$18,MATCH($G131,設定!$B$6:$B$18,0)),""))</f>
        <v/>
      </c>
      <c r="J131" s="80">
        <f>IFERROR(INDEX(打卡匯入!$C$3:$C$2002,MATCH($C131&amp;"|"&amp;DAY($A131),打卡匯入!$E$3:$E$2002,0)),"")</f>
        <v/>
      </c>
      <c r="K131" s="80">
        <f>IFERROR(INDEX(打卡匯入!$D$3:$D$2002,MATCH($C131&amp;"|"&amp;DAY($A131),打卡匯入!$E$3:$E$2002,0)),"")</f>
        <v/>
      </c>
      <c r="L131" s="81">
        <f>IF(OR($J131="",$K131=""),"",IFERROR(INDEX(設定!$F$6:$F$18,MATCH($G131,設定!$B$6:$B$18,0)),0))</f>
        <v/>
      </c>
      <c r="M131" s="82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1">
        <f>IF(OR($C131="",$H131="",$J131=""),0,IF(ROUND(($J131-$H131)*1440,0)&gt;設定!$C$42,ROUND(($J131-$H131)*1440,0),0))</f>
        <v/>
      </c>
      <c r="P131" s="81">
        <f>IF(OR($C131="",$I131="",$K131=""),0,IF(ROUND(($I131-$K131)*1440,0)&gt;設定!$C$42,ROUND(($I131-$K131)*1440,0),0))</f>
        <v/>
      </c>
      <c r="Q131" s="82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79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0">
        <f>IF($G132="","",IFERROR(INDEX(設定!$D$6:$D$18,MATCH($G132,設定!$B$6:$B$18,0)),""))</f>
        <v/>
      </c>
      <c r="I132" s="80">
        <f>IF($G132="","",IFERROR(INDEX(設定!$E$6:$E$18,MATCH($G132,設定!$B$6:$B$18,0)),""))</f>
        <v/>
      </c>
      <c r="J132" s="80">
        <f>IFERROR(INDEX(打卡匯入!$C$3:$C$2002,MATCH($C132&amp;"|"&amp;DAY($A132),打卡匯入!$E$3:$E$2002,0)),"")</f>
        <v/>
      </c>
      <c r="K132" s="80">
        <f>IFERROR(INDEX(打卡匯入!$D$3:$D$2002,MATCH($C132&amp;"|"&amp;DAY($A132),打卡匯入!$E$3:$E$2002,0)),"")</f>
        <v/>
      </c>
      <c r="L132" s="81">
        <f>IF(OR($J132="",$K132=""),"",IFERROR(INDEX(設定!$F$6:$F$18,MATCH($G132,設定!$B$6:$B$18,0)),0))</f>
        <v/>
      </c>
      <c r="M132" s="82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1">
        <f>IF(OR($C132="",$H132="",$J132=""),0,IF(ROUND(($J132-$H132)*1440,0)&gt;設定!$C$42,ROUND(($J132-$H132)*1440,0),0))</f>
        <v/>
      </c>
      <c r="P132" s="81">
        <f>IF(OR($C132="",$I132="",$K132=""),0,IF(ROUND(($I132-$K132)*1440,0)&gt;設定!$C$42,ROUND(($I132-$K132)*1440,0),0))</f>
        <v/>
      </c>
      <c r="Q132" s="82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79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0">
        <f>IF($G133="","",IFERROR(INDEX(設定!$D$6:$D$18,MATCH($G133,設定!$B$6:$B$18,0)),""))</f>
        <v/>
      </c>
      <c r="I133" s="80">
        <f>IF($G133="","",IFERROR(INDEX(設定!$E$6:$E$18,MATCH($G133,設定!$B$6:$B$18,0)),""))</f>
        <v/>
      </c>
      <c r="J133" s="80">
        <f>IFERROR(INDEX(打卡匯入!$C$3:$C$2002,MATCH($C133&amp;"|"&amp;DAY($A133),打卡匯入!$E$3:$E$2002,0)),"")</f>
        <v/>
      </c>
      <c r="K133" s="80">
        <f>IFERROR(INDEX(打卡匯入!$D$3:$D$2002,MATCH($C133&amp;"|"&amp;DAY($A133),打卡匯入!$E$3:$E$2002,0)),"")</f>
        <v/>
      </c>
      <c r="L133" s="81">
        <f>IF(OR($J133="",$K133=""),"",IFERROR(INDEX(設定!$F$6:$F$18,MATCH($G133,設定!$B$6:$B$18,0)),0))</f>
        <v/>
      </c>
      <c r="M133" s="82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1">
        <f>IF(OR($C133="",$H133="",$J133=""),0,IF(ROUND(($J133-$H133)*1440,0)&gt;設定!$C$42,ROUND(($J133-$H133)*1440,0),0))</f>
        <v/>
      </c>
      <c r="P133" s="81">
        <f>IF(OR($C133="",$I133="",$K133=""),0,IF(ROUND(($I133-$K133)*1440,0)&gt;設定!$C$42,ROUND(($I133-$K133)*1440,0),0))</f>
        <v/>
      </c>
      <c r="Q133" s="82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79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0">
        <f>IF($G134="","",IFERROR(INDEX(設定!$D$6:$D$18,MATCH($G134,設定!$B$6:$B$18,0)),""))</f>
        <v/>
      </c>
      <c r="I134" s="80">
        <f>IF($G134="","",IFERROR(INDEX(設定!$E$6:$E$18,MATCH($G134,設定!$B$6:$B$18,0)),""))</f>
        <v/>
      </c>
      <c r="J134" s="80">
        <f>IFERROR(INDEX(打卡匯入!$C$3:$C$2002,MATCH($C134&amp;"|"&amp;DAY($A134),打卡匯入!$E$3:$E$2002,0)),"")</f>
        <v/>
      </c>
      <c r="K134" s="80">
        <f>IFERROR(INDEX(打卡匯入!$D$3:$D$2002,MATCH($C134&amp;"|"&amp;DAY($A134),打卡匯入!$E$3:$E$2002,0)),"")</f>
        <v/>
      </c>
      <c r="L134" s="81">
        <f>IF(OR($J134="",$K134=""),"",IFERROR(INDEX(設定!$F$6:$F$18,MATCH($G134,設定!$B$6:$B$18,0)),0))</f>
        <v/>
      </c>
      <c r="M134" s="82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1">
        <f>IF(OR($C134="",$H134="",$J134=""),0,IF(ROUND(($J134-$H134)*1440,0)&gt;設定!$C$42,ROUND(($J134-$H134)*1440,0),0))</f>
        <v/>
      </c>
      <c r="P134" s="81">
        <f>IF(OR($C134="",$I134="",$K134=""),0,IF(ROUND(($I134-$K134)*1440,0)&gt;設定!$C$42,ROUND(($I134-$K134)*1440,0),0))</f>
        <v/>
      </c>
      <c r="Q134" s="82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79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0">
        <f>IF($G135="","",IFERROR(INDEX(設定!$D$6:$D$18,MATCH($G135,設定!$B$6:$B$18,0)),""))</f>
        <v/>
      </c>
      <c r="I135" s="80">
        <f>IF($G135="","",IFERROR(INDEX(設定!$E$6:$E$18,MATCH($G135,設定!$B$6:$B$18,0)),""))</f>
        <v/>
      </c>
      <c r="J135" s="80">
        <f>IFERROR(INDEX(打卡匯入!$C$3:$C$2002,MATCH($C135&amp;"|"&amp;DAY($A135),打卡匯入!$E$3:$E$2002,0)),"")</f>
        <v/>
      </c>
      <c r="K135" s="80">
        <f>IFERROR(INDEX(打卡匯入!$D$3:$D$2002,MATCH($C135&amp;"|"&amp;DAY($A135),打卡匯入!$E$3:$E$2002,0)),"")</f>
        <v/>
      </c>
      <c r="L135" s="81">
        <f>IF(OR($J135="",$K135=""),"",IFERROR(INDEX(設定!$F$6:$F$18,MATCH($G135,設定!$B$6:$B$18,0)),0))</f>
        <v/>
      </c>
      <c r="M135" s="82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1">
        <f>IF(OR($C135="",$H135="",$J135=""),0,IF(ROUND(($J135-$H135)*1440,0)&gt;設定!$C$42,ROUND(($J135-$H135)*1440,0),0))</f>
        <v/>
      </c>
      <c r="P135" s="81">
        <f>IF(OR($C135="",$I135="",$K135=""),0,IF(ROUND(($I135-$K135)*1440,0)&gt;設定!$C$42,ROUND(($I135-$K135)*1440,0),0))</f>
        <v/>
      </c>
      <c r="Q135" s="82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79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0">
        <f>IF($G136="","",IFERROR(INDEX(設定!$D$6:$D$18,MATCH($G136,設定!$B$6:$B$18,0)),""))</f>
        <v/>
      </c>
      <c r="I136" s="80">
        <f>IF($G136="","",IFERROR(INDEX(設定!$E$6:$E$18,MATCH($G136,設定!$B$6:$B$18,0)),""))</f>
        <v/>
      </c>
      <c r="J136" s="80">
        <f>IFERROR(INDEX(打卡匯入!$C$3:$C$2002,MATCH($C136&amp;"|"&amp;DAY($A136),打卡匯入!$E$3:$E$2002,0)),"")</f>
        <v/>
      </c>
      <c r="K136" s="80">
        <f>IFERROR(INDEX(打卡匯入!$D$3:$D$2002,MATCH($C136&amp;"|"&amp;DAY($A136),打卡匯入!$E$3:$E$2002,0)),"")</f>
        <v/>
      </c>
      <c r="L136" s="81">
        <f>IF(OR($J136="",$K136=""),"",IFERROR(INDEX(設定!$F$6:$F$18,MATCH($G136,設定!$B$6:$B$18,0)),0))</f>
        <v/>
      </c>
      <c r="M136" s="82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1">
        <f>IF(OR($C136="",$H136="",$J136=""),0,IF(ROUND(($J136-$H136)*1440,0)&gt;設定!$C$42,ROUND(($J136-$H136)*1440,0),0))</f>
        <v/>
      </c>
      <c r="P136" s="81">
        <f>IF(OR($C136="",$I136="",$K136=""),0,IF(ROUND(($I136-$K136)*1440,0)&gt;設定!$C$42,ROUND(($I136-$K136)*1440,0),0))</f>
        <v/>
      </c>
      <c r="Q136" s="82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79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0">
        <f>IF($G137="","",IFERROR(INDEX(設定!$D$6:$D$18,MATCH($G137,設定!$B$6:$B$18,0)),""))</f>
        <v/>
      </c>
      <c r="I137" s="80">
        <f>IF($G137="","",IFERROR(INDEX(設定!$E$6:$E$18,MATCH($G137,設定!$B$6:$B$18,0)),""))</f>
        <v/>
      </c>
      <c r="J137" s="80">
        <f>IFERROR(INDEX(打卡匯入!$C$3:$C$2002,MATCH($C137&amp;"|"&amp;DAY($A137),打卡匯入!$E$3:$E$2002,0)),"")</f>
        <v/>
      </c>
      <c r="K137" s="80">
        <f>IFERROR(INDEX(打卡匯入!$D$3:$D$2002,MATCH($C137&amp;"|"&amp;DAY($A137),打卡匯入!$E$3:$E$2002,0)),"")</f>
        <v/>
      </c>
      <c r="L137" s="81">
        <f>IF(OR($J137="",$K137=""),"",IFERROR(INDEX(設定!$F$6:$F$18,MATCH($G137,設定!$B$6:$B$18,0)),0))</f>
        <v/>
      </c>
      <c r="M137" s="82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1">
        <f>IF(OR($C137="",$H137="",$J137=""),0,IF(ROUND(($J137-$H137)*1440,0)&gt;設定!$C$42,ROUND(($J137-$H137)*1440,0),0))</f>
        <v/>
      </c>
      <c r="P137" s="81">
        <f>IF(OR($C137="",$I137="",$K137=""),0,IF(ROUND(($I137-$K137)*1440,0)&gt;設定!$C$42,ROUND(($I137-$K137)*1440,0),0))</f>
        <v/>
      </c>
      <c r="Q137" s="82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79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0">
        <f>IF($G138="","",IFERROR(INDEX(設定!$D$6:$D$18,MATCH($G138,設定!$B$6:$B$18,0)),""))</f>
        <v/>
      </c>
      <c r="I138" s="80">
        <f>IF($G138="","",IFERROR(INDEX(設定!$E$6:$E$18,MATCH($G138,設定!$B$6:$B$18,0)),""))</f>
        <v/>
      </c>
      <c r="J138" s="80">
        <f>IFERROR(INDEX(打卡匯入!$C$3:$C$2002,MATCH($C138&amp;"|"&amp;DAY($A138),打卡匯入!$E$3:$E$2002,0)),"")</f>
        <v/>
      </c>
      <c r="K138" s="80">
        <f>IFERROR(INDEX(打卡匯入!$D$3:$D$2002,MATCH($C138&amp;"|"&amp;DAY($A138),打卡匯入!$E$3:$E$2002,0)),"")</f>
        <v/>
      </c>
      <c r="L138" s="81">
        <f>IF(OR($J138="",$K138=""),"",IFERROR(INDEX(設定!$F$6:$F$18,MATCH($G138,設定!$B$6:$B$18,0)),0))</f>
        <v/>
      </c>
      <c r="M138" s="82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1">
        <f>IF(OR($C138="",$H138="",$J138=""),0,IF(ROUND(($J138-$H138)*1440,0)&gt;設定!$C$42,ROUND(($J138-$H138)*1440,0),0))</f>
        <v/>
      </c>
      <c r="P138" s="81">
        <f>IF(OR($C138="",$I138="",$K138=""),0,IF(ROUND(($I138-$K138)*1440,0)&gt;設定!$C$42,ROUND(($I138-$K138)*1440,0),0))</f>
        <v/>
      </c>
      <c r="Q138" s="82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79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0">
        <f>IF($G139="","",IFERROR(INDEX(設定!$D$6:$D$18,MATCH($G139,設定!$B$6:$B$18,0)),""))</f>
        <v/>
      </c>
      <c r="I139" s="80">
        <f>IF($G139="","",IFERROR(INDEX(設定!$E$6:$E$18,MATCH($G139,設定!$B$6:$B$18,0)),""))</f>
        <v/>
      </c>
      <c r="J139" s="80">
        <f>IFERROR(INDEX(打卡匯入!$C$3:$C$2002,MATCH($C139&amp;"|"&amp;DAY($A139),打卡匯入!$E$3:$E$2002,0)),"")</f>
        <v/>
      </c>
      <c r="K139" s="80">
        <f>IFERROR(INDEX(打卡匯入!$D$3:$D$2002,MATCH($C139&amp;"|"&amp;DAY($A139),打卡匯入!$E$3:$E$2002,0)),"")</f>
        <v/>
      </c>
      <c r="L139" s="81">
        <f>IF(OR($J139="",$K139=""),"",IFERROR(INDEX(設定!$F$6:$F$18,MATCH($G139,設定!$B$6:$B$18,0)),0))</f>
        <v/>
      </c>
      <c r="M139" s="82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1">
        <f>IF(OR($C139="",$H139="",$J139=""),0,IF(ROUND(($J139-$H139)*1440,0)&gt;設定!$C$42,ROUND(($J139-$H139)*1440,0),0))</f>
        <v/>
      </c>
      <c r="P139" s="81">
        <f>IF(OR($C139="",$I139="",$K139=""),0,IF(ROUND(($I139-$K139)*1440,0)&gt;設定!$C$42,ROUND(($I139-$K139)*1440,0),0))</f>
        <v/>
      </c>
      <c r="Q139" s="82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79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0">
        <f>IF($G140="","",IFERROR(INDEX(設定!$D$6:$D$18,MATCH($G140,設定!$B$6:$B$18,0)),""))</f>
        <v/>
      </c>
      <c r="I140" s="80">
        <f>IF($G140="","",IFERROR(INDEX(設定!$E$6:$E$18,MATCH($G140,設定!$B$6:$B$18,0)),""))</f>
        <v/>
      </c>
      <c r="J140" s="80">
        <f>IFERROR(INDEX(打卡匯入!$C$3:$C$2002,MATCH($C140&amp;"|"&amp;DAY($A140),打卡匯入!$E$3:$E$2002,0)),"")</f>
        <v/>
      </c>
      <c r="K140" s="80">
        <f>IFERROR(INDEX(打卡匯入!$D$3:$D$2002,MATCH($C140&amp;"|"&amp;DAY($A140),打卡匯入!$E$3:$E$2002,0)),"")</f>
        <v/>
      </c>
      <c r="L140" s="81">
        <f>IF(OR($J140="",$K140=""),"",IFERROR(INDEX(設定!$F$6:$F$18,MATCH($G140,設定!$B$6:$B$18,0)),0))</f>
        <v/>
      </c>
      <c r="M140" s="82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1">
        <f>IF(OR($C140="",$H140="",$J140=""),0,IF(ROUND(($J140-$H140)*1440,0)&gt;設定!$C$42,ROUND(($J140-$H140)*1440,0),0))</f>
        <v/>
      </c>
      <c r="P140" s="81">
        <f>IF(OR($C140="",$I140="",$K140=""),0,IF(ROUND(($I140-$K140)*1440,0)&gt;設定!$C$42,ROUND(($I140-$K140)*1440,0),0))</f>
        <v/>
      </c>
      <c r="Q140" s="82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79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0">
        <f>IF($G141="","",IFERROR(INDEX(設定!$D$6:$D$18,MATCH($G141,設定!$B$6:$B$18,0)),""))</f>
        <v/>
      </c>
      <c r="I141" s="80">
        <f>IF($G141="","",IFERROR(INDEX(設定!$E$6:$E$18,MATCH($G141,設定!$B$6:$B$18,0)),""))</f>
        <v/>
      </c>
      <c r="J141" s="80">
        <f>IFERROR(INDEX(打卡匯入!$C$3:$C$2002,MATCH($C141&amp;"|"&amp;DAY($A141),打卡匯入!$E$3:$E$2002,0)),"")</f>
        <v/>
      </c>
      <c r="K141" s="80">
        <f>IFERROR(INDEX(打卡匯入!$D$3:$D$2002,MATCH($C141&amp;"|"&amp;DAY($A141),打卡匯入!$E$3:$E$2002,0)),"")</f>
        <v/>
      </c>
      <c r="L141" s="81">
        <f>IF(OR($J141="",$K141=""),"",IFERROR(INDEX(設定!$F$6:$F$18,MATCH($G141,設定!$B$6:$B$18,0)),0))</f>
        <v/>
      </c>
      <c r="M141" s="82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1">
        <f>IF(OR($C141="",$H141="",$J141=""),0,IF(ROUND(($J141-$H141)*1440,0)&gt;設定!$C$42,ROUND(($J141-$H141)*1440,0),0))</f>
        <v/>
      </c>
      <c r="P141" s="81">
        <f>IF(OR($C141="",$I141="",$K141=""),0,IF(ROUND(($I141-$K141)*1440,0)&gt;設定!$C$42,ROUND(($I141-$K141)*1440,0),0))</f>
        <v/>
      </c>
      <c r="Q141" s="82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79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0">
        <f>IF($G142="","",IFERROR(INDEX(設定!$D$6:$D$18,MATCH($G142,設定!$B$6:$B$18,0)),""))</f>
        <v/>
      </c>
      <c r="I142" s="80">
        <f>IF($G142="","",IFERROR(INDEX(設定!$E$6:$E$18,MATCH($G142,設定!$B$6:$B$18,0)),""))</f>
        <v/>
      </c>
      <c r="J142" s="80">
        <f>IFERROR(INDEX(打卡匯入!$C$3:$C$2002,MATCH($C142&amp;"|"&amp;DAY($A142),打卡匯入!$E$3:$E$2002,0)),"")</f>
        <v/>
      </c>
      <c r="K142" s="80">
        <f>IFERROR(INDEX(打卡匯入!$D$3:$D$2002,MATCH($C142&amp;"|"&amp;DAY($A142),打卡匯入!$E$3:$E$2002,0)),"")</f>
        <v/>
      </c>
      <c r="L142" s="81">
        <f>IF(OR($J142="",$K142=""),"",IFERROR(INDEX(設定!$F$6:$F$18,MATCH($G142,設定!$B$6:$B$18,0)),0))</f>
        <v/>
      </c>
      <c r="M142" s="82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1">
        <f>IF(OR($C142="",$H142="",$J142=""),0,IF(ROUND(($J142-$H142)*1440,0)&gt;設定!$C$42,ROUND(($J142-$H142)*1440,0),0))</f>
        <v/>
      </c>
      <c r="P142" s="81">
        <f>IF(OR($C142="",$I142="",$K142=""),0,IF(ROUND(($I142-$K142)*1440,0)&gt;設定!$C$42,ROUND(($I142-$K142)*1440,0),0))</f>
        <v/>
      </c>
      <c r="Q142" s="82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79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0">
        <f>IF($G143="","",IFERROR(INDEX(設定!$D$6:$D$18,MATCH($G143,設定!$B$6:$B$18,0)),""))</f>
        <v/>
      </c>
      <c r="I143" s="80">
        <f>IF($G143="","",IFERROR(INDEX(設定!$E$6:$E$18,MATCH($G143,設定!$B$6:$B$18,0)),""))</f>
        <v/>
      </c>
      <c r="J143" s="80">
        <f>IFERROR(INDEX(打卡匯入!$C$3:$C$2002,MATCH($C143&amp;"|"&amp;DAY($A143),打卡匯入!$E$3:$E$2002,0)),"")</f>
        <v/>
      </c>
      <c r="K143" s="80">
        <f>IFERROR(INDEX(打卡匯入!$D$3:$D$2002,MATCH($C143&amp;"|"&amp;DAY($A143),打卡匯入!$E$3:$E$2002,0)),"")</f>
        <v/>
      </c>
      <c r="L143" s="81">
        <f>IF(OR($J143="",$K143=""),"",IFERROR(INDEX(設定!$F$6:$F$18,MATCH($G143,設定!$B$6:$B$18,0)),0))</f>
        <v/>
      </c>
      <c r="M143" s="82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1">
        <f>IF(OR($C143="",$H143="",$J143=""),0,IF(ROUND(($J143-$H143)*1440,0)&gt;設定!$C$42,ROUND(($J143-$H143)*1440,0),0))</f>
        <v/>
      </c>
      <c r="P143" s="81">
        <f>IF(OR($C143="",$I143="",$K143=""),0,IF(ROUND(($I143-$K143)*1440,0)&gt;設定!$C$42,ROUND(($I143-$K143)*1440,0),0))</f>
        <v/>
      </c>
      <c r="Q143" s="82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79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0">
        <f>IF($G144="","",IFERROR(INDEX(設定!$D$6:$D$18,MATCH($G144,設定!$B$6:$B$18,0)),""))</f>
        <v/>
      </c>
      <c r="I144" s="80">
        <f>IF($G144="","",IFERROR(INDEX(設定!$E$6:$E$18,MATCH($G144,設定!$B$6:$B$18,0)),""))</f>
        <v/>
      </c>
      <c r="J144" s="80">
        <f>IFERROR(INDEX(打卡匯入!$C$3:$C$2002,MATCH($C144&amp;"|"&amp;DAY($A144),打卡匯入!$E$3:$E$2002,0)),"")</f>
        <v/>
      </c>
      <c r="K144" s="80">
        <f>IFERROR(INDEX(打卡匯入!$D$3:$D$2002,MATCH($C144&amp;"|"&amp;DAY($A144),打卡匯入!$E$3:$E$2002,0)),"")</f>
        <v/>
      </c>
      <c r="L144" s="81">
        <f>IF(OR($J144="",$K144=""),"",IFERROR(INDEX(設定!$F$6:$F$18,MATCH($G144,設定!$B$6:$B$18,0)),0))</f>
        <v/>
      </c>
      <c r="M144" s="82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1">
        <f>IF(OR($C144="",$H144="",$J144=""),0,IF(ROUND(($J144-$H144)*1440,0)&gt;設定!$C$42,ROUND(($J144-$H144)*1440,0),0))</f>
        <v/>
      </c>
      <c r="P144" s="81">
        <f>IF(OR($C144="",$I144="",$K144=""),0,IF(ROUND(($I144-$K144)*1440,0)&gt;設定!$C$42,ROUND(($I144-$K144)*1440,0),0))</f>
        <v/>
      </c>
      <c r="Q144" s="82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79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0">
        <f>IF($G145="","",IFERROR(INDEX(設定!$D$6:$D$18,MATCH($G145,設定!$B$6:$B$18,0)),""))</f>
        <v/>
      </c>
      <c r="I145" s="80">
        <f>IF($G145="","",IFERROR(INDEX(設定!$E$6:$E$18,MATCH($G145,設定!$B$6:$B$18,0)),""))</f>
        <v/>
      </c>
      <c r="J145" s="80">
        <f>IFERROR(INDEX(打卡匯入!$C$3:$C$2002,MATCH($C145&amp;"|"&amp;DAY($A145),打卡匯入!$E$3:$E$2002,0)),"")</f>
        <v/>
      </c>
      <c r="K145" s="80">
        <f>IFERROR(INDEX(打卡匯入!$D$3:$D$2002,MATCH($C145&amp;"|"&amp;DAY($A145),打卡匯入!$E$3:$E$2002,0)),"")</f>
        <v/>
      </c>
      <c r="L145" s="81">
        <f>IF(OR($J145="",$K145=""),"",IFERROR(INDEX(設定!$F$6:$F$18,MATCH($G145,設定!$B$6:$B$18,0)),0))</f>
        <v/>
      </c>
      <c r="M145" s="82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1">
        <f>IF(OR($C145="",$H145="",$J145=""),0,IF(ROUND(($J145-$H145)*1440,0)&gt;設定!$C$42,ROUND(($J145-$H145)*1440,0),0))</f>
        <v/>
      </c>
      <c r="P145" s="81">
        <f>IF(OR($C145="",$I145="",$K145=""),0,IF(ROUND(($I145-$K145)*1440,0)&gt;設定!$C$42,ROUND(($I145-$K145)*1440,0),0))</f>
        <v/>
      </c>
      <c r="Q145" s="82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79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0">
        <f>IF($G146="","",IFERROR(INDEX(設定!$D$6:$D$18,MATCH($G146,設定!$B$6:$B$18,0)),""))</f>
        <v/>
      </c>
      <c r="I146" s="80">
        <f>IF($G146="","",IFERROR(INDEX(設定!$E$6:$E$18,MATCH($G146,設定!$B$6:$B$18,0)),""))</f>
        <v/>
      </c>
      <c r="J146" s="80">
        <f>IFERROR(INDEX(打卡匯入!$C$3:$C$2002,MATCH($C146&amp;"|"&amp;DAY($A146),打卡匯入!$E$3:$E$2002,0)),"")</f>
        <v/>
      </c>
      <c r="K146" s="80">
        <f>IFERROR(INDEX(打卡匯入!$D$3:$D$2002,MATCH($C146&amp;"|"&amp;DAY($A146),打卡匯入!$E$3:$E$2002,0)),"")</f>
        <v/>
      </c>
      <c r="L146" s="81">
        <f>IF(OR($J146="",$K146=""),"",IFERROR(INDEX(設定!$F$6:$F$18,MATCH($G146,設定!$B$6:$B$18,0)),0))</f>
        <v/>
      </c>
      <c r="M146" s="82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1">
        <f>IF(OR($C146="",$H146="",$J146=""),0,IF(ROUND(($J146-$H146)*1440,0)&gt;設定!$C$42,ROUND(($J146-$H146)*1440,0),0))</f>
        <v/>
      </c>
      <c r="P146" s="81">
        <f>IF(OR($C146="",$I146="",$K146=""),0,IF(ROUND(($I146-$K146)*1440,0)&gt;設定!$C$42,ROUND(($I146-$K146)*1440,0),0))</f>
        <v/>
      </c>
      <c r="Q146" s="82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79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0">
        <f>IF($G147="","",IFERROR(INDEX(設定!$D$6:$D$18,MATCH($G147,設定!$B$6:$B$18,0)),""))</f>
        <v/>
      </c>
      <c r="I147" s="80">
        <f>IF($G147="","",IFERROR(INDEX(設定!$E$6:$E$18,MATCH($G147,設定!$B$6:$B$18,0)),""))</f>
        <v/>
      </c>
      <c r="J147" s="80">
        <f>IFERROR(INDEX(打卡匯入!$C$3:$C$2002,MATCH($C147&amp;"|"&amp;DAY($A147),打卡匯入!$E$3:$E$2002,0)),"")</f>
        <v/>
      </c>
      <c r="K147" s="80">
        <f>IFERROR(INDEX(打卡匯入!$D$3:$D$2002,MATCH($C147&amp;"|"&amp;DAY($A147),打卡匯入!$E$3:$E$2002,0)),"")</f>
        <v/>
      </c>
      <c r="L147" s="81">
        <f>IF(OR($J147="",$K147=""),"",IFERROR(INDEX(設定!$F$6:$F$18,MATCH($G147,設定!$B$6:$B$18,0)),0))</f>
        <v/>
      </c>
      <c r="M147" s="82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1">
        <f>IF(OR($C147="",$H147="",$J147=""),0,IF(ROUND(($J147-$H147)*1440,0)&gt;設定!$C$42,ROUND(($J147-$H147)*1440,0),0))</f>
        <v/>
      </c>
      <c r="P147" s="81">
        <f>IF(OR($C147="",$I147="",$K147=""),0,IF(ROUND(($I147-$K147)*1440,0)&gt;設定!$C$42,ROUND(($I147-$K147)*1440,0),0))</f>
        <v/>
      </c>
      <c r="Q147" s="82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79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0">
        <f>IF($G148="","",IFERROR(INDEX(設定!$D$6:$D$18,MATCH($G148,設定!$B$6:$B$18,0)),""))</f>
        <v/>
      </c>
      <c r="I148" s="80">
        <f>IF($G148="","",IFERROR(INDEX(設定!$E$6:$E$18,MATCH($G148,設定!$B$6:$B$18,0)),""))</f>
        <v/>
      </c>
      <c r="J148" s="80">
        <f>IFERROR(INDEX(打卡匯入!$C$3:$C$2002,MATCH($C148&amp;"|"&amp;DAY($A148),打卡匯入!$E$3:$E$2002,0)),"")</f>
        <v/>
      </c>
      <c r="K148" s="80">
        <f>IFERROR(INDEX(打卡匯入!$D$3:$D$2002,MATCH($C148&amp;"|"&amp;DAY($A148),打卡匯入!$E$3:$E$2002,0)),"")</f>
        <v/>
      </c>
      <c r="L148" s="81">
        <f>IF(OR($J148="",$K148=""),"",IFERROR(INDEX(設定!$F$6:$F$18,MATCH($G148,設定!$B$6:$B$18,0)),0))</f>
        <v/>
      </c>
      <c r="M148" s="82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1">
        <f>IF(OR($C148="",$H148="",$J148=""),0,IF(ROUND(($J148-$H148)*1440,0)&gt;設定!$C$42,ROUND(($J148-$H148)*1440,0),0))</f>
        <v/>
      </c>
      <c r="P148" s="81">
        <f>IF(OR($C148="",$I148="",$K148=""),0,IF(ROUND(($I148-$K148)*1440,0)&gt;設定!$C$42,ROUND(($I148-$K148)*1440,0),0))</f>
        <v/>
      </c>
      <c r="Q148" s="82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79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0">
        <f>IF($G149="","",IFERROR(INDEX(設定!$D$6:$D$18,MATCH($G149,設定!$B$6:$B$18,0)),""))</f>
        <v/>
      </c>
      <c r="I149" s="80">
        <f>IF($G149="","",IFERROR(INDEX(設定!$E$6:$E$18,MATCH($G149,設定!$B$6:$B$18,0)),""))</f>
        <v/>
      </c>
      <c r="J149" s="80">
        <f>IFERROR(INDEX(打卡匯入!$C$3:$C$2002,MATCH($C149&amp;"|"&amp;DAY($A149),打卡匯入!$E$3:$E$2002,0)),"")</f>
        <v/>
      </c>
      <c r="K149" s="80">
        <f>IFERROR(INDEX(打卡匯入!$D$3:$D$2002,MATCH($C149&amp;"|"&amp;DAY($A149),打卡匯入!$E$3:$E$2002,0)),"")</f>
        <v/>
      </c>
      <c r="L149" s="81">
        <f>IF(OR($J149="",$K149=""),"",IFERROR(INDEX(設定!$F$6:$F$18,MATCH($G149,設定!$B$6:$B$18,0)),0))</f>
        <v/>
      </c>
      <c r="M149" s="82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1">
        <f>IF(OR($C149="",$H149="",$J149=""),0,IF(ROUND(($J149-$H149)*1440,0)&gt;設定!$C$42,ROUND(($J149-$H149)*1440,0),0))</f>
        <v/>
      </c>
      <c r="P149" s="81">
        <f>IF(OR($C149="",$I149="",$K149=""),0,IF(ROUND(($I149-$K149)*1440,0)&gt;設定!$C$42,ROUND(($I149-$K149)*1440,0),0))</f>
        <v/>
      </c>
      <c r="Q149" s="82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79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0">
        <f>IF($G150="","",IFERROR(INDEX(設定!$D$6:$D$18,MATCH($G150,設定!$B$6:$B$18,0)),""))</f>
        <v/>
      </c>
      <c r="I150" s="80">
        <f>IF($G150="","",IFERROR(INDEX(設定!$E$6:$E$18,MATCH($G150,設定!$B$6:$B$18,0)),""))</f>
        <v/>
      </c>
      <c r="J150" s="80">
        <f>IFERROR(INDEX(打卡匯入!$C$3:$C$2002,MATCH($C150&amp;"|"&amp;DAY($A150),打卡匯入!$E$3:$E$2002,0)),"")</f>
        <v/>
      </c>
      <c r="K150" s="80">
        <f>IFERROR(INDEX(打卡匯入!$D$3:$D$2002,MATCH($C150&amp;"|"&amp;DAY($A150),打卡匯入!$E$3:$E$2002,0)),"")</f>
        <v/>
      </c>
      <c r="L150" s="81">
        <f>IF(OR($J150="",$K150=""),"",IFERROR(INDEX(設定!$F$6:$F$18,MATCH($G150,設定!$B$6:$B$18,0)),0))</f>
        <v/>
      </c>
      <c r="M150" s="82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1">
        <f>IF(OR($C150="",$H150="",$J150=""),0,IF(ROUND(($J150-$H150)*1440,0)&gt;設定!$C$42,ROUND(($J150-$H150)*1440,0),0))</f>
        <v/>
      </c>
      <c r="P150" s="81">
        <f>IF(OR($C150="",$I150="",$K150=""),0,IF(ROUND(($I150-$K150)*1440,0)&gt;設定!$C$42,ROUND(($I150-$K150)*1440,0),0))</f>
        <v/>
      </c>
      <c r="Q150" s="82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79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0">
        <f>IF($G151="","",IFERROR(INDEX(設定!$D$6:$D$18,MATCH($G151,設定!$B$6:$B$18,0)),""))</f>
        <v/>
      </c>
      <c r="I151" s="80">
        <f>IF($G151="","",IFERROR(INDEX(設定!$E$6:$E$18,MATCH($G151,設定!$B$6:$B$18,0)),""))</f>
        <v/>
      </c>
      <c r="J151" s="80">
        <f>IFERROR(INDEX(打卡匯入!$C$3:$C$2002,MATCH($C151&amp;"|"&amp;DAY($A151),打卡匯入!$E$3:$E$2002,0)),"")</f>
        <v/>
      </c>
      <c r="K151" s="80">
        <f>IFERROR(INDEX(打卡匯入!$D$3:$D$2002,MATCH($C151&amp;"|"&amp;DAY($A151),打卡匯入!$E$3:$E$2002,0)),"")</f>
        <v/>
      </c>
      <c r="L151" s="81">
        <f>IF(OR($J151="",$K151=""),"",IFERROR(INDEX(設定!$F$6:$F$18,MATCH($G151,設定!$B$6:$B$18,0)),0))</f>
        <v/>
      </c>
      <c r="M151" s="82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1">
        <f>IF(OR($C151="",$H151="",$J151=""),0,IF(ROUND(($J151-$H151)*1440,0)&gt;設定!$C$42,ROUND(($J151-$H151)*1440,0),0))</f>
        <v/>
      </c>
      <c r="P151" s="81">
        <f>IF(OR($C151="",$I151="",$K151=""),0,IF(ROUND(($I151-$K151)*1440,0)&gt;設定!$C$42,ROUND(($I151-$K151)*1440,0),0))</f>
        <v/>
      </c>
      <c r="Q151" s="82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79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0">
        <f>IF($G152="","",IFERROR(INDEX(設定!$D$6:$D$18,MATCH($G152,設定!$B$6:$B$18,0)),""))</f>
        <v/>
      </c>
      <c r="I152" s="80">
        <f>IF($G152="","",IFERROR(INDEX(設定!$E$6:$E$18,MATCH($G152,設定!$B$6:$B$18,0)),""))</f>
        <v/>
      </c>
      <c r="J152" s="80">
        <f>IFERROR(INDEX(打卡匯入!$C$3:$C$2002,MATCH($C152&amp;"|"&amp;DAY($A152),打卡匯入!$E$3:$E$2002,0)),"")</f>
        <v/>
      </c>
      <c r="K152" s="80">
        <f>IFERROR(INDEX(打卡匯入!$D$3:$D$2002,MATCH($C152&amp;"|"&amp;DAY($A152),打卡匯入!$E$3:$E$2002,0)),"")</f>
        <v/>
      </c>
      <c r="L152" s="81">
        <f>IF(OR($J152="",$K152=""),"",IFERROR(INDEX(設定!$F$6:$F$18,MATCH($G152,設定!$B$6:$B$18,0)),0))</f>
        <v/>
      </c>
      <c r="M152" s="82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1">
        <f>IF(OR($C152="",$H152="",$J152=""),0,IF(ROUND(($J152-$H152)*1440,0)&gt;設定!$C$42,ROUND(($J152-$H152)*1440,0),0))</f>
        <v/>
      </c>
      <c r="P152" s="81">
        <f>IF(OR($C152="",$I152="",$K152=""),0,IF(ROUND(($I152-$K152)*1440,0)&gt;設定!$C$42,ROUND(($I152-$K152)*1440,0),0))</f>
        <v/>
      </c>
      <c r="Q152" s="82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79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0">
        <f>IF($G153="","",IFERROR(INDEX(設定!$D$6:$D$18,MATCH($G153,設定!$B$6:$B$18,0)),""))</f>
        <v/>
      </c>
      <c r="I153" s="80">
        <f>IF($G153="","",IFERROR(INDEX(設定!$E$6:$E$18,MATCH($G153,設定!$B$6:$B$18,0)),""))</f>
        <v/>
      </c>
      <c r="J153" s="80">
        <f>IFERROR(INDEX(打卡匯入!$C$3:$C$2002,MATCH($C153&amp;"|"&amp;DAY($A153),打卡匯入!$E$3:$E$2002,0)),"")</f>
        <v/>
      </c>
      <c r="K153" s="80">
        <f>IFERROR(INDEX(打卡匯入!$D$3:$D$2002,MATCH($C153&amp;"|"&amp;DAY($A153),打卡匯入!$E$3:$E$2002,0)),"")</f>
        <v/>
      </c>
      <c r="L153" s="81">
        <f>IF(OR($J153="",$K153=""),"",IFERROR(INDEX(設定!$F$6:$F$18,MATCH($G153,設定!$B$6:$B$18,0)),0))</f>
        <v/>
      </c>
      <c r="M153" s="82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1">
        <f>IF(OR($C153="",$H153="",$J153=""),0,IF(ROUND(($J153-$H153)*1440,0)&gt;設定!$C$42,ROUND(($J153-$H153)*1440,0),0))</f>
        <v/>
      </c>
      <c r="P153" s="81">
        <f>IF(OR($C153="",$I153="",$K153=""),0,IF(ROUND(($I153-$K153)*1440,0)&gt;設定!$C$42,ROUND(($I153-$K153)*1440,0),0))</f>
        <v/>
      </c>
      <c r="Q153" s="82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79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0">
        <f>IF($G154="","",IFERROR(INDEX(設定!$D$6:$D$18,MATCH($G154,設定!$B$6:$B$18,0)),""))</f>
        <v/>
      </c>
      <c r="I154" s="80">
        <f>IF($G154="","",IFERROR(INDEX(設定!$E$6:$E$18,MATCH($G154,設定!$B$6:$B$18,0)),""))</f>
        <v/>
      </c>
      <c r="J154" s="80">
        <f>IFERROR(INDEX(打卡匯入!$C$3:$C$2002,MATCH($C154&amp;"|"&amp;DAY($A154),打卡匯入!$E$3:$E$2002,0)),"")</f>
        <v/>
      </c>
      <c r="K154" s="80">
        <f>IFERROR(INDEX(打卡匯入!$D$3:$D$2002,MATCH($C154&amp;"|"&amp;DAY($A154),打卡匯入!$E$3:$E$2002,0)),"")</f>
        <v/>
      </c>
      <c r="L154" s="81">
        <f>IF(OR($J154="",$K154=""),"",IFERROR(INDEX(設定!$F$6:$F$18,MATCH($G154,設定!$B$6:$B$18,0)),0))</f>
        <v/>
      </c>
      <c r="M154" s="82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1">
        <f>IF(OR($C154="",$H154="",$J154=""),0,IF(ROUND(($J154-$H154)*1440,0)&gt;設定!$C$42,ROUND(($J154-$H154)*1440,0),0))</f>
        <v/>
      </c>
      <c r="P154" s="81">
        <f>IF(OR($C154="",$I154="",$K154=""),0,IF(ROUND(($I154-$K154)*1440,0)&gt;設定!$C$42,ROUND(($I154-$K154)*1440,0),0))</f>
        <v/>
      </c>
      <c r="Q154" s="82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79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0">
        <f>IF($G155="","",IFERROR(INDEX(設定!$D$6:$D$18,MATCH($G155,設定!$B$6:$B$18,0)),""))</f>
        <v/>
      </c>
      <c r="I155" s="80">
        <f>IF($G155="","",IFERROR(INDEX(設定!$E$6:$E$18,MATCH($G155,設定!$B$6:$B$18,0)),""))</f>
        <v/>
      </c>
      <c r="J155" s="80">
        <f>IFERROR(INDEX(打卡匯入!$C$3:$C$2002,MATCH($C155&amp;"|"&amp;DAY($A155),打卡匯入!$E$3:$E$2002,0)),"")</f>
        <v/>
      </c>
      <c r="K155" s="80">
        <f>IFERROR(INDEX(打卡匯入!$D$3:$D$2002,MATCH($C155&amp;"|"&amp;DAY($A155),打卡匯入!$E$3:$E$2002,0)),"")</f>
        <v/>
      </c>
      <c r="L155" s="81">
        <f>IF(OR($J155="",$K155=""),"",IFERROR(INDEX(設定!$F$6:$F$18,MATCH($G155,設定!$B$6:$B$18,0)),0))</f>
        <v/>
      </c>
      <c r="M155" s="82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1">
        <f>IF(OR($C155="",$H155="",$J155=""),0,IF(ROUND(($J155-$H155)*1440,0)&gt;設定!$C$42,ROUND(($J155-$H155)*1440,0),0))</f>
        <v/>
      </c>
      <c r="P155" s="81">
        <f>IF(OR($C155="",$I155="",$K155=""),0,IF(ROUND(($I155-$K155)*1440,0)&gt;設定!$C$42,ROUND(($I155-$K155)*1440,0),0))</f>
        <v/>
      </c>
      <c r="Q155" s="82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79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0">
        <f>IF($G156="","",IFERROR(INDEX(設定!$D$6:$D$18,MATCH($G156,設定!$B$6:$B$18,0)),""))</f>
        <v/>
      </c>
      <c r="I156" s="80">
        <f>IF($G156="","",IFERROR(INDEX(設定!$E$6:$E$18,MATCH($G156,設定!$B$6:$B$18,0)),""))</f>
        <v/>
      </c>
      <c r="J156" s="80">
        <f>IFERROR(INDEX(打卡匯入!$C$3:$C$2002,MATCH($C156&amp;"|"&amp;DAY($A156),打卡匯入!$E$3:$E$2002,0)),"")</f>
        <v/>
      </c>
      <c r="K156" s="80">
        <f>IFERROR(INDEX(打卡匯入!$D$3:$D$2002,MATCH($C156&amp;"|"&amp;DAY($A156),打卡匯入!$E$3:$E$2002,0)),"")</f>
        <v/>
      </c>
      <c r="L156" s="81">
        <f>IF(OR($J156="",$K156=""),"",IFERROR(INDEX(設定!$F$6:$F$18,MATCH($G156,設定!$B$6:$B$18,0)),0))</f>
        <v/>
      </c>
      <c r="M156" s="82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1">
        <f>IF(OR($C156="",$H156="",$J156=""),0,IF(ROUND(($J156-$H156)*1440,0)&gt;設定!$C$42,ROUND(($J156-$H156)*1440,0),0))</f>
        <v/>
      </c>
      <c r="P156" s="81">
        <f>IF(OR($C156="",$I156="",$K156=""),0,IF(ROUND(($I156-$K156)*1440,0)&gt;設定!$C$42,ROUND(($I156-$K156)*1440,0),0))</f>
        <v/>
      </c>
      <c r="Q156" s="82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79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0">
        <f>IF($G157="","",IFERROR(INDEX(設定!$D$6:$D$18,MATCH($G157,設定!$B$6:$B$18,0)),""))</f>
        <v/>
      </c>
      <c r="I157" s="80">
        <f>IF($G157="","",IFERROR(INDEX(設定!$E$6:$E$18,MATCH($G157,設定!$B$6:$B$18,0)),""))</f>
        <v/>
      </c>
      <c r="J157" s="80">
        <f>IFERROR(INDEX(打卡匯入!$C$3:$C$2002,MATCH($C157&amp;"|"&amp;DAY($A157),打卡匯入!$E$3:$E$2002,0)),"")</f>
        <v/>
      </c>
      <c r="K157" s="80">
        <f>IFERROR(INDEX(打卡匯入!$D$3:$D$2002,MATCH($C157&amp;"|"&amp;DAY($A157),打卡匯入!$E$3:$E$2002,0)),"")</f>
        <v/>
      </c>
      <c r="L157" s="81">
        <f>IF(OR($J157="",$K157=""),"",IFERROR(INDEX(設定!$F$6:$F$18,MATCH($G157,設定!$B$6:$B$18,0)),0))</f>
        <v/>
      </c>
      <c r="M157" s="82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1">
        <f>IF(OR($C157="",$H157="",$J157=""),0,IF(ROUND(($J157-$H157)*1440,0)&gt;設定!$C$42,ROUND(($J157-$H157)*1440,0),0))</f>
        <v/>
      </c>
      <c r="P157" s="81">
        <f>IF(OR($C157="",$I157="",$K157=""),0,IF(ROUND(($I157-$K157)*1440,0)&gt;設定!$C$42,ROUND(($I157-$K157)*1440,0),0))</f>
        <v/>
      </c>
      <c r="Q157" s="82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79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0">
        <f>IF($G158="","",IFERROR(INDEX(設定!$D$6:$D$18,MATCH($G158,設定!$B$6:$B$18,0)),""))</f>
        <v/>
      </c>
      <c r="I158" s="80">
        <f>IF($G158="","",IFERROR(INDEX(設定!$E$6:$E$18,MATCH($G158,設定!$B$6:$B$18,0)),""))</f>
        <v/>
      </c>
      <c r="J158" s="80">
        <f>IFERROR(INDEX(打卡匯入!$C$3:$C$2002,MATCH($C158&amp;"|"&amp;DAY($A158),打卡匯入!$E$3:$E$2002,0)),"")</f>
        <v/>
      </c>
      <c r="K158" s="80">
        <f>IFERROR(INDEX(打卡匯入!$D$3:$D$2002,MATCH($C158&amp;"|"&amp;DAY($A158),打卡匯入!$E$3:$E$2002,0)),"")</f>
        <v/>
      </c>
      <c r="L158" s="81">
        <f>IF(OR($J158="",$K158=""),"",IFERROR(INDEX(設定!$F$6:$F$18,MATCH($G158,設定!$B$6:$B$18,0)),0))</f>
        <v/>
      </c>
      <c r="M158" s="82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1">
        <f>IF(OR($C158="",$H158="",$J158=""),0,IF(ROUND(($J158-$H158)*1440,0)&gt;設定!$C$42,ROUND(($J158-$H158)*1440,0),0))</f>
        <v/>
      </c>
      <c r="P158" s="81">
        <f>IF(OR($C158="",$I158="",$K158=""),0,IF(ROUND(($I158-$K158)*1440,0)&gt;設定!$C$42,ROUND(($I158-$K158)*1440,0),0))</f>
        <v/>
      </c>
      <c r="Q158" s="82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79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0">
        <f>IF($G159="","",IFERROR(INDEX(設定!$D$6:$D$18,MATCH($G159,設定!$B$6:$B$18,0)),""))</f>
        <v/>
      </c>
      <c r="I159" s="80">
        <f>IF($G159="","",IFERROR(INDEX(設定!$E$6:$E$18,MATCH($G159,設定!$B$6:$B$18,0)),""))</f>
        <v/>
      </c>
      <c r="J159" s="80">
        <f>IFERROR(INDEX(打卡匯入!$C$3:$C$2002,MATCH($C159&amp;"|"&amp;DAY($A159),打卡匯入!$E$3:$E$2002,0)),"")</f>
        <v/>
      </c>
      <c r="K159" s="80">
        <f>IFERROR(INDEX(打卡匯入!$D$3:$D$2002,MATCH($C159&amp;"|"&amp;DAY($A159),打卡匯入!$E$3:$E$2002,0)),"")</f>
        <v/>
      </c>
      <c r="L159" s="81">
        <f>IF(OR($J159="",$K159=""),"",IFERROR(INDEX(設定!$F$6:$F$18,MATCH($G159,設定!$B$6:$B$18,0)),0))</f>
        <v/>
      </c>
      <c r="M159" s="82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1">
        <f>IF(OR($C159="",$H159="",$J159=""),0,IF(ROUND(($J159-$H159)*1440,0)&gt;設定!$C$42,ROUND(($J159-$H159)*1440,0),0))</f>
        <v/>
      </c>
      <c r="P159" s="81">
        <f>IF(OR($C159="",$I159="",$K159=""),0,IF(ROUND(($I159-$K159)*1440,0)&gt;設定!$C$42,ROUND(($I159-$K159)*1440,0),0))</f>
        <v/>
      </c>
      <c r="Q159" s="82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79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0">
        <f>IF($G160="","",IFERROR(INDEX(設定!$D$6:$D$18,MATCH($G160,設定!$B$6:$B$18,0)),""))</f>
        <v/>
      </c>
      <c r="I160" s="80">
        <f>IF($G160="","",IFERROR(INDEX(設定!$E$6:$E$18,MATCH($G160,設定!$B$6:$B$18,0)),""))</f>
        <v/>
      </c>
      <c r="J160" s="80">
        <f>IFERROR(INDEX(打卡匯入!$C$3:$C$2002,MATCH($C160&amp;"|"&amp;DAY($A160),打卡匯入!$E$3:$E$2002,0)),"")</f>
        <v/>
      </c>
      <c r="K160" s="80">
        <f>IFERROR(INDEX(打卡匯入!$D$3:$D$2002,MATCH($C160&amp;"|"&amp;DAY($A160),打卡匯入!$E$3:$E$2002,0)),"")</f>
        <v/>
      </c>
      <c r="L160" s="81">
        <f>IF(OR($J160="",$K160=""),"",IFERROR(INDEX(設定!$F$6:$F$18,MATCH($G160,設定!$B$6:$B$18,0)),0))</f>
        <v/>
      </c>
      <c r="M160" s="82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1">
        <f>IF(OR($C160="",$H160="",$J160=""),0,IF(ROUND(($J160-$H160)*1440,0)&gt;設定!$C$42,ROUND(($J160-$H160)*1440,0),0))</f>
        <v/>
      </c>
      <c r="P160" s="81">
        <f>IF(OR($C160="",$I160="",$K160=""),0,IF(ROUND(($I160-$K160)*1440,0)&gt;設定!$C$42,ROUND(($I160-$K160)*1440,0),0))</f>
        <v/>
      </c>
      <c r="Q160" s="82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79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0">
        <f>IF($G161="","",IFERROR(INDEX(設定!$D$6:$D$18,MATCH($G161,設定!$B$6:$B$18,0)),""))</f>
        <v/>
      </c>
      <c r="I161" s="80">
        <f>IF($G161="","",IFERROR(INDEX(設定!$E$6:$E$18,MATCH($G161,設定!$B$6:$B$18,0)),""))</f>
        <v/>
      </c>
      <c r="J161" s="80">
        <f>IFERROR(INDEX(打卡匯入!$C$3:$C$2002,MATCH($C161&amp;"|"&amp;DAY($A161),打卡匯入!$E$3:$E$2002,0)),"")</f>
        <v/>
      </c>
      <c r="K161" s="80">
        <f>IFERROR(INDEX(打卡匯入!$D$3:$D$2002,MATCH($C161&amp;"|"&amp;DAY($A161),打卡匯入!$E$3:$E$2002,0)),"")</f>
        <v/>
      </c>
      <c r="L161" s="81">
        <f>IF(OR($J161="",$K161=""),"",IFERROR(INDEX(設定!$F$6:$F$18,MATCH($G161,設定!$B$6:$B$18,0)),0))</f>
        <v/>
      </c>
      <c r="M161" s="82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1">
        <f>IF(OR($C161="",$H161="",$J161=""),0,IF(ROUND(($J161-$H161)*1440,0)&gt;設定!$C$42,ROUND(($J161-$H161)*1440,0),0))</f>
        <v/>
      </c>
      <c r="P161" s="81">
        <f>IF(OR($C161="",$I161="",$K161=""),0,IF(ROUND(($I161-$K161)*1440,0)&gt;設定!$C$42,ROUND(($I161-$K161)*1440,0),0))</f>
        <v/>
      </c>
      <c r="Q161" s="82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79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0">
        <f>IF($G162="","",IFERROR(INDEX(設定!$D$6:$D$18,MATCH($G162,設定!$B$6:$B$18,0)),""))</f>
        <v/>
      </c>
      <c r="I162" s="80">
        <f>IF($G162="","",IFERROR(INDEX(設定!$E$6:$E$18,MATCH($G162,設定!$B$6:$B$18,0)),""))</f>
        <v/>
      </c>
      <c r="J162" s="80">
        <f>IFERROR(INDEX(打卡匯入!$C$3:$C$2002,MATCH($C162&amp;"|"&amp;DAY($A162),打卡匯入!$E$3:$E$2002,0)),"")</f>
        <v/>
      </c>
      <c r="K162" s="80">
        <f>IFERROR(INDEX(打卡匯入!$D$3:$D$2002,MATCH($C162&amp;"|"&amp;DAY($A162),打卡匯入!$E$3:$E$2002,0)),"")</f>
        <v/>
      </c>
      <c r="L162" s="81">
        <f>IF(OR($J162="",$K162=""),"",IFERROR(INDEX(設定!$F$6:$F$18,MATCH($G162,設定!$B$6:$B$18,0)),0))</f>
        <v/>
      </c>
      <c r="M162" s="82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1">
        <f>IF(OR($C162="",$H162="",$J162=""),0,IF(ROUND(($J162-$H162)*1440,0)&gt;設定!$C$42,ROUND(($J162-$H162)*1440,0),0))</f>
        <v/>
      </c>
      <c r="P162" s="81">
        <f>IF(OR($C162="",$I162="",$K162=""),0,IF(ROUND(($I162-$K162)*1440,0)&gt;設定!$C$42,ROUND(($I162-$K162)*1440,0),0))</f>
        <v/>
      </c>
      <c r="Q162" s="82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79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0">
        <f>IF($G163="","",IFERROR(INDEX(設定!$D$6:$D$18,MATCH($G163,設定!$B$6:$B$18,0)),""))</f>
        <v/>
      </c>
      <c r="I163" s="80">
        <f>IF($G163="","",IFERROR(INDEX(設定!$E$6:$E$18,MATCH($G163,設定!$B$6:$B$18,0)),""))</f>
        <v/>
      </c>
      <c r="J163" s="80">
        <f>IFERROR(INDEX(打卡匯入!$C$3:$C$2002,MATCH($C163&amp;"|"&amp;DAY($A163),打卡匯入!$E$3:$E$2002,0)),"")</f>
        <v/>
      </c>
      <c r="K163" s="80">
        <f>IFERROR(INDEX(打卡匯入!$D$3:$D$2002,MATCH($C163&amp;"|"&amp;DAY($A163),打卡匯入!$E$3:$E$2002,0)),"")</f>
        <v/>
      </c>
      <c r="L163" s="81">
        <f>IF(OR($J163="",$K163=""),"",IFERROR(INDEX(設定!$F$6:$F$18,MATCH($G163,設定!$B$6:$B$18,0)),0))</f>
        <v/>
      </c>
      <c r="M163" s="82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1">
        <f>IF(OR($C163="",$H163="",$J163=""),0,IF(ROUND(($J163-$H163)*1440,0)&gt;設定!$C$42,ROUND(($J163-$H163)*1440,0),0))</f>
        <v/>
      </c>
      <c r="P163" s="81">
        <f>IF(OR($C163="",$I163="",$K163=""),0,IF(ROUND(($I163-$K163)*1440,0)&gt;設定!$C$42,ROUND(($I163-$K163)*1440,0),0))</f>
        <v/>
      </c>
      <c r="Q163" s="82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79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0">
        <f>IF($G164="","",IFERROR(INDEX(設定!$D$6:$D$18,MATCH($G164,設定!$B$6:$B$18,0)),""))</f>
        <v/>
      </c>
      <c r="I164" s="80">
        <f>IF($G164="","",IFERROR(INDEX(設定!$E$6:$E$18,MATCH($G164,設定!$B$6:$B$18,0)),""))</f>
        <v/>
      </c>
      <c r="J164" s="80">
        <f>IFERROR(INDEX(打卡匯入!$C$3:$C$2002,MATCH($C164&amp;"|"&amp;DAY($A164),打卡匯入!$E$3:$E$2002,0)),"")</f>
        <v/>
      </c>
      <c r="K164" s="80">
        <f>IFERROR(INDEX(打卡匯入!$D$3:$D$2002,MATCH($C164&amp;"|"&amp;DAY($A164),打卡匯入!$E$3:$E$2002,0)),"")</f>
        <v/>
      </c>
      <c r="L164" s="81">
        <f>IF(OR($J164="",$K164=""),"",IFERROR(INDEX(設定!$F$6:$F$18,MATCH($G164,設定!$B$6:$B$18,0)),0))</f>
        <v/>
      </c>
      <c r="M164" s="82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1">
        <f>IF(OR($C164="",$H164="",$J164=""),0,IF(ROUND(($J164-$H164)*1440,0)&gt;設定!$C$42,ROUND(($J164-$H164)*1440,0),0))</f>
        <v/>
      </c>
      <c r="P164" s="81">
        <f>IF(OR($C164="",$I164="",$K164=""),0,IF(ROUND(($I164-$K164)*1440,0)&gt;設定!$C$42,ROUND(($I164-$K164)*1440,0),0))</f>
        <v/>
      </c>
      <c r="Q164" s="82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79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0">
        <f>IF($G165="","",IFERROR(INDEX(設定!$D$6:$D$18,MATCH($G165,設定!$B$6:$B$18,0)),""))</f>
        <v/>
      </c>
      <c r="I165" s="80">
        <f>IF($G165="","",IFERROR(INDEX(設定!$E$6:$E$18,MATCH($G165,設定!$B$6:$B$18,0)),""))</f>
        <v/>
      </c>
      <c r="J165" s="80">
        <f>IFERROR(INDEX(打卡匯入!$C$3:$C$2002,MATCH($C165&amp;"|"&amp;DAY($A165),打卡匯入!$E$3:$E$2002,0)),"")</f>
        <v/>
      </c>
      <c r="K165" s="80">
        <f>IFERROR(INDEX(打卡匯入!$D$3:$D$2002,MATCH($C165&amp;"|"&amp;DAY($A165),打卡匯入!$E$3:$E$2002,0)),"")</f>
        <v/>
      </c>
      <c r="L165" s="81">
        <f>IF(OR($J165="",$K165=""),"",IFERROR(INDEX(設定!$F$6:$F$18,MATCH($G165,設定!$B$6:$B$18,0)),0))</f>
        <v/>
      </c>
      <c r="M165" s="82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1">
        <f>IF(OR($C165="",$H165="",$J165=""),0,IF(ROUND(($J165-$H165)*1440,0)&gt;設定!$C$42,ROUND(($J165-$H165)*1440,0),0))</f>
        <v/>
      </c>
      <c r="P165" s="81">
        <f>IF(OR($C165="",$I165="",$K165=""),0,IF(ROUND(($I165-$K165)*1440,0)&gt;設定!$C$42,ROUND(($I165-$K165)*1440,0),0))</f>
        <v/>
      </c>
      <c r="Q165" s="82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79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0">
        <f>IF($G166="","",IFERROR(INDEX(設定!$D$6:$D$18,MATCH($G166,設定!$B$6:$B$18,0)),""))</f>
        <v/>
      </c>
      <c r="I166" s="80">
        <f>IF($G166="","",IFERROR(INDEX(設定!$E$6:$E$18,MATCH($G166,設定!$B$6:$B$18,0)),""))</f>
        <v/>
      </c>
      <c r="J166" s="80">
        <f>IFERROR(INDEX(打卡匯入!$C$3:$C$2002,MATCH($C166&amp;"|"&amp;DAY($A166),打卡匯入!$E$3:$E$2002,0)),"")</f>
        <v/>
      </c>
      <c r="K166" s="80">
        <f>IFERROR(INDEX(打卡匯入!$D$3:$D$2002,MATCH($C166&amp;"|"&amp;DAY($A166),打卡匯入!$E$3:$E$2002,0)),"")</f>
        <v/>
      </c>
      <c r="L166" s="81">
        <f>IF(OR($J166="",$K166=""),"",IFERROR(INDEX(設定!$F$6:$F$18,MATCH($G166,設定!$B$6:$B$18,0)),0))</f>
        <v/>
      </c>
      <c r="M166" s="82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1">
        <f>IF(OR($C166="",$H166="",$J166=""),0,IF(ROUND(($J166-$H166)*1440,0)&gt;設定!$C$42,ROUND(($J166-$H166)*1440,0),0))</f>
        <v/>
      </c>
      <c r="P166" s="81">
        <f>IF(OR($C166="",$I166="",$K166=""),0,IF(ROUND(($I166-$K166)*1440,0)&gt;設定!$C$42,ROUND(($I166-$K166)*1440,0),0))</f>
        <v/>
      </c>
      <c r="Q166" s="82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79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0">
        <f>IF($G167="","",IFERROR(INDEX(設定!$D$6:$D$18,MATCH($G167,設定!$B$6:$B$18,0)),""))</f>
        <v/>
      </c>
      <c r="I167" s="80">
        <f>IF($G167="","",IFERROR(INDEX(設定!$E$6:$E$18,MATCH($G167,設定!$B$6:$B$18,0)),""))</f>
        <v/>
      </c>
      <c r="J167" s="80">
        <f>IFERROR(INDEX(打卡匯入!$C$3:$C$2002,MATCH($C167&amp;"|"&amp;DAY($A167),打卡匯入!$E$3:$E$2002,0)),"")</f>
        <v/>
      </c>
      <c r="K167" s="80">
        <f>IFERROR(INDEX(打卡匯入!$D$3:$D$2002,MATCH($C167&amp;"|"&amp;DAY($A167),打卡匯入!$E$3:$E$2002,0)),"")</f>
        <v/>
      </c>
      <c r="L167" s="81">
        <f>IF(OR($J167="",$K167=""),"",IFERROR(INDEX(設定!$F$6:$F$18,MATCH($G167,設定!$B$6:$B$18,0)),0))</f>
        <v/>
      </c>
      <c r="M167" s="82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1">
        <f>IF(OR($C167="",$H167="",$J167=""),0,IF(ROUND(($J167-$H167)*1440,0)&gt;設定!$C$42,ROUND(($J167-$H167)*1440,0),0))</f>
        <v/>
      </c>
      <c r="P167" s="81">
        <f>IF(OR($C167="",$I167="",$K167=""),0,IF(ROUND(($I167-$K167)*1440,0)&gt;設定!$C$42,ROUND(($I167-$K167)*1440,0),0))</f>
        <v/>
      </c>
      <c r="Q167" s="82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79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0">
        <f>IF($G168="","",IFERROR(INDEX(設定!$D$6:$D$18,MATCH($G168,設定!$B$6:$B$18,0)),""))</f>
        <v/>
      </c>
      <c r="I168" s="80">
        <f>IF($G168="","",IFERROR(INDEX(設定!$E$6:$E$18,MATCH($G168,設定!$B$6:$B$18,0)),""))</f>
        <v/>
      </c>
      <c r="J168" s="80">
        <f>IFERROR(INDEX(打卡匯入!$C$3:$C$2002,MATCH($C168&amp;"|"&amp;DAY($A168),打卡匯入!$E$3:$E$2002,0)),"")</f>
        <v/>
      </c>
      <c r="K168" s="80">
        <f>IFERROR(INDEX(打卡匯入!$D$3:$D$2002,MATCH($C168&amp;"|"&amp;DAY($A168),打卡匯入!$E$3:$E$2002,0)),"")</f>
        <v/>
      </c>
      <c r="L168" s="81">
        <f>IF(OR($J168="",$K168=""),"",IFERROR(INDEX(設定!$F$6:$F$18,MATCH($G168,設定!$B$6:$B$18,0)),0))</f>
        <v/>
      </c>
      <c r="M168" s="82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1">
        <f>IF(OR($C168="",$H168="",$J168=""),0,IF(ROUND(($J168-$H168)*1440,0)&gt;設定!$C$42,ROUND(($J168-$H168)*1440,0),0))</f>
        <v/>
      </c>
      <c r="P168" s="81">
        <f>IF(OR($C168="",$I168="",$K168=""),0,IF(ROUND(($I168-$K168)*1440,0)&gt;設定!$C$42,ROUND(($I168-$K168)*1440,0),0))</f>
        <v/>
      </c>
      <c r="Q168" s="82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79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0">
        <f>IF($G169="","",IFERROR(INDEX(設定!$D$6:$D$18,MATCH($G169,設定!$B$6:$B$18,0)),""))</f>
        <v/>
      </c>
      <c r="I169" s="80">
        <f>IF($G169="","",IFERROR(INDEX(設定!$E$6:$E$18,MATCH($G169,設定!$B$6:$B$18,0)),""))</f>
        <v/>
      </c>
      <c r="J169" s="80">
        <f>IFERROR(INDEX(打卡匯入!$C$3:$C$2002,MATCH($C169&amp;"|"&amp;DAY($A169),打卡匯入!$E$3:$E$2002,0)),"")</f>
        <v/>
      </c>
      <c r="K169" s="80">
        <f>IFERROR(INDEX(打卡匯入!$D$3:$D$2002,MATCH($C169&amp;"|"&amp;DAY($A169),打卡匯入!$E$3:$E$2002,0)),"")</f>
        <v/>
      </c>
      <c r="L169" s="81">
        <f>IF(OR($J169="",$K169=""),"",IFERROR(INDEX(設定!$F$6:$F$18,MATCH($G169,設定!$B$6:$B$18,0)),0))</f>
        <v/>
      </c>
      <c r="M169" s="82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1">
        <f>IF(OR($C169="",$H169="",$J169=""),0,IF(ROUND(($J169-$H169)*1440,0)&gt;設定!$C$42,ROUND(($J169-$H169)*1440,0),0))</f>
        <v/>
      </c>
      <c r="P169" s="81">
        <f>IF(OR($C169="",$I169="",$K169=""),0,IF(ROUND(($I169-$K169)*1440,0)&gt;設定!$C$42,ROUND(($I169-$K169)*1440,0),0))</f>
        <v/>
      </c>
      <c r="Q169" s="82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79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0">
        <f>IF($G170="","",IFERROR(INDEX(設定!$D$6:$D$18,MATCH($G170,設定!$B$6:$B$18,0)),""))</f>
        <v/>
      </c>
      <c r="I170" s="80">
        <f>IF($G170="","",IFERROR(INDEX(設定!$E$6:$E$18,MATCH($G170,設定!$B$6:$B$18,0)),""))</f>
        <v/>
      </c>
      <c r="J170" s="80">
        <f>IFERROR(INDEX(打卡匯入!$C$3:$C$2002,MATCH($C170&amp;"|"&amp;DAY($A170),打卡匯入!$E$3:$E$2002,0)),"")</f>
        <v/>
      </c>
      <c r="K170" s="80">
        <f>IFERROR(INDEX(打卡匯入!$D$3:$D$2002,MATCH($C170&amp;"|"&amp;DAY($A170),打卡匯入!$E$3:$E$2002,0)),"")</f>
        <v/>
      </c>
      <c r="L170" s="81">
        <f>IF(OR($J170="",$K170=""),"",IFERROR(INDEX(設定!$F$6:$F$18,MATCH($G170,設定!$B$6:$B$18,0)),0))</f>
        <v/>
      </c>
      <c r="M170" s="82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1">
        <f>IF(OR($C170="",$H170="",$J170=""),0,IF(ROUND(($J170-$H170)*1440,0)&gt;設定!$C$42,ROUND(($J170-$H170)*1440,0),0))</f>
        <v/>
      </c>
      <c r="P170" s="81">
        <f>IF(OR($C170="",$I170="",$K170=""),0,IF(ROUND(($I170-$K170)*1440,0)&gt;設定!$C$42,ROUND(($I170-$K170)*1440,0),0))</f>
        <v/>
      </c>
      <c r="Q170" s="82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79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0">
        <f>IF($G171="","",IFERROR(INDEX(設定!$D$6:$D$18,MATCH($G171,設定!$B$6:$B$18,0)),""))</f>
        <v/>
      </c>
      <c r="I171" s="80">
        <f>IF($G171="","",IFERROR(INDEX(設定!$E$6:$E$18,MATCH($G171,設定!$B$6:$B$18,0)),""))</f>
        <v/>
      </c>
      <c r="J171" s="80">
        <f>IFERROR(INDEX(打卡匯入!$C$3:$C$2002,MATCH($C171&amp;"|"&amp;DAY($A171),打卡匯入!$E$3:$E$2002,0)),"")</f>
        <v/>
      </c>
      <c r="K171" s="80">
        <f>IFERROR(INDEX(打卡匯入!$D$3:$D$2002,MATCH($C171&amp;"|"&amp;DAY($A171),打卡匯入!$E$3:$E$2002,0)),"")</f>
        <v/>
      </c>
      <c r="L171" s="81">
        <f>IF(OR($J171="",$K171=""),"",IFERROR(INDEX(設定!$F$6:$F$18,MATCH($G171,設定!$B$6:$B$18,0)),0))</f>
        <v/>
      </c>
      <c r="M171" s="82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1">
        <f>IF(OR($C171="",$H171="",$J171=""),0,IF(ROUND(($J171-$H171)*1440,0)&gt;設定!$C$42,ROUND(($J171-$H171)*1440,0),0))</f>
        <v/>
      </c>
      <c r="P171" s="81">
        <f>IF(OR($C171="",$I171="",$K171=""),0,IF(ROUND(($I171-$K171)*1440,0)&gt;設定!$C$42,ROUND(($I171-$K171)*1440,0),0))</f>
        <v/>
      </c>
      <c r="Q171" s="82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79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0">
        <f>IF($G172="","",IFERROR(INDEX(設定!$D$6:$D$18,MATCH($G172,設定!$B$6:$B$18,0)),""))</f>
        <v/>
      </c>
      <c r="I172" s="80">
        <f>IF($G172="","",IFERROR(INDEX(設定!$E$6:$E$18,MATCH($G172,設定!$B$6:$B$18,0)),""))</f>
        <v/>
      </c>
      <c r="J172" s="80">
        <f>IFERROR(INDEX(打卡匯入!$C$3:$C$2002,MATCH($C172&amp;"|"&amp;DAY($A172),打卡匯入!$E$3:$E$2002,0)),"")</f>
        <v/>
      </c>
      <c r="K172" s="80">
        <f>IFERROR(INDEX(打卡匯入!$D$3:$D$2002,MATCH($C172&amp;"|"&amp;DAY($A172),打卡匯入!$E$3:$E$2002,0)),"")</f>
        <v/>
      </c>
      <c r="L172" s="81">
        <f>IF(OR($J172="",$K172=""),"",IFERROR(INDEX(設定!$F$6:$F$18,MATCH($G172,設定!$B$6:$B$18,0)),0))</f>
        <v/>
      </c>
      <c r="M172" s="82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1">
        <f>IF(OR($C172="",$H172="",$J172=""),0,IF(ROUND(($J172-$H172)*1440,0)&gt;設定!$C$42,ROUND(($J172-$H172)*1440,0),0))</f>
        <v/>
      </c>
      <c r="P172" s="81">
        <f>IF(OR($C172="",$I172="",$K172=""),0,IF(ROUND(($I172-$K172)*1440,0)&gt;設定!$C$42,ROUND(($I172-$K172)*1440,0),0))</f>
        <v/>
      </c>
      <c r="Q172" s="82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79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0">
        <f>IF($G173="","",IFERROR(INDEX(設定!$D$6:$D$18,MATCH($G173,設定!$B$6:$B$18,0)),""))</f>
        <v/>
      </c>
      <c r="I173" s="80">
        <f>IF($G173="","",IFERROR(INDEX(設定!$E$6:$E$18,MATCH($G173,設定!$B$6:$B$18,0)),""))</f>
        <v/>
      </c>
      <c r="J173" s="80">
        <f>IFERROR(INDEX(打卡匯入!$C$3:$C$2002,MATCH($C173&amp;"|"&amp;DAY($A173),打卡匯入!$E$3:$E$2002,0)),"")</f>
        <v/>
      </c>
      <c r="K173" s="80">
        <f>IFERROR(INDEX(打卡匯入!$D$3:$D$2002,MATCH($C173&amp;"|"&amp;DAY($A173),打卡匯入!$E$3:$E$2002,0)),"")</f>
        <v/>
      </c>
      <c r="L173" s="81">
        <f>IF(OR($J173="",$K173=""),"",IFERROR(INDEX(設定!$F$6:$F$18,MATCH($G173,設定!$B$6:$B$18,0)),0))</f>
        <v/>
      </c>
      <c r="M173" s="82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1">
        <f>IF(OR($C173="",$H173="",$J173=""),0,IF(ROUND(($J173-$H173)*1440,0)&gt;設定!$C$42,ROUND(($J173-$H173)*1440,0),0))</f>
        <v/>
      </c>
      <c r="P173" s="81">
        <f>IF(OR($C173="",$I173="",$K173=""),0,IF(ROUND(($I173-$K173)*1440,0)&gt;設定!$C$42,ROUND(($I173-$K173)*1440,0),0))</f>
        <v/>
      </c>
      <c r="Q173" s="82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79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0">
        <f>IF($G174="","",IFERROR(INDEX(設定!$D$6:$D$18,MATCH($G174,設定!$B$6:$B$18,0)),""))</f>
        <v/>
      </c>
      <c r="I174" s="80">
        <f>IF($G174="","",IFERROR(INDEX(設定!$E$6:$E$18,MATCH($G174,設定!$B$6:$B$18,0)),""))</f>
        <v/>
      </c>
      <c r="J174" s="80">
        <f>IFERROR(INDEX(打卡匯入!$C$3:$C$2002,MATCH($C174&amp;"|"&amp;DAY($A174),打卡匯入!$E$3:$E$2002,0)),"")</f>
        <v/>
      </c>
      <c r="K174" s="80">
        <f>IFERROR(INDEX(打卡匯入!$D$3:$D$2002,MATCH($C174&amp;"|"&amp;DAY($A174),打卡匯入!$E$3:$E$2002,0)),"")</f>
        <v/>
      </c>
      <c r="L174" s="81">
        <f>IF(OR($J174="",$K174=""),"",IFERROR(INDEX(設定!$F$6:$F$18,MATCH($G174,設定!$B$6:$B$18,0)),0))</f>
        <v/>
      </c>
      <c r="M174" s="82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1">
        <f>IF(OR($C174="",$H174="",$J174=""),0,IF(ROUND(($J174-$H174)*1440,0)&gt;設定!$C$42,ROUND(($J174-$H174)*1440,0),0))</f>
        <v/>
      </c>
      <c r="P174" s="81">
        <f>IF(OR($C174="",$I174="",$K174=""),0,IF(ROUND(($I174-$K174)*1440,0)&gt;設定!$C$42,ROUND(($I174-$K174)*1440,0),0))</f>
        <v/>
      </c>
      <c r="Q174" s="82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79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0">
        <f>IF($G175="","",IFERROR(INDEX(設定!$D$6:$D$18,MATCH($G175,設定!$B$6:$B$18,0)),""))</f>
        <v/>
      </c>
      <c r="I175" s="80">
        <f>IF($G175="","",IFERROR(INDEX(設定!$E$6:$E$18,MATCH($G175,設定!$B$6:$B$18,0)),""))</f>
        <v/>
      </c>
      <c r="J175" s="80">
        <f>IFERROR(INDEX(打卡匯入!$C$3:$C$2002,MATCH($C175&amp;"|"&amp;DAY($A175),打卡匯入!$E$3:$E$2002,0)),"")</f>
        <v/>
      </c>
      <c r="K175" s="80">
        <f>IFERROR(INDEX(打卡匯入!$D$3:$D$2002,MATCH($C175&amp;"|"&amp;DAY($A175),打卡匯入!$E$3:$E$2002,0)),"")</f>
        <v/>
      </c>
      <c r="L175" s="81">
        <f>IF(OR($J175="",$K175=""),"",IFERROR(INDEX(設定!$F$6:$F$18,MATCH($G175,設定!$B$6:$B$18,0)),0))</f>
        <v/>
      </c>
      <c r="M175" s="82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1">
        <f>IF(OR($C175="",$H175="",$J175=""),0,IF(ROUND(($J175-$H175)*1440,0)&gt;設定!$C$42,ROUND(($J175-$H175)*1440,0),0))</f>
        <v/>
      </c>
      <c r="P175" s="81">
        <f>IF(OR($C175="",$I175="",$K175=""),0,IF(ROUND(($I175-$K175)*1440,0)&gt;設定!$C$42,ROUND(($I175-$K175)*1440,0),0))</f>
        <v/>
      </c>
      <c r="Q175" s="82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79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0">
        <f>IF($G176="","",IFERROR(INDEX(設定!$D$6:$D$18,MATCH($G176,設定!$B$6:$B$18,0)),""))</f>
        <v/>
      </c>
      <c r="I176" s="80">
        <f>IF($G176="","",IFERROR(INDEX(設定!$E$6:$E$18,MATCH($G176,設定!$B$6:$B$18,0)),""))</f>
        <v/>
      </c>
      <c r="J176" s="80">
        <f>IFERROR(INDEX(打卡匯入!$C$3:$C$2002,MATCH($C176&amp;"|"&amp;DAY($A176),打卡匯入!$E$3:$E$2002,0)),"")</f>
        <v/>
      </c>
      <c r="K176" s="80">
        <f>IFERROR(INDEX(打卡匯入!$D$3:$D$2002,MATCH($C176&amp;"|"&amp;DAY($A176),打卡匯入!$E$3:$E$2002,0)),"")</f>
        <v/>
      </c>
      <c r="L176" s="81">
        <f>IF(OR($J176="",$K176=""),"",IFERROR(INDEX(設定!$F$6:$F$18,MATCH($G176,設定!$B$6:$B$18,0)),0))</f>
        <v/>
      </c>
      <c r="M176" s="82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1">
        <f>IF(OR($C176="",$H176="",$J176=""),0,IF(ROUND(($J176-$H176)*1440,0)&gt;設定!$C$42,ROUND(($J176-$H176)*1440,0),0))</f>
        <v/>
      </c>
      <c r="P176" s="81">
        <f>IF(OR($C176="",$I176="",$K176=""),0,IF(ROUND(($I176-$K176)*1440,0)&gt;設定!$C$42,ROUND(($I176-$K176)*1440,0),0))</f>
        <v/>
      </c>
      <c r="Q176" s="82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79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0">
        <f>IF($G177="","",IFERROR(INDEX(設定!$D$6:$D$18,MATCH($G177,設定!$B$6:$B$18,0)),""))</f>
        <v/>
      </c>
      <c r="I177" s="80">
        <f>IF($G177="","",IFERROR(INDEX(設定!$E$6:$E$18,MATCH($G177,設定!$B$6:$B$18,0)),""))</f>
        <v/>
      </c>
      <c r="J177" s="80">
        <f>IFERROR(INDEX(打卡匯入!$C$3:$C$2002,MATCH($C177&amp;"|"&amp;DAY($A177),打卡匯入!$E$3:$E$2002,0)),"")</f>
        <v/>
      </c>
      <c r="K177" s="80">
        <f>IFERROR(INDEX(打卡匯入!$D$3:$D$2002,MATCH($C177&amp;"|"&amp;DAY($A177),打卡匯入!$E$3:$E$2002,0)),"")</f>
        <v/>
      </c>
      <c r="L177" s="81">
        <f>IF(OR($J177="",$K177=""),"",IFERROR(INDEX(設定!$F$6:$F$18,MATCH($G177,設定!$B$6:$B$18,0)),0))</f>
        <v/>
      </c>
      <c r="M177" s="82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1">
        <f>IF(OR($C177="",$H177="",$J177=""),0,IF(ROUND(($J177-$H177)*1440,0)&gt;設定!$C$42,ROUND(($J177-$H177)*1440,0),0))</f>
        <v/>
      </c>
      <c r="P177" s="81">
        <f>IF(OR($C177="",$I177="",$K177=""),0,IF(ROUND(($I177-$K177)*1440,0)&gt;設定!$C$42,ROUND(($I177-$K177)*1440,0),0))</f>
        <v/>
      </c>
      <c r="Q177" s="82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79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0">
        <f>IF($G178="","",IFERROR(INDEX(設定!$D$6:$D$18,MATCH($G178,設定!$B$6:$B$18,0)),""))</f>
        <v/>
      </c>
      <c r="I178" s="80">
        <f>IF($G178="","",IFERROR(INDEX(設定!$E$6:$E$18,MATCH($G178,設定!$B$6:$B$18,0)),""))</f>
        <v/>
      </c>
      <c r="J178" s="80">
        <f>IFERROR(INDEX(打卡匯入!$C$3:$C$2002,MATCH($C178&amp;"|"&amp;DAY($A178),打卡匯入!$E$3:$E$2002,0)),"")</f>
        <v/>
      </c>
      <c r="K178" s="80">
        <f>IFERROR(INDEX(打卡匯入!$D$3:$D$2002,MATCH($C178&amp;"|"&amp;DAY($A178),打卡匯入!$E$3:$E$2002,0)),"")</f>
        <v/>
      </c>
      <c r="L178" s="81">
        <f>IF(OR($J178="",$K178=""),"",IFERROR(INDEX(設定!$F$6:$F$18,MATCH($G178,設定!$B$6:$B$18,0)),0))</f>
        <v/>
      </c>
      <c r="M178" s="82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1">
        <f>IF(OR($C178="",$H178="",$J178=""),0,IF(ROUND(($J178-$H178)*1440,0)&gt;設定!$C$42,ROUND(($J178-$H178)*1440,0),0))</f>
        <v/>
      </c>
      <c r="P178" s="81">
        <f>IF(OR($C178="",$I178="",$K178=""),0,IF(ROUND(($I178-$K178)*1440,0)&gt;設定!$C$42,ROUND(($I178-$K178)*1440,0),0))</f>
        <v/>
      </c>
      <c r="Q178" s="82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79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0">
        <f>IF($G179="","",IFERROR(INDEX(設定!$D$6:$D$18,MATCH($G179,設定!$B$6:$B$18,0)),""))</f>
        <v/>
      </c>
      <c r="I179" s="80">
        <f>IF($G179="","",IFERROR(INDEX(設定!$E$6:$E$18,MATCH($G179,設定!$B$6:$B$18,0)),""))</f>
        <v/>
      </c>
      <c r="J179" s="80">
        <f>IFERROR(INDEX(打卡匯入!$C$3:$C$2002,MATCH($C179&amp;"|"&amp;DAY($A179),打卡匯入!$E$3:$E$2002,0)),"")</f>
        <v/>
      </c>
      <c r="K179" s="80">
        <f>IFERROR(INDEX(打卡匯入!$D$3:$D$2002,MATCH($C179&amp;"|"&amp;DAY($A179),打卡匯入!$E$3:$E$2002,0)),"")</f>
        <v/>
      </c>
      <c r="L179" s="81">
        <f>IF(OR($J179="",$K179=""),"",IFERROR(INDEX(設定!$F$6:$F$18,MATCH($G179,設定!$B$6:$B$18,0)),0))</f>
        <v/>
      </c>
      <c r="M179" s="82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1">
        <f>IF(OR($C179="",$H179="",$J179=""),0,IF(ROUND(($J179-$H179)*1440,0)&gt;設定!$C$42,ROUND(($J179-$H179)*1440,0),0))</f>
        <v/>
      </c>
      <c r="P179" s="81">
        <f>IF(OR($C179="",$I179="",$K179=""),0,IF(ROUND(($I179-$K179)*1440,0)&gt;設定!$C$42,ROUND(($I179-$K179)*1440,0),0))</f>
        <v/>
      </c>
      <c r="Q179" s="82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79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0">
        <f>IF($G180="","",IFERROR(INDEX(設定!$D$6:$D$18,MATCH($G180,設定!$B$6:$B$18,0)),""))</f>
        <v/>
      </c>
      <c r="I180" s="80">
        <f>IF($G180="","",IFERROR(INDEX(設定!$E$6:$E$18,MATCH($G180,設定!$B$6:$B$18,0)),""))</f>
        <v/>
      </c>
      <c r="J180" s="80">
        <f>IFERROR(INDEX(打卡匯入!$C$3:$C$2002,MATCH($C180&amp;"|"&amp;DAY($A180),打卡匯入!$E$3:$E$2002,0)),"")</f>
        <v/>
      </c>
      <c r="K180" s="80">
        <f>IFERROR(INDEX(打卡匯入!$D$3:$D$2002,MATCH($C180&amp;"|"&amp;DAY($A180),打卡匯入!$E$3:$E$2002,0)),"")</f>
        <v/>
      </c>
      <c r="L180" s="81">
        <f>IF(OR($J180="",$K180=""),"",IFERROR(INDEX(設定!$F$6:$F$18,MATCH($G180,設定!$B$6:$B$18,0)),0))</f>
        <v/>
      </c>
      <c r="M180" s="82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1">
        <f>IF(OR($C180="",$H180="",$J180=""),0,IF(ROUND(($J180-$H180)*1440,0)&gt;設定!$C$42,ROUND(($J180-$H180)*1440,0),0))</f>
        <v/>
      </c>
      <c r="P180" s="81">
        <f>IF(OR($C180="",$I180="",$K180=""),0,IF(ROUND(($I180-$K180)*1440,0)&gt;設定!$C$42,ROUND(($I180-$K180)*1440,0),0))</f>
        <v/>
      </c>
      <c r="Q180" s="82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79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0">
        <f>IF($G181="","",IFERROR(INDEX(設定!$D$6:$D$18,MATCH($G181,設定!$B$6:$B$18,0)),""))</f>
        <v/>
      </c>
      <c r="I181" s="80">
        <f>IF($G181="","",IFERROR(INDEX(設定!$E$6:$E$18,MATCH($G181,設定!$B$6:$B$18,0)),""))</f>
        <v/>
      </c>
      <c r="J181" s="80">
        <f>IFERROR(INDEX(打卡匯入!$C$3:$C$2002,MATCH($C181&amp;"|"&amp;DAY($A181),打卡匯入!$E$3:$E$2002,0)),"")</f>
        <v/>
      </c>
      <c r="K181" s="80">
        <f>IFERROR(INDEX(打卡匯入!$D$3:$D$2002,MATCH($C181&amp;"|"&amp;DAY($A181),打卡匯入!$E$3:$E$2002,0)),"")</f>
        <v/>
      </c>
      <c r="L181" s="81">
        <f>IF(OR($J181="",$K181=""),"",IFERROR(INDEX(設定!$F$6:$F$18,MATCH($G181,設定!$B$6:$B$18,0)),0))</f>
        <v/>
      </c>
      <c r="M181" s="82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1">
        <f>IF(OR($C181="",$H181="",$J181=""),0,IF(ROUND(($J181-$H181)*1440,0)&gt;設定!$C$42,ROUND(($J181-$H181)*1440,0),0))</f>
        <v/>
      </c>
      <c r="P181" s="81">
        <f>IF(OR($C181="",$I181="",$K181=""),0,IF(ROUND(($I181-$K181)*1440,0)&gt;設定!$C$42,ROUND(($I181-$K181)*1440,0),0))</f>
        <v/>
      </c>
      <c r="Q181" s="82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79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0">
        <f>IF($G182="","",IFERROR(INDEX(設定!$D$6:$D$18,MATCH($G182,設定!$B$6:$B$18,0)),""))</f>
        <v/>
      </c>
      <c r="I182" s="80">
        <f>IF($G182="","",IFERROR(INDEX(設定!$E$6:$E$18,MATCH($G182,設定!$B$6:$B$18,0)),""))</f>
        <v/>
      </c>
      <c r="J182" s="80">
        <f>IFERROR(INDEX(打卡匯入!$C$3:$C$2002,MATCH($C182&amp;"|"&amp;DAY($A182),打卡匯入!$E$3:$E$2002,0)),"")</f>
        <v/>
      </c>
      <c r="K182" s="80">
        <f>IFERROR(INDEX(打卡匯入!$D$3:$D$2002,MATCH($C182&amp;"|"&amp;DAY($A182),打卡匯入!$E$3:$E$2002,0)),"")</f>
        <v/>
      </c>
      <c r="L182" s="81">
        <f>IF(OR($J182="",$K182=""),"",IFERROR(INDEX(設定!$F$6:$F$18,MATCH($G182,設定!$B$6:$B$18,0)),0))</f>
        <v/>
      </c>
      <c r="M182" s="82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1">
        <f>IF(OR($C182="",$H182="",$J182=""),0,IF(ROUND(($J182-$H182)*1440,0)&gt;設定!$C$42,ROUND(($J182-$H182)*1440,0),0))</f>
        <v/>
      </c>
      <c r="P182" s="81">
        <f>IF(OR($C182="",$I182="",$K182=""),0,IF(ROUND(($I182-$K182)*1440,0)&gt;設定!$C$42,ROUND(($I182-$K182)*1440,0),0))</f>
        <v/>
      </c>
      <c r="Q182" s="82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79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0">
        <f>IF($G183="","",IFERROR(INDEX(設定!$D$6:$D$18,MATCH($G183,設定!$B$6:$B$18,0)),""))</f>
        <v/>
      </c>
      <c r="I183" s="80">
        <f>IF($G183="","",IFERROR(INDEX(設定!$E$6:$E$18,MATCH($G183,設定!$B$6:$B$18,0)),""))</f>
        <v/>
      </c>
      <c r="J183" s="80">
        <f>IFERROR(INDEX(打卡匯入!$C$3:$C$2002,MATCH($C183&amp;"|"&amp;DAY($A183),打卡匯入!$E$3:$E$2002,0)),"")</f>
        <v/>
      </c>
      <c r="K183" s="80">
        <f>IFERROR(INDEX(打卡匯入!$D$3:$D$2002,MATCH($C183&amp;"|"&amp;DAY($A183),打卡匯入!$E$3:$E$2002,0)),"")</f>
        <v/>
      </c>
      <c r="L183" s="81">
        <f>IF(OR($J183="",$K183=""),"",IFERROR(INDEX(設定!$F$6:$F$18,MATCH($G183,設定!$B$6:$B$18,0)),0))</f>
        <v/>
      </c>
      <c r="M183" s="82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1">
        <f>IF(OR($C183="",$H183="",$J183=""),0,IF(ROUND(($J183-$H183)*1440,0)&gt;設定!$C$42,ROUND(($J183-$H183)*1440,0),0))</f>
        <v/>
      </c>
      <c r="P183" s="81">
        <f>IF(OR($C183="",$I183="",$K183=""),0,IF(ROUND(($I183-$K183)*1440,0)&gt;設定!$C$42,ROUND(($I183-$K183)*1440,0),0))</f>
        <v/>
      </c>
      <c r="Q183" s="82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79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0">
        <f>IF($G184="","",IFERROR(INDEX(設定!$D$6:$D$18,MATCH($G184,設定!$B$6:$B$18,0)),""))</f>
        <v/>
      </c>
      <c r="I184" s="80">
        <f>IF($G184="","",IFERROR(INDEX(設定!$E$6:$E$18,MATCH($G184,設定!$B$6:$B$18,0)),""))</f>
        <v/>
      </c>
      <c r="J184" s="80">
        <f>IFERROR(INDEX(打卡匯入!$C$3:$C$2002,MATCH($C184&amp;"|"&amp;DAY($A184),打卡匯入!$E$3:$E$2002,0)),"")</f>
        <v/>
      </c>
      <c r="K184" s="80">
        <f>IFERROR(INDEX(打卡匯入!$D$3:$D$2002,MATCH($C184&amp;"|"&amp;DAY($A184),打卡匯入!$E$3:$E$2002,0)),"")</f>
        <v/>
      </c>
      <c r="L184" s="81">
        <f>IF(OR($J184="",$K184=""),"",IFERROR(INDEX(設定!$F$6:$F$18,MATCH($G184,設定!$B$6:$B$18,0)),0))</f>
        <v/>
      </c>
      <c r="M184" s="82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1">
        <f>IF(OR($C184="",$H184="",$J184=""),0,IF(ROUND(($J184-$H184)*1440,0)&gt;設定!$C$42,ROUND(($J184-$H184)*1440,0),0))</f>
        <v/>
      </c>
      <c r="P184" s="81">
        <f>IF(OR($C184="",$I184="",$K184=""),0,IF(ROUND(($I184-$K184)*1440,0)&gt;設定!$C$42,ROUND(($I184-$K184)*1440,0),0))</f>
        <v/>
      </c>
      <c r="Q184" s="82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79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0">
        <f>IF($G185="","",IFERROR(INDEX(設定!$D$6:$D$18,MATCH($G185,設定!$B$6:$B$18,0)),""))</f>
        <v/>
      </c>
      <c r="I185" s="80">
        <f>IF($G185="","",IFERROR(INDEX(設定!$E$6:$E$18,MATCH($G185,設定!$B$6:$B$18,0)),""))</f>
        <v/>
      </c>
      <c r="J185" s="80">
        <f>IFERROR(INDEX(打卡匯入!$C$3:$C$2002,MATCH($C185&amp;"|"&amp;DAY($A185),打卡匯入!$E$3:$E$2002,0)),"")</f>
        <v/>
      </c>
      <c r="K185" s="80">
        <f>IFERROR(INDEX(打卡匯入!$D$3:$D$2002,MATCH($C185&amp;"|"&amp;DAY($A185),打卡匯入!$E$3:$E$2002,0)),"")</f>
        <v/>
      </c>
      <c r="L185" s="81">
        <f>IF(OR($J185="",$K185=""),"",IFERROR(INDEX(設定!$F$6:$F$18,MATCH($G185,設定!$B$6:$B$18,0)),0))</f>
        <v/>
      </c>
      <c r="M185" s="82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1">
        <f>IF(OR($C185="",$H185="",$J185=""),0,IF(ROUND(($J185-$H185)*1440,0)&gt;設定!$C$42,ROUND(($J185-$H185)*1440,0),0))</f>
        <v/>
      </c>
      <c r="P185" s="81">
        <f>IF(OR($C185="",$I185="",$K185=""),0,IF(ROUND(($I185-$K185)*1440,0)&gt;設定!$C$42,ROUND(($I185-$K185)*1440,0),0))</f>
        <v/>
      </c>
      <c r="Q185" s="82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79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0">
        <f>IF($G186="","",IFERROR(INDEX(設定!$D$6:$D$18,MATCH($G186,設定!$B$6:$B$18,0)),""))</f>
        <v/>
      </c>
      <c r="I186" s="80">
        <f>IF($G186="","",IFERROR(INDEX(設定!$E$6:$E$18,MATCH($G186,設定!$B$6:$B$18,0)),""))</f>
        <v/>
      </c>
      <c r="J186" s="80">
        <f>IFERROR(INDEX(打卡匯入!$C$3:$C$2002,MATCH($C186&amp;"|"&amp;DAY($A186),打卡匯入!$E$3:$E$2002,0)),"")</f>
        <v/>
      </c>
      <c r="K186" s="80">
        <f>IFERROR(INDEX(打卡匯入!$D$3:$D$2002,MATCH($C186&amp;"|"&amp;DAY($A186),打卡匯入!$E$3:$E$2002,0)),"")</f>
        <v/>
      </c>
      <c r="L186" s="81">
        <f>IF(OR($J186="",$K186=""),"",IFERROR(INDEX(設定!$F$6:$F$18,MATCH($G186,設定!$B$6:$B$18,0)),0))</f>
        <v/>
      </c>
      <c r="M186" s="82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1">
        <f>IF(OR($C186="",$H186="",$J186=""),0,IF(ROUND(($J186-$H186)*1440,0)&gt;設定!$C$42,ROUND(($J186-$H186)*1440,0),0))</f>
        <v/>
      </c>
      <c r="P186" s="81">
        <f>IF(OR($C186="",$I186="",$K186=""),0,IF(ROUND(($I186-$K186)*1440,0)&gt;設定!$C$42,ROUND(($I186-$K186)*1440,0),0))</f>
        <v/>
      </c>
      <c r="Q186" s="82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79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0">
        <f>IF($G187="","",IFERROR(INDEX(設定!$D$6:$D$18,MATCH($G187,設定!$B$6:$B$18,0)),""))</f>
        <v/>
      </c>
      <c r="I187" s="80">
        <f>IF($G187="","",IFERROR(INDEX(設定!$E$6:$E$18,MATCH($G187,設定!$B$6:$B$18,0)),""))</f>
        <v/>
      </c>
      <c r="J187" s="80">
        <f>IFERROR(INDEX(打卡匯入!$C$3:$C$2002,MATCH($C187&amp;"|"&amp;DAY($A187),打卡匯入!$E$3:$E$2002,0)),"")</f>
        <v/>
      </c>
      <c r="K187" s="80">
        <f>IFERROR(INDEX(打卡匯入!$D$3:$D$2002,MATCH($C187&amp;"|"&amp;DAY($A187),打卡匯入!$E$3:$E$2002,0)),"")</f>
        <v/>
      </c>
      <c r="L187" s="81">
        <f>IF(OR($J187="",$K187=""),"",IFERROR(INDEX(設定!$F$6:$F$18,MATCH($G187,設定!$B$6:$B$18,0)),0))</f>
        <v/>
      </c>
      <c r="M187" s="82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1">
        <f>IF(OR($C187="",$H187="",$J187=""),0,IF(ROUND(($J187-$H187)*1440,0)&gt;設定!$C$42,ROUND(($J187-$H187)*1440,0),0))</f>
        <v/>
      </c>
      <c r="P187" s="81">
        <f>IF(OR($C187="",$I187="",$K187=""),0,IF(ROUND(($I187-$K187)*1440,0)&gt;設定!$C$42,ROUND(($I187-$K187)*1440,0),0))</f>
        <v/>
      </c>
      <c r="Q187" s="82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79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0">
        <f>IF($G188="","",IFERROR(INDEX(設定!$D$6:$D$18,MATCH($G188,設定!$B$6:$B$18,0)),""))</f>
        <v/>
      </c>
      <c r="I188" s="80">
        <f>IF($G188="","",IFERROR(INDEX(設定!$E$6:$E$18,MATCH($G188,設定!$B$6:$B$18,0)),""))</f>
        <v/>
      </c>
      <c r="J188" s="80">
        <f>IFERROR(INDEX(打卡匯入!$C$3:$C$2002,MATCH($C188&amp;"|"&amp;DAY($A188),打卡匯入!$E$3:$E$2002,0)),"")</f>
        <v/>
      </c>
      <c r="K188" s="80">
        <f>IFERROR(INDEX(打卡匯入!$D$3:$D$2002,MATCH($C188&amp;"|"&amp;DAY($A188),打卡匯入!$E$3:$E$2002,0)),"")</f>
        <v/>
      </c>
      <c r="L188" s="81">
        <f>IF(OR($J188="",$K188=""),"",IFERROR(INDEX(設定!$F$6:$F$18,MATCH($G188,設定!$B$6:$B$18,0)),0))</f>
        <v/>
      </c>
      <c r="M188" s="82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1">
        <f>IF(OR($C188="",$H188="",$J188=""),0,IF(ROUND(($J188-$H188)*1440,0)&gt;設定!$C$42,ROUND(($J188-$H188)*1440,0),0))</f>
        <v/>
      </c>
      <c r="P188" s="81">
        <f>IF(OR($C188="",$I188="",$K188=""),0,IF(ROUND(($I188-$K188)*1440,0)&gt;設定!$C$42,ROUND(($I188-$K188)*1440,0),0))</f>
        <v/>
      </c>
      <c r="Q188" s="82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79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0">
        <f>IF($G189="","",IFERROR(INDEX(設定!$D$6:$D$18,MATCH($G189,設定!$B$6:$B$18,0)),""))</f>
        <v/>
      </c>
      <c r="I189" s="80">
        <f>IF($G189="","",IFERROR(INDEX(設定!$E$6:$E$18,MATCH($G189,設定!$B$6:$B$18,0)),""))</f>
        <v/>
      </c>
      <c r="J189" s="80">
        <f>IFERROR(INDEX(打卡匯入!$C$3:$C$2002,MATCH($C189&amp;"|"&amp;DAY($A189),打卡匯入!$E$3:$E$2002,0)),"")</f>
        <v/>
      </c>
      <c r="K189" s="80">
        <f>IFERROR(INDEX(打卡匯入!$D$3:$D$2002,MATCH($C189&amp;"|"&amp;DAY($A189),打卡匯入!$E$3:$E$2002,0)),"")</f>
        <v/>
      </c>
      <c r="L189" s="81">
        <f>IF(OR($J189="",$K189=""),"",IFERROR(INDEX(設定!$F$6:$F$18,MATCH($G189,設定!$B$6:$B$18,0)),0))</f>
        <v/>
      </c>
      <c r="M189" s="82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1">
        <f>IF(OR($C189="",$H189="",$J189=""),0,IF(ROUND(($J189-$H189)*1440,0)&gt;設定!$C$42,ROUND(($J189-$H189)*1440,0),0))</f>
        <v/>
      </c>
      <c r="P189" s="81">
        <f>IF(OR($C189="",$I189="",$K189=""),0,IF(ROUND(($I189-$K189)*1440,0)&gt;設定!$C$42,ROUND(($I189-$K189)*1440,0),0))</f>
        <v/>
      </c>
      <c r="Q189" s="82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79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0">
        <f>IF($G190="","",IFERROR(INDEX(設定!$D$6:$D$18,MATCH($G190,設定!$B$6:$B$18,0)),""))</f>
        <v/>
      </c>
      <c r="I190" s="80">
        <f>IF($G190="","",IFERROR(INDEX(設定!$E$6:$E$18,MATCH($G190,設定!$B$6:$B$18,0)),""))</f>
        <v/>
      </c>
      <c r="J190" s="80">
        <f>IFERROR(INDEX(打卡匯入!$C$3:$C$2002,MATCH($C190&amp;"|"&amp;DAY($A190),打卡匯入!$E$3:$E$2002,0)),"")</f>
        <v/>
      </c>
      <c r="K190" s="80">
        <f>IFERROR(INDEX(打卡匯入!$D$3:$D$2002,MATCH($C190&amp;"|"&amp;DAY($A190),打卡匯入!$E$3:$E$2002,0)),"")</f>
        <v/>
      </c>
      <c r="L190" s="81">
        <f>IF(OR($J190="",$K190=""),"",IFERROR(INDEX(設定!$F$6:$F$18,MATCH($G190,設定!$B$6:$B$18,0)),0))</f>
        <v/>
      </c>
      <c r="M190" s="82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1">
        <f>IF(OR($C190="",$H190="",$J190=""),0,IF(ROUND(($J190-$H190)*1440,0)&gt;設定!$C$42,ROUND(($J190-$H190)*1440,0),0))</f>
        <v/>
      </c>
      <c r="P190" s="81">
        <f>IF(OR($C190="",$I190="",$K190=""),0,IF(ROUND(($I190-$K190)*1440,0)&gt;設定!$C$42,ROUND(($I190-$K190)*1440,0),0))</f>
        <v/>
      </c>
      <c r="Q190" s="82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79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0">
        <f>IF($G191="","",IFERROR(INDEX(設定!$D$6:$D$18,MATCH($G191,設定!$B$6:$B$18,0)),""))</f>
        <v/>
      </c>
      <c r="I191" s="80">
        <f>IF($G191="","",IFERROR(INDEX(設定!$E$6:$E$18,MATCH($G191,設定!$B$6:$B$18,0)),""))</f>
        <v/>
      </c>
      <c r="J191" s="80">
        <f>IFERROR(INDEX(打卡匯入!$C$3:$C$2002,MATCH($C191&amp;"|"&amp;DAY($A191),打卡匯入!$E$3:$E$2002,0)),"")</f>
        <v/>
      </c>
      <c r="K191" s="80">
        <f>IFERROR(INDEX(打卡匯入!$D$3:$D$2002,MATCH($C191&amp;"|"&amp;DAY($A191),打卡匯入!$E$3:$E$2002,0)),"")</f>
        <v/>
      </c>
      <c r="L191" s="81">
        <f>IF(OR($J191="",$K191=""),"",IFERROR(INDEX(設定!$F$6:$F$18,MATCH($G191,設定!$B$6:$B$18,0)),0))</f>
        <v/>
      </c>
      <c r="M191" s="82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1">
        <f>IF(OR($C191="",$H191="",$J191=""),0,IF(ROUND(($J191-$H191)*1440,0)&gt;設定!$C$42,ROUND(($J191-$H191)*1440,0),0))</f>
        <v/>
      </c>
      <c r="P191" s="81">
        <f>IF(OR($C191="",$I191="",$K191=""),0,IF(ROUND(($I191-$K191)*1440,0)&gt;設定!$C$42,ROUND(($I191-$K191)*1440,0),0))</f>
        <v/>
      </c>
      <c r="Q191" s="82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79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0">
        <f>IF($G192="","",IFERROR(INDEX(設定!$D$6:$D$18,MATCH($G192,設定!$B$6:$B$18,0)),""))</f>
        <v/>
      </c>
      <c r="I192" s="80">
        <f>IF($G192="","",IFERROR(INDEX(設定!$E$6:$E$18,MATCH($G192,設定!$B$6:$B$18,0)),""))</f>
        <v/>
      </c>
      <c r="J192" s="80">
        <f>IFERROR(INDEX(打卡匯入!$C$3:$C$2002,MATCH($C192&amp;"|"&amp;DAY($A192),打卡匯入!$E$3:$E$2002,0)),"")</f>
        <v/>
      </c>
      <c r="K192" s="80">
        <f>IFERROR(INDEX(打卡匯入!$D$3:$D$2002,MATCH($C192&amp;"|"&amp;DAY($A192),打卡匯入!$E$3:$E$2002,0)),"")</f>
        <v/>
      </c>
      <c r="L192" s="81">
        <f>IF(OR($J192="",$K192=""),"",IFERROR(INDEX(設定!$F$6:$F$18,MATCH($G192,設定!$B$6:$B$18,0)),0))</f>
        <v/>
      </c>
      <c r="M192" s="82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1">
        <f>IF(OR($C192="",$H192="",$J192=""),0,IF(ROUND(($J192-$H192)*1440,0)&gt;設定!$C$42,ROUND(($J192-$H192)*1440,0),0))</f>
        <v/>
      </c>
      <c r="P192" s="81">
        <f>IF(OR($C192="",$I192="",$K192=""),0,IF(ROUND(($I192-$K192)*1440,0)&gt;設定!$C$42,ROUND(($I192-$K192)*1440,0),0))</f>
        <v/>
      </c>
      <c r="Q192" s="82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79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0">
        <f>IF($G193="","",IFERROR(INDEX(設定!$D$6:$D$18,MATCH($G193,設定!$B$6:$B$18,0)),""))</f>
        <v/>
      </c>
      <c r="I193" s="80">
        <f>IF($G193="","",IFERROR(INDEX(設定!$E$6:$E$18,MATCH($G193,設定!$B$6:$B$18,0)),""))</f>
        <v/>
      </c>
      <c r="J193" s="80">
        <f>IFERROR(INDEX(打卡匯入!$C$3:$C$2002,MATCH($C193&amp;"|"&amp;DAY($A193),打卡匯入!$E$3:$E$2002,0)),"")</f>
        <v/>
      </c>
      <c r="K193" s="80">
        <f>IFERROR(INDEX(打卡匯入!$D$3:$D$2002,MATCH($C193&amp;"|"&amp;DAY($A193),打卡匯入!$E$3:$E$2002,0)),"")</f>
        <v/>
      </c>
      <c r="L193" s="81">
        <f>IF(OR($J193="",$K193=""),"",IFERROR(INDEX(設定!$F$6:$F$18,MATCH($G193,設定!$B$6:$B$18,0)),0))</f>
        <v/>
      </c>
      <c r="M193" s="82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1">
        <f>IF(OR($C193="",$H193="",$J193=""),0,IF(ROUND(($J193-$H193)*1440,0)&gt;設定!$C$42,ROUND(($J193-$H193)*1440,0),0))</f>
        <v/>
      </c>
      <c r="P193" s="81">
        <f>IF(OR($C193="",$I193="",$K193=""),0,IF(ROUND(($I193-$K193)*1440,0)&gt;設定!$C$42,ROUND(($I193-$K193)*1440,0),0))</f>
        <v/>
      </c>
      <c r="Q193" s="82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79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0">
        <f>IF($G194="","",IFERROR(INDEX(設定!$D$6:$D$18,MATCH($G194,設定!$B$6:$B$18,0)),""))</f>
        <v/>
      </c>
      <c r="I194" s="80">
        <f>IF($G194="","",IFERROR(INDEX(設定!$E$6:$E$18,MATCH($G194,設定!$B$6:$B$18,0)),""))</f>
        <v/>
      </c>
      <c r="J194" s="80">
        <f>IFERROR(INDEX(打卡匯入!$C$3:$C$2002,MATCH($C194&amp;"|"&amp;DAY($A194),打卡匯入!$E$3:$E$2002,0)),"")</f>
        <v/>
      </c>
      <c r="K194" s="80">
        <f>IFERROR(INDEX(打卡匯入!$D$3:$D$2002,MATCH($C194&amp;"|"&amp;DAY($A194),打卡匯入!$E$3:$E$2002,0)),"")</f>
        <v/>
      </c>
      <c r="L194" s="81">
        <f>IF(OR($J194="",$K194=""),"",IFERROR(INDEX(設定!$F$6:$F$18,MATCH($G194,設定!$B$6:$B$18,0)),0))</f>
        <v/>
      </c>
      <c r="M194" s="82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1">
        <f>IF(OR($C194="",$H194="",$J194=""),0,IF(ROUND(($J194-$H194)*1440,0)&gt;設定!$C$42,ROUND(($J194-$H194)*1440,0),0))</f>
        <v/>
      </c>
      <c r="P194" s="81">
        <f>IF(OR($C194="",$I194="",$K194=""),0,IF(ROUND(($I194-$K194)*1440,0)&gt;設定!$C$42,ROUND(($I194-$K194)*1440,0),0))</f>
        <v/>
      </c>
      <c r="Q194" s="82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79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0">
        <f>IF($G195="","",IFERROR(INDEX(設定!$D$6:$D$18,MATCH($G195,設定!$B$6:$B$18,0)),""))</f>
        <v/>
      </c>
      <c r="I195" s="80">
        <f>IF($G195="","",IFERROR(INDEX(設定!$E$6:$E$18,MATCH($G195,設定!$B$6:$B$18,0)),""))</f>
        <v/>
      </c>
      <c r="J195" s="80">
        <f>IFERROR(INDEX(打卡匯入!$C$3:$C$2002,MATCH($C195&amp;"|"&amp;DAY($A195),打卡匯入!$E$3:$E$2002,0)),"")</f>
        <v/>
      </c>
      <c r="K195" s="80">
        <f>IFERROR(INDEX(打卡匯入!$D$3:$D$2002,MATCH($C195&amp;"|"&amp;DAY($A195),打卡匯入!$E$3:$E$2002,0)),"")</f>
        <v/>
      </c>
      <c r="L195" s="81">
        <f>IF(OR($J195="",$K195=""),"",IFERROR(INDEX(設定!$F$6:$F$18,MATCH($G195,設定!$B$6:$B$18,0)),0))</f>
        <v/>
      </c>
      <c r="M195" s="82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1">
        <f>IF(OR($C195="",$H195="",$J195=""),0,IF(ROUND(($J195-$H195)*1440,0)&gt;設定!$C$42,ROUND(($J195-$H195)*1440,0),0))</f>
        <v/>
      </c>
      <c r="P195" s="81">
        <f>IF(OR($C195="",$I195="",$K195=""),0,IF(ROUND(($I195-$K195)*1440,0)&gt;設定!$C$42,ROUND(($I195-$K195)*1440,0),0))</f>
        <v/>
      </c>
      <c r="Q195" s="82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79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0">
        <f>IF($G196="","",IFERROR(INDEX(設定!$D$6:$D$18,MATCH($G196,設定!$B$6:$B$18,0)),""))</f>
        <v/>
      </c>
      <c r="I196" s="80">
        <f>IF($G196="","",IFERROR(INDEX(設定!$E$6:$E$18,MATCH($G196,設定!$B$6:$B$18,0)),""))</f>
        <v/>
      </c>
      <c r="J196" s="80">
        <f>IFERROR(INDEX(打卡匯入!$C$3:$C$2002,MATCH($C196&amp;"|"&amp;DAY($A196),打卡匯入!$E$3:$E$2002,0)),"")</f>
        <v/>
      </c>
      <c r="K196" s="80">
        <f>IFERROR(INDEX(打卡匯入!$D$3:$D$2002,MATCH($C196&amp;"|"&amp;DAY($A196),打卡匯入!$E$3:$E$2002,0)),"")</f>
        <v/>
      </c>
      <c r="L196" s="81">
        <f>IF(OR($J196="",$K196=""),"",IFERROR(INDEX(設定!$F$6:$F$18,MATCH($G196,設定!$B$6:$B$18,0)),0))</f>
        <v/>
      </c>
      <c r="M196" s="82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1">
        <f>IF(OR($C196="",$H196="",$J196=""),0,IF(ROUND(($J196-$H196)*1440,0)&gt;設定!$C$42,ROUND(($J196-$H196)*1440,0),0))</f>
        <v/>
      </c>
      <c r="P196" s="81">
        <f>IF(OR($C196="",$I196="",$K196=""),0,IF(ROUND(($I196-$K196)*1440,0)&gt;設定!$C$42,ROUND(($I196-$K196)*1440,0),0))</f>
        <v/>
      </c>
      <c r="Q196" s="82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79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0">
        <f>IF($G197="","",IFERROR(INDEX(設定!$D$6:$D$18,MATCH($G197,設定!$B$6:$B$18,0)),""))</f>
        <v/>
      </c>
      <c r="I197" s="80">
        <f>IF($G197="","",IFERROR(INDEX(設定!$E$6:$E$18,MATCH($G197,設定!$B$6:$B$18,0)),""))</f>
        <v/>
      </c>
      <c r="J197" s="80">
        <f>IFERROR(INDEX(打卡匯入!$C$3:$C$2002,MATCH($C197&amp;"|"&amp;DAY($A197),打卡匯入!$E$3:$E$2002,0)),"")</f>
        <v/>
      </c>
      <c r="K197" s="80">
        <f>IFERROR(INDEX(打卡匯入!$D$3:$D$2002,MATCH($C197&amp;"|"&amp;DAY($A197),打卡匯入!$E$3:$E$2002,0)),"")</f>
        <v/>
      </c>
      <c r="L197" s="81">
        <f>IF(OR($J197="",$K197=""),"",IFERROR(INDEX(設定!$F$6:$F$18,MATCH($G197,設定!$B$6:$B$18,0)),0))</f>
        <v/>
      </c>
      <c r="M197" s="82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1">
        <f>IF(OR($C197="",$H197="",$J197=""),0,IF(ROUND(($J197-$H197)*1440,0)&gt;設定!$C$42,ROUND(($J197-$H197)*1440,0),0))</f>
        <v/>
      </c>
      <c r="P197" s="81">
        <f>IF(OR($C197="",$I197="",$K197=""),0,IF(ROUND(($I197-$K197)*1440,0)&gt;設定!$C$42,ROUND(($I197-$K197)*1440,0),0))</f>
        <v/>
      </c>
      <c r="Q197" s="82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79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0">
        <f>IF($G198="","",IFERROR(INDEX(設定!$D$6:$D$18,MATCH($G198,設定!$B$6:$B$18,0)),""))</f>
        <v/>
      </c>
      <c r="I198" s="80">
        <f>IF($G198="","",IFERROR(INDEX(設定!$E$6:$E$18,MATCH($G198,設定!$B$6:$B$18,0)),""))</f>
        <v/>
      </c>
      <c r="J198" s="80">
        <f>IFERROR(INDEX(打卡匯入!$C$3:$C$2002,MATCH($C198&amp;"|"&amp;DAY($A198),打卡匯入!$E$3:$E$2002,0)),"")</f>
        <v/>
      </c>
      <c r="K198" s="80">
        <f>IFERROR(INDEX(打卡匯入!$D$3:$D$2002,MATCH($C198&amp;"|"&amp;DAY($A198),打卡匯入!$E$3:$E$2002,0)),"")</f>
        <v/>
      </c>
      <c r="L198" s="81">
        <f>IF(OR($J198="",$K198=""),"",IFERROR(INDEX(設定!$F$6:$F$18,MATCH($G198,設定!$B$6:$B$18,0)),0))</f>
        <v/>
      </c>
      <c r="M198" s="82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1">
        <f>IF(OR($C198="",$H198="",$J198=""),0,IF(ROUND(($J198-$H198)*1440,0)&gt;設定!$C$42,ROUND(($J198-$H198)*1440,0),0))</f>
        <v/>
      </c>
      <c r="P198" s="81">
        <f>IF(OR($C198="",$I198="",$K198=""),0,IF(ROUND(($I198-$K198)*1440,0)&gt;設定!$C$42,ROUND(($I198-$K198)*1440,0),0))</f>
        <v/>
      </c>
      <c r="Q198" s="82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79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0">
        <f>IF($G199="","",IFERROR(INDEX(設定!$D$6:$D$18,MATCH($G199,設定!$B$6:$B$18,0)),""))</f>
        <v/>
      </c>
      <c r="I199" s="80">
        <f>IF($G199="","",IFERROR(INDEX(設定!$E$6:$E$18,MATCH($G199,設定!$B$6:$B$18,0)),""))</f>
        <v/>
      </c>
      <c r="J199" s="80">
        <f>IFERROR(INDEX(打卡匯入!$C$3:$C$2002,MATCH($C199&amp;"|"&amp;DAY($A199),打卡匯入!$E$3:$E$2002,0)),"")</f>
        <v/>
      </c>
      <c r="K199" s="80">
        <f>IFERROR(INDEX(打卡匯入!$D$3:$D$2002,MATCH($C199&amp;"|"&amp;DAY($A199),打卡匯入!$E$3:$E$2002,0)),"")</f>
        <v/>
      </c>
      <c r="L199" s="81">
        <f>IF(OR($J199="",$K199=""),"",IFERROR(INDEX(設定!$F$6:$F$18,MATCH($G199,設定!$B$6:$B$18,0)),0))</f>
        <v/>
      </c>
      <c r="M199" s="82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1">
        <f>IF(OR($C199="",$H199="",$J199=""),0,IF(ROUND(($J199-$H199)*1440,0)&gt;設定!$C$42,ROUND(($J199-$H199)*1440,0),0))</f>
        <v/>
      </c>
      <c r="P199" s="81">
        <f>IF(OR($C199="",$I199="",$K199=""),0,IF(ROUND(($I199-$K199)*1440,0)&gt;設定!$C$42,ROUND(($I199-$K199)*1440,0),0))</f>
        <v/>
      </c>
      <c r="Q199" s="82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79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0">
        <f>IF($G200="","",IFERROR(INDEX(設定!$D$6:$D$18,MATCH($G200,設定!$B$6:$B$18,0)),""))</f>
        <v/>
      </c>
      <c r="I200" s="80">
        <f>IF($G200="","",IFERROR(INDEX(設定!$E$6:$E$18,MATCH($G200,設定!$B$6:$B$18,0)),""))</f>
        <v/>
      </c>
      <c r="J200" s="80">
        <f>IFERROR(INDEX(打卡匯入!$C$3:$C$2002,MATCH($C200&amp;"|"&amp;DAY($A200),打卡匯入!$E$3:$E$2002,0)),"")</f>
        <v/>
      </c>
      <c r="K200" s="80">
        <f>IFERROR(INDEX(打卡匯入!$D$3:$D$2002,MATCH($C200&amp;"|"&amp;DAY($A200),打卡匯入!$E$3:$E$2002,0)),"")</f>
        <v/>
      </c>
      <c r="L200" s="81">
        <f>IF(OR($J200="",$K200=""),"",IFERROR(INDEX(設定!$F$6:$F$18,MATCH($G200,設定!$B$6:$B$18,0)),0))</f>
        <v/>
      </c>
      <c r="M200" s="82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1">
        <f>IF(OR($C200="",$H200="",$J200=""),0,IF(ROUND(($J200-$H200)*1440,0)&gt;設定!$C$42,ROUND(($J200-$H200)*1440,0),0))</f>
        <v/>
      </c>
      <c r="P200" s="81">
        <f>IF(OR($C200="",$I200="",$K200=""),0,IF(ROUND(($I200-$K200)*1440,0)&gt;設定!$C$42,ROUND(($I200-$K200)*1440,0),0))</f>
        <v/>
      </c>
      <c r="Q200" s="82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79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0">
        <f>IF($G201="","",IFERROR(INDEX(設定!$D$6:$D$18,MATCH($G201,設定!$B$6:$B$18,0)),""))</f>
        <v/>
      </c>
      <c r="I201" s="80">
        <f>IF($G201="","",IFERROR(INDEX(設定!$E$6:$E$18,MATCH($G201,設定!$B$6:$B$18,0)),""))</f>
        <v/>
      </c>
      <c r="J201" s="80">
        <f>IFERROR(INDEX(打卡匯入!$C$3:$C$2002,MATCH($C201&amp;"|"&amp;DAY($A201),打卡匯入!$E$3:$E$2002,0)),"")</f>
        <v/>
      </c>
      <c r="K201" s="80">
        <f>IFERROR(INDEX(打卡匯入!$D$3:$D$2002,MATCH($C201&amp;"|"&amp;DAY($A201),打卡匯入!$E$3:$E$2002,0)),"")</f>
        <v/>
      </c>
      <c r="L201" s="81">
        <f>IF(OR($J201="",$K201=""),"",IFERROR(INDEX(設定!$F$6:$F$18,MATCH($G201,設定!$B$6:$B$18,0)),0))</f>
        <v/>
      </c>
      <c r="M201" s="82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1">
        <f>IF(OR($C201="",$H201="",$J201=""),0,IF(ROUND(($J201-$H201)*1440,0)&gt;設定!$C$42,ROUND(($J201-$H201)*1440,0),0))</f>
        <v/>
      </c>
      <c r="P201" s="81">
        <f>IF(OR($C201="",$I201="",$K201=""),0,IF(ROUND(($I201-$K201)*1440,0)&gt;設定!$C$42,ROUND(($I201-$K201)*1440,0),0))</f>
        <v/>
      </c>
      <c r="Q201" s="82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79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0">
        <f>IF($G202="","",IFERROR(INDEX(設定!$D$6:$D$18,MATCH($G202,設定!$B$6:$B$18,0)),""))</f>
        <v/>
      </c>
      <c r="I202" s="80">
        <f>IF($G202="","",IFERROR(INDEX(設定!$E$6:$E$18,MATCH($G202,設定!$B$6:$B$18,0)),""))</f>
        <v/>
      </c>
      <c r="J202" s="80">
        <f>IFERROR(INDEX(打卡匯入!$C$3:$C$2002,MATCH($C202&amp;"|"&amp;DAY($A202),打卡匯入!$E$3:$E$2002,0)),"")</f>
        <v/>
      </c>
      <c r="K202" s="80">
        <f>IFERROR(INDEX(打卡匯入!$D$3:$D$2002,MATCH($C202&amp;"|"&amp;DAY($A202),打卡匯入!$E$3:$E$2002,0)),"")</f>
        <v/>
      </c>
      <c r="L202" s="81">
        <f>IF(OR($J202="",$K202=""),"",IFERROR(INDEX(設定!$F$6:$F$18,MATCH($G202,設定!$B$6:$B$18,0)),0))</f>
        <v/>
      </c>
      <c r="M202" s="82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1">
        <f>IF(OR($C202="",$H202="",$J202=""),0,IF(ROUND(($J202-$H202)*1440,0)&gt;設定!$C$42,ROUND(($J202-$H202)*1440,0),0))</f>
        <v/>
      </c>
      <c r="P202" s="81">
        <f>IF(OR($C202="",$I202="",$K202=""),0,IF(ROUND(($I202-$K202)*1440,0)&gt;設定!$C$42,ROUND(($I202-$K202)*1440,0),0))</f>
        <v/>
      </c>
      <c r="Q202" s="82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79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0">
        <f>IF($G203="","",IFERROR(INDEX(設定!$D$6:$D$18,MATCH($G203,設定!$B$6:$B$18,0)),""))</f>
        <v/>
      </c>
      <c r="I203" s="80">
        <f>IF($G203="","",IFERROR(INDEX(設定!$E$6:$E$18,MATCH($G203,設定!$B$6:$B$18,0)),""))</f>
        <v/>
      </c>
      <c r="J203" s="80">
        <f>IFERROR(INDEX(打卡匯入!$C$3:$C$2002,MATCH($C203&amp;"|"&amp;DAY($A203),打卡匯入!$E$3:$E$2002,0)),"")</f>
        <v/>
      </c>
      <c r="K203" s="80">
        <f>IFERROR(INDEX(打卡匯入!$D$3:$D$2002,MATCH($C203&amp;"|"&amp;DAY($A203),打卡匯入!$E$3:$E$2002,0)),"")</f>
        <v/>
      </c>
      <c r="L203" s="81">
        <f>IF(OR($J203="",$K203=""),"",IFERROR(INDEX(設定!$F$6:$F$18,MATCH($G203,設定!$B$6:$B$18,0)),0))</f>
        <v/>
      </c>
      <c r="M203" s="82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1">
        <f>IF(OR($C203="",$H203="",$J203=""),0,IF(ROUND(($J203-$H203)*1440,0)&gt;設定!$C$42,ROUND(($J203-$H203)*1440,0),0))</f>
        <v/>
      </c>
      <c r="P203" s="81">
        <f>IF(OR($C203="",$I203="",$K203=""),0,IF(ROUND(($I203-$K203)*1440,0)&gt;設定!$C$42,ROUND(($I203-$K203)*1440,0),0))</f>
        <v/>
      </c>
      <c r="Q203" s="82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79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0">
        <f>IF($G204="","",IFERROR(INDEX(設定!$D$6:$D$18,MATCH($G204,設定!$B$6:$B$18,0)),""))</f>
        <v/>
      </c>
      <c r="I204" s="80">
        <f>IF($G204="","",IFERROR(INDEX(設定!$E$6:$E$18,MATCH($G204,設定!$B$6:$B$18,0)),""))</f>
        <v/>
      </c>
      <c r="J204" s="80">
        <f>IFERROR(INDEX(打卡匯入!$C$3:$C$2002,MATCH($C204&amp;"|"&amp;DAY($A204),打卡匯入!$E$3:$E$2002,0)),"")</f>
        <v/>
      </c>
      <c r="K204" s="80">
        <f>IFERROR(INDEX(打卡匯入!$D$3:$D$2002,MATCH($C204&amp;"|"&amp;DAY($A204),打卡匯入!$E$3:$E$2002,0)),"")</f>
        <v/>
      </c>
      <c r="L204" s="81">
        <f>IF(OR($J204="",$K204=""),"",IFERROR(INDEX(設定!$F$6:$F$18,MATCH($G204,設定!$B$6:$B$18,0)),0))</f>
        <v/>
      </c>
      <c r="M204" s="82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1">
        <f>IF(OR($C204="",$H204="",$J204=""),0,IF(ROUND(($J204-$H204)*1440,0)&gt;設定!$C$42,ROUND(($J204-$H204)*1440,0),0))</f>
        <v/>
      </c>
      <c r="P204" s="81">
        <f>IF(OR($C204="",$I204="",$K204=""),0,IF(ROUND(($I204-$K204)*1440,0)&gt;設定!$C$42,ROUND(($I204-$K204)*1440,0),0))</f>
        <v/>
      </c>
      <c r="Q204" s="82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79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0">
        <f>IF($G205="","",IFERROR(INDEX(設定!$D$6:$D$18,MATCH($G205,設定!$B$6:$B$18,0)),""))</f>
        <v/>
      </c>
      <c r="I205" s="80">
        <f>IF($G205="","",IFERROR(INDEX(設定!$E$6:$E$18,MATCH($G205,設定!$B$6:$B$18,0)),""))</f>
        <v/>
      </c>
      <c r="J205" s="80">
        <f>IFERROR(INDEX(打卡匯入!$C$3:$C$2002,MATCH($C205&amp;"|"&amp;DAY($A205),打卡匯入!$E$3:$E$2002,0)),"")</f>
        <v/>
      </c>
      <c r="K205" s="80">
        <f>IFERROR(INDEX(打卡匯入!$D$3:$D$2002,MATCH($C205&amp;"|"&amp;DAY($A205),打卡匯入!$E$3:$E$2002,0)),"")</f>
        <v/>
      </c>
      <c r="L205" s="81">
        <f>IF(OR($J205="",$K205=""),"",IFERROR(INDEX(設定!$F$6:$F$18,MATCH($G205,設定!$B$6:$B$18,0)),0))</f>
        <v/>
      </c>
      <c r="M205" s="82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1">
        <f>IF(OR($C205="",$H205="",$J205=""),0,IF(ROUND(($J205-$H205)*1440,0)&gt;設定!$C$42,ROUND(($J205-$H205)*1440,0),0))</f>
        <v/>
      </c>
      <c r="P205" s="81">
        <f>IF(OR($C205="",$I205="",$K205=""),0,IF(ROUND(($I205-$K205)*1440,0)&gt;設定!$C$42,ROUND(($I205-$K205)*1440,0),0))</f>
        <v/>
      </c>
      <c r="Q205" s="82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79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0">
        <f>IF($G206="","",IFERROR(INDEX(設定!$D$6:$D$18,MATCH($G206,設定!$B$6:$B$18,0)),""))</f>
        <v/>
      </c>
      <c r="I206" s="80">
        <f>IF($G206="","",IFERROR(INDEX(設定!$E$6:$E$18,MATCH($G206,設定!$B$6:$B$18,0)),""))</f>
        <v/>
      </c>
      <c r="J206" s="80">
        <f>IFERROR(INDEX(打卡匯入!$C$3:$C$2002,MATCH($C206&amp;"|"&amp;DAY($A206),打卡匯入!$E$3:$E$2002,0)),"")</f>
        <v/>
      </c>
      <c r="K206" s="80">
        <f>IFERROR(INDEX(打卡匯入!$D$3:$D$2002,MATCH($C206&amp;"|"&amp;DAY($A206),打卡匯入!$E$3:$E$2002,0)),"")</f>
        <v/>
      </c>
      <c r="L206" s="81">
        <f>IF(OR($J206="",$K206=""),"",IFERROR(INDEX(設定!$F$6:$F$18,MATCH($G206,設定!$B$6:$B$18,0)),0))</f>
        <v/>
      </c>
      <c r="M206" s="82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1">
        <f>IF(OR($C206="",$H206="",$J206=""),0,IF(ROUND(($J206-$H206)*1440,0)&gt;設定!$C$42,ROUND(($J206-$H206)*1440,0),0))</f>
        <v/>
      </c>
      <c r="P206" s="81">
        <f>IF(OR($C206="",$I206="",$K206=""),0,IF(ROUND(($I206-$K206)*1440,0)&gt;設定!$C$42,ROUND(($I206-$K206)*1440,0),0))</f>
        <v/>
      </c>
      <c r="Q206" s="82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79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0">
        <f>IF($G207="","",IFERROR(INDEX(設定!$D$6:$D$18,MATCH($G207,設定!$B$6:$B$18,0)),""))</f>
        <v/>
      </c>
      <c r="I207" s="80">
        <f>IF($G207="","",IFERROR(INDEX(設定!$E$6:$E$18,MATCH($G207,設定!$B$6:$B$18,0)),""))</f>
        <v/>
      </c>
      <c r="J207" s="80">
        <f>IFERROR(INDEX(打卡匯入!$C$3:$C$2002,MATCH($C207&amp;"|"&amp;DAY($A207),打卡匯入!$E$3:$E$2002,0)),"")</f>
        <v/>
      </c>
      <c r="K207" s="80">
        <f>IFERROR(INDEX(打卡匯入!$D$3:$D$2002,MATCH($C207&amp;"|"&amp;DAY($A207),打卡匯入!$E$3:$E$2002,0)),"")</f>
        <v/>
      </c>
      <c r="L207" s="81">
        <f>IF(OR($J207="",$K207=""),"",IFERROR(INDEX(設定!$F$6:$F$18,MATCH($G207,設定!$B$6:$B$18,0)),0))</f>
        <v/>
      </c>
      <c r="M207" s="82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1">
        <f>IF(OR($C207="",$H207="",$J207=""),0,IF(ROUND(($J207-$H207)*1440,0)&gt;設定!$C$42,ROUND(($J207-$H207)*1440,0),0))</f>
        <v/>
      </c>
      <c r="P207" s="81">
        <f>IF(OR($C207="",$I207="",$K207=""),0,IF(ROUND(($I207-$K207)*1440,0)&gt;設定!$C$42,ROUND(($I207-$K207)*1440,0),0))</f>
        <v/>
      </c>
      <c r="Q207" s="82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79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0">
        <f>IF($G208="","",IFERROR(INDEX(設定!$D$6:$D$18,MATCH($G208,設定!$B$6:$B$18,0)),""))</f>
        <v/>
      </c>
      <c r="I208" s="80">
        <f>IF($G208="","",IFERROR(INDEX(設定!$E$6:$E$18,MATCH($G208,設定!$B$6:$B$18,0)),""))</f>
        <v/>
      </c>
      <c r="J208" s="80">
        <f>IFERROR(INDEX(打卡匯入!$C$3:$C$2002,MATCH($C208&amp;"|"&amp;DAY($A208),打卡匯入!$E$3:$E$2002,0)),"")</f>
        <v/>
      </c>
      <c r="K208" s="80">
        <f>IFERROR(INDEX(打卡匯入!$D$3:$D$2002,MATCH($C208&amp;"|"&amp;DAY($A208),打卡匯入!$E$3:$E$2002,0)),"")</f>
        <v/>
      </c>
      <c r="L208" s="81">
        <f>IF(OR($J208="",$K208=""),"",IFERROR(INDEX(設定!$F$6:$F$18,MATCH($G208,設定!$B$6:$B$18,0)),0))</f>
        <v/>
      </c>
      <c r="M208" s="82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1">
        <f>IF(OR($C208="",$H208="",$J208=""),0,IF(ROUND(($J208-$H208)*1440,0)&gt;設定!$C$42,ROUND(($J208-$H208)*1440,0),0))</f>
        <v/>
      </c>
      <c r="P208" s="81">
        <f>IF(OR($C208="",$I208="",$K208=""),0,IF(ROUND(($I208-$K208)*1440,0)&gt;設定!$C$42,ROUND(($I208-$K208)*1440,0),0))</f>
        <v/>
      </c>
      <c r="Q208" s="82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79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0">
        <f>IF($G209="","",IFERROR(INDEX(設定!$D$6:$D$18,MATCH($G209,設定!$B$6:$B$18,0)),""))</f>
        <v/>
      </c>
      <c r="I209" s="80">
        <f>IF($G209="","",IFERROR(INDEX(設定!$E$6:$E$18,MATCH($G209,設定!$B$6:$B$18,0)),""))</f>
        <v/>
      </c>
      <c r="J209" s="80">
        <f>IFERROR(INDEX(打卡匯入!$C$3:$C$2002,MATCH($C209&amp;"|"&amp;DAY($A209),打卡匯入!$E$3:$E$2002,0)),"")</f>
        <v/>
      </c>
      <c r="K209" s="80">
        <f>IFERROR(INDEX(打卡匯入!$D$3:$D$2002,MATCH($C209&amp;"|"&amp;DAY($A209),打卡匯入!$E$3:$E$2002,0)),"")</f>
        <v/>
      </c>
      <c r="L209" s="81">
        <f>IF(OR($J209="",$K209=""),"",IFERROR(INDEX(設定!$F$6:$F$18,MATCH($G209,設定!$B$6:$B$18,0)),0))</f>
        <v/>
      </c>
      <c r="M209" s="82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1">
        <f>IF(OR($C209="",$H209="",$J209=""),0,IF(ROUND(($J209-$H209)*1440,0)&gt;設定!$C$42,ROUND(($J209-$H209)*1440,0),0))</f>
        <v/>
      </c>
      <c r="P209" s="81">
        <f>IF(OR($C209="",$I209="",$K209=""),0,IF(ROUND(($I209-$K209)*1440,0)&gt;設定!$C$42,ROUND(($I209-$K209)*1440,0),0))</f>
        <v/>
      </c>
      <c r="Q209" s="82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79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0">
        <f>IF($G210="","",IFERROR(INDEX(設定!$D$6:$D$18,MATCH($G210,設定!$B$6:$B$18,0)),""))</f>
        <v/>
      </c>
      <c r="I210" s="80">
        <f>IF($G210="","",IFERROR(INDEX(設定!$E$6:$E$18,MATCH($G210,設定!$B$6:$B$18,0)),""))</f>
        <v/>
      </c>
      <c r="J210" s="80">
        <f>IFERROR(INDEX(打卡匯入!$C$3:$C$2002,MATCH($C210&amp;"|"&amp;DAY($A210),打卡匯入!$E$3:$E$2002,0)),"")</f>
        <v/>
      </c>
      <c r="K210" s="80">
        <f>IFERROR(INDEX(打卡匯入!$D$3:$D$2002,MATCH($C210&amp;"|"&amp;DAY($A210),打卡匯入!$E$3:$E$2002,0)),"")</f>
        <v/>
      </c>
      <c r="L210" s="81">
        <f>IF(OR($J210="",$K210=""),"",IFERROR(INDEX(設定!$F$6:$F$18,MATCH($G210,設定!$B$6:$B$18,0)),0))</f>
        <v/>
      </c>
      <c r="M210" s="82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1">
        <f>IF(OR($C210="",$H210="",$J210=""),0,IF(ROUND(($J210-$H210)*1440,0)&gt;設定!$C$42,ROUND(($J210-$H210)*1440,0),0))</f>
        <v/>
      </c>
      <c r="P210" s="81">
        <f>IF(OR($C210="",$I210="",$K210=""),0,IF(ROUND(($I210-$K210)*1440,0)&gt;設定!$C$42,ROUND(($I210-$K210)*1440,0),0))</f>
        <v/>
      </c>
      <c r="Q210" s="82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79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0">
        <f>IF($G211="","",IFERROR(INDEX(設定!$D$6:$D$18,MATCH($G211,設定!$B$6:$B$18,0)),""))</f>
        <v/>
      </c>
      <c r="I211" s="80">
        <f>IF($G211="","",IFERROR(INDEX(設定!$E$6:$E$18,MATCH($G211,設定!$B$6:$B$18,0)),""))</f>
        <v/>
      </c>
      <c r="J211" s="80">
        <f>IFERROR(INDEX(打卡匯入!$C$3:$C$2002,MATCH($C211&amp;"|"&amp;DAY($A211),打卡匯入!$E$3:$E$2002,0)),"")</f>
        <v/>
      </c>
      <c r="K211" s="80">
        <f>IFERROR(INDEX(打卡匯入!$D$3:$D$2002,MATCH($C211&amp;"|"&amp;DAY($A211),打卡匯入!$E$3:$E$2002,0)),"")</f>
        <v/>
      </c>
      <c r="L211" s="81">
        <f>IF(OR($J211="",$K211=""),"",IFERROR(INDEX(設定!$F$6:$F$18,MATCH($G211,設定!$B$6:$B$18,0)),0))</f>
        <v/>
      </c>
      <c r="M211" s="82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1">
        <f>IF(OR($C211="",$H211="",$J211=""),0,IF(ROUND(($J211-$H211)*1440,0)&gt;設定!$C$42,ROUND(($J211-$H211)*1440,0),0))</f>
        <v/>
      </c>
      <c r="P211" s="81">
        <f>IF(OR($C211="",$I211="",$K211=""),0,IF(ROUND(($I211-$K211)*1440,0)&gt;設定!$C$42,ROUND(($I211-$K211)*1440,0),0))</f>
        <v/>
      </c>
      <c r="Q211" s="82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79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0">
        <f>IF($G212="","",IFERROR(INDEX(設定!$D$6:$D$18,MATCH($G212,設定!$B$6:$B$18,0)),""))</f>
        <v/>
      </c>
      <c r="I212" s="80">
        <f>IF($G212="","",IFERROR(INDEX(設定!$E$6:$E$18,MATCH($G212,設定!$B$6:$B$18,0)),""))</f>
        <v/>
      </c>
      <c r="J212" s="80">
        <f>IFERROR(INDEX(打卡匯入!$C$3:$C$2002,MATCH($C212&amp;"|"&amp;DAY($A212),打卡匯入!$E$3:$E$2002,0)),"")</f>
        <v/>
      </c>
      <c r="K212" s="80">
        <f>IFERROR(INDEX(打卡匯入!$D$3:$D$2002,MATCH($C212&amp;"|"&amp;DAY($A212),打卡匯入!$E$3:$E$2002,0)),"")</f>
        <v/>
      </c>
      <c r="L212" s="81">
        <f>IF(OR($J212="",$K212=""),"",IFERROR(INDEX(設定!$F$6:$F$18,MATCH($G212,設定!$B$6:$B$18,0)),0))</f>
        <v/>
      </c>
      <c r="M212" s="82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1">
        <f>IF(OR($C212="",$H212="",$J212=""),0,IF(ROUND(($J212-$H212)*1440,0)&gt;設定!$C$42,ROUND(($J212-$H212)*1440,0),0))</f>
        <v/>
      </c>
      <c r="P212" s="81">
        <f>IF(OR($C212="",$I212="",$K212=""),0,IF(ROUND(($I212-$K212)*1440,0)&gt;設定!$C$42,ROUND(($I212-$K212)*1440,0),0))</f>
        <v/>
      </c>
      <c r="Q212" s="82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79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0">
        <f>IF($G213="","",IFERROR(INDEX(設定!$D$6:$D$18,MATCH($G213,設定!$B$6:$B$18,0)),""))</f>
        <v/>
      </c>
      <c r="I213" s="80">
        <f>IF($G213="","",IFERROR(INDEX(設定!$E$6:$E$18,MATCH($G213,設定!$B$6:$B$18,0)),""))</f>
        <v/>
      </c>
      <c r="J213" s="80">
        <f>IFERROR(INDEX(打卡匯入!$C$3:$C$2002,MATCH($C213&amp;"|"&amp;DAY($A213),打卡匯入!$E$3:$E$2002,0)),"")</f>
        <v/>
      </c>
      <c r="K213" s="80">
        <f>IFERROR(INDEX(打卡匯入!$D$3:$D$2002,MATCH($C213&amp;"|"&amp;DAY($A213),打卡匯入!$E$3:$E$2002,0)),"")</f>
        <v/>
      </c>
      <c r="L213" s="81">
        <f>IF(OR($J213="",$K213=""),"",IFERROR(INDEX(設定!$F$6:$F$18,MATCH($G213,設定!$B$6:$B$18,0)),0))</f>
        <v/>
      </c>
      <c r="M213" s="82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1">
        <f>IF(OR($C213="",$H213="",$J213=""),0,IF(ROUND(($J213-$H213)*1440,0)&gt;設定!$C$42,ROUND(($J213-$H213)*1440,0),0))</f>
        <v/>
      </c>
      <c r="P213" s="81">
        <f>IF(OR($C213="",$I213="",$K213=""),0,IF(ROUND(($I213-$K213)*1440,0)&gt;設定!$C$42,ROUND(($I213-$K213)*1440,0),0))</f>
        <v/>
      </c>
      <c r="Q213" s="82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79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0">
        <f>IF($G214="","",IFERROR(INDEX(設定!$D$6:$D$18,MATCH($G214,設定!$B$6:$B$18,0)),""))</f>
        <v/>
      </c>
      <c r="I214" s="80">
        <f>IF($G214="","",IFERROR(INDEX(設定!$E$6:$E$18,MATCH($G214,設定!$B$6:$B$18,0)),""))</f>
        <v/>
      </c>
      <c r="J214" s="80">
        <f>IFERROR(INDEX(打卡匯入!$C$3:$C$2002,MATCH($C214&amp;"|"&amp;DAY($A214),打卡匯入!$E$3:$E$2002,0)),"")</f>
        <v/>
      </c>
      <c r="K214" s="80">
        <f>IFERROR(INDEX(打卡匯入!$D$3:$D$2002,MATCH($C214&amp;"|"&amp;DAY($A214),打卡匯入!$E$3:$E$2002,0)),"")</f>
        <v/>
      </c>
      <c r="L214" s="81">
        <f>IF(OR($J214="",$K214=""),"",IFERROR(INDEX(設定!$F$6:$F$18,MATCH($G214,設定!$B$6:$B$18,0)),0))</f>
        <v/>
      </c>
      <c r="M214" s="82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1">
        <f>IF(OR($C214="",$H214="",$J214=""),0,IF(ROUND(($J214-$H214)*1440,0)&gt;設定!$C$42,ROUND(($J214-$H214)*1440,0),0))</f>
        <v/>
      </c>
      <c r="P214" s="81">
        <f>IF(OR($C214="",$I214="",$K214=""),0,IF(ROUND(($I214-$K214)*1440,0)&gt;設定!$C$42,ROUND(($I214-$K214)*1440,0),0))</f>
        <v/>
      </c>
      <c r="Q214" s="82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79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0">
        <f>IF($G215="","",IFERROR(INDEX(設定!$D$6:$D$18,MATCH($G215,設定!$B$6:$B$18,0)),""))</f>
        <v/>
      </c>
      <c r="I215" s="80">
        <f>IF($G215="","",IFERROR(INDEX(設定!$E$6:$E$18,MATCH($G215,設定!$B$6:$B$18,0)),""))</f>
        <v/>
      </c>
      <c r="J215" s="80">
        <f>IFERROR(INDEX(打卡匯入!$C$3:$C$2002,MATCH($C215&amp;"|"&amp;DAY($A215),打卡匯入!$E$3:$E$2002,0)),"")</f>
        <v/>
      </c>
      <c r="K215" s="80">
        <f>IFERROR(INDEX(打卡匯入!$D$3:$D$2002,MATCH($C215&amp;"|"&amp;DAY($A215),打卡匯入!$E$3:$E$2002,0)),"")</f>
        <v/>
      </c>
      <c r="L215" s="81">
        <f>IF(OR($J215="",$K215=""),"",IFERROR(INDEX(設定!$F$6:$F$18,MATCH($G215,設定!$B$6:$B$18,0)),0))</f>
        <v/>
      </c>
      <c r="M215" s="82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1">
        <f>IF(OR($C215="",$H215="",$J215=""),0,IF(ROUND(($J215-$H215)*1440,0)&gt;設定!$C$42,ROUND(($J215-$H215)*1440,0),0))</f>
        <v/>
      </c>
      <c r="P215" s="81">
        <f>IF(OR($C215="",$I215="",$K215=""),0,IF(ROUND(($I215-$K215)*1440,0)&gt;設定!$C$42,ROUND(($I215-$K215)*1440,0),0))</f>
        <v/>
      </c>
      <c r="Q215" s="82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79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0">
        <f>IF($G216="","",IFERROR(INDEX(設定!$D$6:$D$18,MATCH($G216,設定!$B$6:$B$18,0)),""))</f>
        <v/>
      </c>
      <c r="I216" s="80">
        <f>IF($G216="","",IFERROR(INDEX(設定!$E$6:$E$18,MATCH($G216,設定!$B$6:$B$18,0)),""))</f>
        <v/>
      </c>
      <c r="J216" s="80">
        <f>IFERROR(INDEX(打卡匯入!$C$3:$C$2002,MATCH($C216&amp;"|"&amp;DAY($A216),打卡匯入!$E$3:$E$2002,0)),"")</f>
        <v/>
      </c>
      <c r="K216" s="80">
        <f>IFERROR(INDEX(打卡匯入!$D$3:$D$2002,MATCH($C216&amp;"|"&amp;DAY($A216),打卡匯入!$E$3:$E$2002,0)),"")</f>
        <v/>
      </c>
      <c r="L216" s="81">
        <f>IF(OR($J216="",$K216=""),"",IFERROR(INDEX(設定!$F$6:$F$18,MATCH($G216,設定!$B$6:$B$18,0)),0))</f>
        <v/>
      </c>
      <c r="M216" s="82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1">
        <f>IF(OR($C216="",$H216="",$J216=""),0,IF(ROUND(($J216-$H216)*1440,0)&gt;設定!$C$42,ROUND(($J216-$H216)*1440,0),0))</f>
        <v/>
      </c>
      <c r="P216" s="81">
        <f>IF(OR($C216="",$I216="",$K216=""),0,IF(ROUND(($I216-$K216)*1440,0)&gt;設定!$C$42,ROUND(($I216-$K216)*1440,0),0))</f>
        <v/>
      </c>
      <c r="Q216" s="82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79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0">
        <f>IF($G217="","",IFERROR(INDEX(設定!$D$6:$D$18,MATCH($G217,設定!$B$6:$B$18,0)),""))</f>
        <v/>
      </c>
      <c r="I217" s="80">
        <f>IF($G217="","",IFERROR(INDEX(設定!$E$6:$E$18,MATCH($G217,設定!$B$6:$B$18,0)),""))</f>
        <v/>
      </c>
      <c r="J217" s="80">
        <f>IFERROR(INDEX(打卡匯入!$C$3:$C$2002,MATCH($C217&amp;"|"&amp;DAY($A217),打卡匯入!$E$3:$E$2002,0)),"")</f>
        <v/>
      </c>
      <c r="K217" s="80">
        <f>IFERROR(INDEX(打卡匯入!$D$3:$D$2002,MATCH($C217&amp;"|"&amp;DAY($A217),打卡匯入!$E$3:$E$2002,0)),"")</f>
        <v/>
      </c>
      <c r="L217" s="81">
        <f>IF(OR($J217="",$K217=""),"",IFERROR(INDEX(設定!$F$6:$F$18,MATCH($G217,設定!$B$6:$B$18,0)),0))</f>
        <v/>
      </c>
      <c r="M217" s="82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1">
        <f>IF(OR($C217="",$H217="",$J217=""),0,IF(ROUND(($J217-$H217)*1440,0)&gt;設定!$C$42,ROUND(($J217-$H217)*1440,0),0))</f>
        <v/>
      </c>
      <c r="P217" s="81">
        <f>IF(OR($C217="",$I217="",$K217=""),0,IF(ROUND(($I217-$K217)*1440,0)&gt;設定!$C$42,ROUND(($I217-$K217)*1440,0),0))</f>
        <v/>
      </c>
      <c r="Q217" s="82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79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0">
        <f>IF($G218="","",IFERROR(INDEX(設定!$D$6:$D$18,MATCH($G218,設定!$B$6:$B$18,0)),""))</f>
        <v/>
      </c>
      <c r="I218" s="80">
        <f>IF($G218="","",IFERROR(INDEX(設定!$E$6:$E$18,MATCH($G218,設定!$B$6:$B$18,0)),""))</f>
        <v/>
      </c>
      <c r="J218" s="80">
        <f>IFERROR(INDEX(打卡匯入!$C$3:$C$2002,MATCH($C218&amp;"|"&amp;DAY($A218),打卡匯入!$E$3:$E$2002,0)),"")</f>
        <v/>
      </c>
      <c r="K218" s="80">
        <f>IFERROR(INDEX(打卡匯入!$D$3:$D$2002,MATCH($C218&amp;"|"&amp;DAY($A218),打卡匯入!$E$3:$E$2002,0)),"")</f>
        <v/>
      </c>
      <c r="L218" s="81">
        <f>IF(OR($J218="",$K218=""),"",IFERROR(INDEX(設定!$F$6:$F$18,MATCH($G218,設定!$B$6:$B$18,0)),0))</f>
        <v/>
      </c>
      <c r="M218" s="82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1">
        <f>IF(OR($C218="",$H218="",$J218=""),0,IF(ROUND(($J218-$H218)*1440,0)&gt;設定!$C$42,ROUND(($J218-$H218)*1440,0),0))</f>
        <v/>
      </c>
      <c r="P218" s="81">
        <f>IF(OR($C218="",$I218="",$K218=""),0,IF(ROUND(($I218-$K218)*1440,0)&gt;設定!$C$42,ROUND(($I218-$K218)*1440,0),0))</f>
        <v/>
      </c>
      <c r="Q218" s="82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79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0">
        <f>IF($G219="","",IFERROR(INDEX(設定!$D$6:$D$18,MATCH($G219,設定!$B$6:$B$18,0)),""))</f>
        <v/>
      </c>
      <c r="I219" s="80">
        <f>IF($G219="","",IFERROR(INDEX(設定!$E$6:$E$18,MATCH($G219,設定!$B$6:$B$18,0)),""))</f>
        <v/>
      </c>
      <c r="J219" s="80">
        <f>IFERROR(INDEX(打卡匯入!$C$3:$C$2002,MATCH($C219&amp;"|"&amp;DAY($A219),打卡匯入!$E$3:$E$2002,0)),"")</f>
        <v/>
      </c>
      <c r="K219" s="80">
        <f>IFERROR(INDEX(打卡匯入!$D$3:$D$2002,MATCH($C219&amp;"|"&amp;DAY($A219),打卡匯入!$E$3:$E$2002,0)),"")</f>
        <v/>
      </c>
      <c r="L219" s="81">
        <f>IF(OR($J219="",$K219=""),"",IFERROR(INDEX(設定!$F$6:$F$18,MATCH($G219,設定!$B$6:$B$18,0)),0))</f>
        <v/>
      </c>
      <c r="M219" s="82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1">
        <f>IF(OR($C219="",$H219="",$J219=""),0,IF(ROUND(($J219-$H219)*1440,0)&gt;設定!$C$42,ROUND(($J219-$H219)*1440,0),0))</f>
        <v/>
      </c>
      <c r="P219" s="81">
        <f>IF(OR($C219="",$I219="",$K219=""),0,IF(ROUND(($I219-$K219)*1440,0)&gt;設定!$C$42,ROUND(($I219-$K219)*1440,0),0))</f>
        <v/>
      </c>
      <c r="Q219" s="82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79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0">
        <f>IF($G220="","",IFERROR(INDEX(設定!$D$6:$D$18,MATCH($G220,設定!$B$6:$B$18,0)),""))</f>
        <v/>
      </c>
      <c r="I220" s="80">
        <f>IF($G220="","",IFERROR(INDEX(設定!$E$6:$E$18,MATCH($G220,設定!$B$6:$B$18,0)),""))</f>
        <v/>
      </c>
      <c r="J220" s="80">
        <f>IFERROR(INDEX(打卡匯入!$C$3:$C$2002,MATCH($C220&amp;"|"&amp;DAY($A220),打卡匯入!$E$3:$E$2002,0)),"")</f>
        <v/>
      </c>
      <c r="K220" s="80">
        <f>IFERROR(INDEX(打卡匯入!$D$3:$D$2002,MATCH($C220&amp;"|"&amp;DAY($A220),打卡匯入!$E$3:$E$2002,0)),"")</f>
        <v/>
      </c>
      <c r="L220" s="81">
        <f>IF(OR($J220="",$K220=""),"",IFERROR(INDEX(設定!$F$6:$F$18,MATCH($G220,設定!$B$6:$B$18,0)),0))</f>
        <v/>
      </c>
      <c r="M220" s="82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1">
        <f>IF(OR($C220="",$H220="",$J220=""),0,IF(ROUND(($J220-$H220)*1440,0)&gt;設定!$C$42,ROUND(($J220-$H220)*1440,0),0))</f>
        <v/>
      </c>
      <c r="P220" s="81">
        <f>IF(OR($C220="",$I220="",$K220=""),0,IF(ROUND(($I220-$K220)*1440,0)&gt;設定!$C$42,ROUND(($I220-$K220)*1440,0),0))</f>
        <v/>
      </c>
      <c r="Q220" s="82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79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0">
        <f>IF($G221="","",IFERROR(INDEX(設定!$D$6:$D$18,MATCH($G221,設定!$B$6:$B$18,0)),""))</f>
        <v/>
      </c>
      <c r="I221" s="80">
        <f>IF($G221="","",IFERROR(INDEX(設定!$E$6:$E$18,MATCH($G221,設定!$B$6:$B$18,0)),""))</f>
        <v/>
      </c>
      <c r="J221" s="80">
        <f>IFERROR(INDEX(打卡匯入!$C$3:$C$2002,MATCH($C221&amp;"|"&amp;DAY($A221),打卡匯入!$E$3:$E$2002,0)),"")</f>
        <v/>
      </c>
      <c r="K221" s="80">
        <f>IFERROR(INDEX(打卡匯入!$D$3:$D$2002,MATCH($C221&amp;"|"&amp;DAY($A221),打卡匯入!$E$3:$E$2002,0)),"")</f>
        <v/>
      </c>
      <c r="L221" s="81">
        <f>IF(OR($J221="",$K221=""),"",IFERROR(INDEX(設定!$F$6:$F$18,MATCH($G221,設定!$B$6:$B$18,0)),0))</f>
        <v/>
      </c>
      <c r="M221" s="82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1">
        <f>IF(OR($C221="",$H221="",$J221=""),0,IF(ROUND(($J221-$H221)*1440,0)&gt;設定!$C$42,ROUND(($J221-$H221)*1440,0),0))</f>
        <v/>
      </c>
      <c r="P221" s="81">
        <f>IF(OR($C221="",$I221="",$K221=""),0,IF(ROUND(($I221-$K221)*1440,0)&gt;設定!$C$42,ROUND(($I221-$K221)*1440,0),0))</f>
        <v/>
      </c>
      <c r="Q221" s="82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79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0">
        <f>IF($G222="","",IFERROR(INDEX(設定!$D$6:$D$18,MATCH($G222,設定!$B$6:$B$18,0)),""))</f>
        <v/>
      </c>
      <c r="I222" s="80">
        <f>IF($G222="","",IFERROR(INDEX(設定!$E$6:$E$18,MATCH($G222,設定!$B$6:$B$18,0)),""))</f>
        <v/>
      </c>
      <c r="J222" s="80">
        <f>IFERROR(INDEX(打卡匯入!$C$3:$C$2002,MATCH($C222&amp;"|"&amp;DAY($A222),打卡匯入!$E$3:$E$2002,0)),"")</f>
        <v/>
      </c>
      <c r="K222" s="80">
        <f>IFERROR(INDEX(打卡匯入!$D$3:$D$2002,MATCH($C222&amp;"|"&amp;DAY($A222),打卡匯入!$E$3:$E$2002,0)),"")</f>
        <v/>
      </c>
      <c r="L222" s="81">
        <f>IF(OR($J222="",$K222=""),"",IFERROR(INDEX(設定!$F$6:$F$18,MATCH($G222,設定!$B$6:$B$18,0)),0))</f>
        <v/>
      </c>
      <c r="M222" s="82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1">
        <f>IF(OR($C222="",$H222="",$J222=""),0,IF(ROUND(($J222-$H222)*1440,0)&gt;設定!$C$42,ROUND(($J222-$H222)*1440,0),0))</f>
        <v/>
      </c>
      <c r="P222" s="81">
        <f>IF(OR($C222="",$I222="",$K222=""),0,IF(ROUND(($I222-$K222)*1440,0)&gt;設定!$C$42,ROUND(($I222-$K222)*1440,0),0))</f>
        <v/>
      </c>
      <c r="Q222" s="82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79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0">
        <f>IF($G223="","",IFERROR(INDEX(設定!$D$6:$D$18,MATCH($G223,設定!$B$6:$B$18,0)),""))</f>
        <v/>
      </c>
      <c r="I223" s="80">
        <f>IF($G223="","",IFERROR(INDEX(設定!$E$6:$E$18,MATCH($G223,設定!$B$6:$B$18,0)),""))</f>
        <v/>
      </c>
      <c r="J223" s="80">
        <f>IFERROR(INDEX(打卡匯入!$C$3:$C$2002,MATCH($C223&amp;"|"&amp;DAY($A223),打卡匯入!$E$3:$E$2002,0)),"")</f>
        <v/>
      </c>
      <c r="K223" s="80">
        <f>IFERROR(INDEX(打卡匯入!$D$3:$D$2002,MATCH($C223&amp;"|"&amp;DAY($A223),打卡匯入!$E$3:$E$2002,0)),"")</f>
        <v/>
      </c>
      <c r="L223" s="81">
        <f>IF(OR($J223="",$K223=""),"",IFERROR(INDEX(設定!$F$6:$F$18,MATCH($G223,設定!$B$6:$B$18,0)),0))</f>
        <v/>
      </c>
      <c r="M223" s="82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1">
        <f>IF(OR($C223="",$H223="",$J223=""),0,IF(ROUND(($J223-$H223)*1440,0)&gt;設定!$C$42,ROUND(($J223-$H223)*1440,0),0))</f>
        <v/>
      </c>
      <c r="P223" s="81">
        <f>IF(OR($C223="",$I223="",$K223=""),0,IF(ROUND(($I223-$K223)*1440,0)&gt;設定!$C$42,ROUND(($I223-$K223)*1440,0),0))</f>
        <v/>
      </c>
      <c r="Q223" s="82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79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0">
        <f>IF($G224="","",IFERROR(INDEX(設定!$D$6:$D$18,MATCH($G224,設定!$B$6:$B$18,0)),""))</f>
        <v/>
      </c>
      <c r="I224" s="80">
        <f>IF($G224="","",IFERROR(INDEX(設定!$E$6:$E$18,MATCH($G224,設定!$B$6:$B$18,0)),""))</f>
        <v/>
      </c>
      <c r="J224" s="80">
        <f>IFERROR(INDEX(打卡匯入!$C$3:$C$2002,MATCH($C224&amp;"|"&amp;DAY($A224),打卡匯入!$E$3:$E$2002,0)),"")</f>
        <v/>
      </c>
      <c r="K224" s="80">
        <f>IFERROR(INDEX(打卡匯入!$D$3:$D$2002,MATCH($C224&amp;"|"&amp;DAY($A224),打卡匯入!$E$3:$E$2002,0)),"")</f>
        <v/>
      </c>
      <c r="L224" s="81">
        <f>IF(OR($J224="",$K224=""),"",IFERROR(INDEX(設定!$F$6:$F$18,MATCH($G224,設定!$B$6:$B$18,0)),0))</f>
        <v/>
      </c>
      <c r="M224" s="82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1">
        <f>IF(OR($C224="",$H224="",$J224=""),0,IF(ROUND(($J224-$H224)*1440,0)&gt;設定!$C$42,ROUND(($J224-$H224)*1440,0),0))</f>
        <v/>
      </c>
      <c r="P224" s="81">
        <f>IF(OR($C224="",$I224="",$K224=""),0,IF(ROUND(($I224-$K224)*1440,0)&gt;設定!$C$42,ROUND(($I224-$K224)*1440,0),0))</f>
        <v/>
      </c>
      <c r="Q224" s="82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79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0">
        <f>IF($G225="","",IFERROR(INDEX(設定!$D$6:$D$18,MATCH($G225,設定!$B$6:$B$18,0)),""))</f>
        <v/>
      </c>
      <c r="I225" s="80">
        <f>IF($G225="","",IFERROR(INDEX(設定!$E$6:$E$18,MATCH($G225,設定!$B$6:$B$18,0)),""))</f>
        <v/>
      </c>
      <c r="J225" s="80">
        <f>IFERROR(INDEX(打卡匯入!$C$3:$C$2002,MATCH($C225&amp;"|"&amp;DAY($A225),打卡匯入!$E$3:$E$2002,0)),"")</f>
        <v/>
      </c>
      <c r="K225" s="80">
        <f>IFERROR(INDEX(打卡匯入!$D$3:$D$2002,MATCH($C225&amp;"|"&amp;DAY($A225),打卡匯入!$E$3:$E$2002,0)),"")</f>
        <v/>
      </c>
      <c r="L225" s="81">
        <f>IF(OR($J225="",$K225=""),"",IFERROR(INDEX(設定!$F$6:$F$18,MATCH($G225,設定!$B$6:$B$18,0)),0))</f>
        <v/>
      </c>
      <c r="M225" s="82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1">
        <f>IF(OR($C225="",$H225="",$J225=""),0,IF(ROUND(($J225-$H225)*1440,0)&gt;設定!$C$42,ROUND(($J225-$H225)*1440,0),0))</f>
        <v/>
      </c>
      <c r="P225" s="81">
        <f>IF(OR($C225="",$I225="",$K225=""),0,IF(ROUND(($I225-$K225)*1440,0)&gt;設定!$C$42,ROUND(($I225-$K225)*1440,0),0))</f>
        <v/>
      </c>
      <c r="Q225" s="82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79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0">
        <f>IF($G226="","",IFERROR(INDEX(設定!$D$6:$D$18,MATCH($G226,設定!$B$6:$B$18,0)),""))</f>
        <v/>
      </c>
      <c r="I226" s="80">
        <f>IF($G226="","",IFERROR(INDEX(設定!$E$6:$E$18,MATCH($G226,設定!$B$6:$B$18,0)),""))</f>
        <v/>
      </c>
      <c r="J226" s="80">
        <f>IFERROR(INDEX(打卡匯入!$C$3:$C$2002,MATCH($C226&amp;"|"&amp;DAY($A226),打卡匯入!$E$3:$E$2002,0)),"")</f>
        <v/>
      </c>
      <c r="K226" s="80">
        <f>IFERROR(INDEX(打卡匯入!$D$3:$D$2002,MATCH($C226&amp;"|"&amp;DAY($A226),打卡匯入!$E$3:$E$2002,0)),"")</f>
        <v/>
      </c>
      <c r="L226" s="81">
        <f>IF(OR($J226="",$K226=""),"",IFERROR(INDEX(設定!$F$6:$F$18,MATCH($G226,設定!$B$6:$B$18,0)),0))</f>
        <v/>
      </c>
      <c r="M226" s="82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1">
        <f>IF(OR($C226="",$H226="",$J226=""),0,IF(ROUND(($J226-$H226)*1440,0)&gt;設定!$C$42,ROUND(($J226-$H226)*1440,0),0))</f>
        <v/>
      </c>
      <c r="P226" s="81">
        <f>IF(OR($C226="",$I226="",$K226=""),0,IF(ROUND(($I226-$K226)*1440,0)&gt;設定!$C$42,ROUND(($I226-$K226)*1440,0),0))</f>
        <v/>
      </c>
      <c r="Q226" s="82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79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0">
        <f>IF($G227="","",IFERROR(INDEX(設定!$D$6:$D$18,MATCH($G227,設定!$B$6:$B$18,0)),""))</f>
        <v/>
      </c>
      <c r="I227" s="80">
        <f>IF($G227="","",IFERROR(INDEX(設定!$E$6:$E$18,MATCH($G227,設定!$B$6:$B$18,0)),""))</f>
        <v/>
      </c>
      <c r="J227" s="80">
        <f>IFERROR(INDEX(打卡匯入!$C$3:$C$2002,MATCH($C227&amp;"|"&amp;DAY($A227),打卡匯入!$E$3:$E$2002,0)),"")</f>
        <v/>
      </c>
      <c r="K227" s="80">
        <f>IFERROR(INDEX(打卡匯入!$D$3:$D$2002,MATCH($C227&amp;"|"&amp;DAY($A227),打卡匯入!$E$3:$E$2002,0)),"")</f>
        <v/>
      </c>
      <c r="L227" s="81">
        <f>IF(OR($J227="",$K227=""),"",IFERROR(INDEX(設定!$F$6:$F$18,MATCH($G227,設定!$B$6:$B$18,0)),0))</f>
        <v/>
      </c>
      <c r="M227" s="82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1">
        <f>IF(OR($C227="",$H227="",$J227=""),0,IF(ROUND(($J227-$H227)*1440,0)&gt;設定!$C$42,ROUND(($J227-$H227)*1440,0),0))</f>
        <v/>
      </c>
      <c r="P227" s="81">
        <f>IF(OR($C227="",$I227="",$K227=""),0,IF(ROUND(($I227-$K227)*1440,0)&gt;設定!$C$42,ROUND(($I227-$K227)*1440,0),0))</f>
        <v/>
      </c>
      <c r="Q227" s="82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79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0">
        <f>IF($G228="","",IFERROR(INDEX(設定!$D$6:$D$18,MATCH($G228,設定!$B$6:$B$18,0)),""))</f>
        <v/>
      </c>
      <c r="I228" s="80">
        <f>IF($G228="","",IFERROR(INDEX(設定!$E$6:$E$18,MATCH($G228,設定!$B$6:$B$18,0)),""))</f>
        <v/>
      </c>
      <c r="J228" s="80">
        <f>IFERROR(INDEX(打卡匯入!$C$3:$C$2002,MATCH($C228&amp;"|"&amp;DAY($A228),打卡匯入!$E$3:$E$2002,0)),"")</f>
        <v/>
      </c>
      <c r="K228" s="80">
        <f>IFERROR(INDEX(打卡匯入!$D$3:$D$2002,MATCH($C228&amp;"|"&amp;DAY($A228),打卡匯入!$E$3:$E$2002,0)),"")</f>
        <v/>
      </c>
      <c r="L228" s="81">
        <f>IF(OR($J228="",$K228=""),"",IFERROR(INDEX(設定!$F$6:$F$18,MATCH($G228,設定!$B$6:$B$18,0)),0))</f>
        <v/>
      </c>
      <c r="M228" s="82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1">
        <f>IF(OR($C228="",$H228="",$J228=""),0,IF(ROUND(($J228-$H228)*1440,0)&gt;設定!$C$42,ROUND(($J228-$H228)*1440,0),0))</f>
        <v/>
      </c>
      <c r="P228" s="81">
        <f>IF(OR($C228="",$I228="",$K228=""),0,IF(ROUND(($I228-$K228)*1440,0)&gt;設定!$C$42,ROUND(($I228-$K228)*1440,0),0))</f>
        <v/>
      </c>
      <c r="Q228" s="82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79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0">
        <f>IF($G229="","",IFERROR(INDEX(設定!$D$6:$D$18,MATCH($G229,設定!$B$6:$B$18,0)),""))</f>
        <v/>
      </c>
      <c r="I229" s="80">
        <f>IF($G229="","",IFERROR(INDEX(設定!$E$6:$E$18,MATCH($G229,設定!$B$6:$B$18,0)),""))</f>
        <v/>
      </c>
      <c r="J229" s="80">
        <f>IFERROR(INDEX(打卡匯入!$C$3:$C$2002,MATCH($C229&amp;"|"&amp;DAY($A229),打卡匯入!$E$3:$E$2002,0)),"")</f>
        <v/>
      </c>
      <c r="K229" s="80">
        <f>IFERROR(INDEX(打卡匯入!$D$3:$D$2002,MATCH($C229&amp;"|"&amp;DAY($A229),打卡匯入!$E$3:$E$2002,0)),"")</f>
        <v/>
      </c>
      <c r="L229" s="81">
        <f>IF(OR($J229="",$K229=""),"",IFERROR(INDEX(設定!$F$6:$F$18,MATCH($G229,設定!$B$6:$B$18,0)),0))</f>
        <v/>
      </c>
      <c r="M229" s="82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1">
        <f>IF(OR($C229="",$H229="",$J229=""),0,IF(ROUND(($J229-$H229)*1440,0)&gt;設定!$C$42,ROUND(($J229-$H229)*1440,0),0))</f>
        <v/>
      </c>
      <c r="P229" s="81">
        <f>IF(OR($C229="",$I229="",$K229=""),0,IF(ROUND(($I229-$K229)*1440,0)&gt;設定!$C$42,ROUND(($I229-$K229)*1440,0),0))</f>
        <v/>
      </c>
      <c r="Q229" s="82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79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0">
        <f>IF($G230="","",IFERROR(INDEX(設定!$D$6:$D$18,MATCH($G230,設定!$B$6:$B$18,0)),""))</f>
        <v/>
      </c>
      <c r="I230" s="80">
        <f>IF($G230="","",IFERROR(INDEX(設定!$E$6:$E$18,MATCH($G230,設定!$B$6:$B$18,0)),""))</f>
        <v/>
      </c>
      <c r="J230" s="80">
        <f>IFERROR(INDEX(打卡匯入!$C$3:$C$2002,MATCH($C230&amp;"|"&amp;DAY($A230),打卡匯入!$E$3:$E$2002,0)),"")</f>
        <v/>
      </c>
      <c r="K230" s="80">
        <f>IFERROR(INDEX(打卡匯入!$D$3:$D$2002,MATCH($C230&amp;"|"&amp;DAY($A230),打卡匯入!$E$3:$E$2002,0)),"")</f>
        <v/>
      </c>
      <c r="L230" s="81">
        <f>IF(OR($J230="",$K230=""),"",IFERROR(INDEX(設定!$F$6:$F$18,MATCH($G230,設定!$B$6:$B$18,0)),0))</f>
        <v/>
      </c>
      <c r="M230" s="82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1">
        <f>IF(OR($C230="",$H230="",$J230=""),0,IF(ROUND(($J230-$H230)*1440,0)&gt;設定!$C$42,ROUND(($J230-$H230)*1440,0),0))</f>
        <v/>
      </c>
      <c r="P230" s="81">
        <f>IF(OR($C230="",$I230="",$K230=""),0,IF(ROUND(($I230-$K230)*1440,0)&gt;設定!$C$42,ROUND(($I230-$K230)*1440,0),0))</f>
        <v/>
      </c>
      <c r="Q230" s="82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79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0">
        <f>IF($G231="","",IFERROR(INDEX(設定!$D$6:$D$18,MATCH($G231,設定!$B$6:$B$18,0)),""))</f>
        <v/>
      </c>
      <c r="I231" s="80">
        <f>IF($G231="","",IFERROR(INDEX(設定!$E$6:$E$18,MATCH($G231,設定!$B$6:$B$18,0)),""))</f>
        <v/>
      </c>
      <c r="J231" s="80">
        <f>IFERROR(INDEX(打卡匯入!$C$3:$C$2002,MATCH($C231&amp;"|"&amp;DAY($A231),打卡匯入!$E$3:$E$2002,0)),"")</f>
        <v/>
      </c>
      <c r="K231" s="80">
        <f>IFERROR(INDEX(打卡匯入!$D$3:$D$2002,MATCH($C231&amp;"|"&amp;DAY($A231),打卡匯入!$E$3:$E$2002,0)),"")</f>
        <v/>
      </c>
      <c r="L231" s="81">
        <f>IF(OR($J231="",$K231=""),"",IFERROR(INDEX(設定!$F$6:$F$18,MATCH($G231,設定!$B$6:$B$18,0)),0))</f>
        <v/>
      </c>
      <c r="M231" s="82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1">
        <f>IF(OR($C231="",$H231="",$J231=""),0,IF(ROUND(($J231-$H231)*1440,0)&gt;設定!$C$42,ROUND(($J231-$H231)*1440,0),0))</f>
        <v/>
      </c>
      <c r="P231" s="81">
        <f>IF(OR($C231="",$I231="",$K231=""),0,IF(ROUND(($I231-$K231)*1440,0)&gt;設定!$C$42,ROUND(($I231-$K231)*1440,0),0))</f>
        <v/>
      </c>
      <c r="Q231" s="82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79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0">
        <f>IF($G232="","",IFERROR(INDEX(設定!$D$6:$D$18,MATCH($G232,設定!$B$6:$B$18,0)),""))</f>
        <v/>
      </c>
      <c r="I232" s="80">
        <f>IF($G232="","",IFERROR(INDEX(設定!$E$6:$E$18,MATCH($G232,設定!$B$6:$B$18,0)),""))</f>
        <v/>
      </c>
      <c r="J232" s="80">
        <f>IFERROR(INDEX(打卡匯入!$C$3:$C$2002,MATCH($C232&amp;"|"&amp;DAY($A232),打卡匯入!$E$3:$E$2002,0)),"")</f>
        <v/>
      </c>
      <c r="K232" s="80">
        <f>IFERROR(INDEX(打卡匯入!$D$3:$D$2002,MATCH($C232&amp;"|"&amp;DAY($A232),打卡匯入!$E$3:$E$2002,0)),"")</f>
        <v/>
      </c>
      <c r="L232" s="81">
        <f>IF(OR($J232="",$K232=""),"",IFERROR(INDEX(設定!$F$6:$F$18,MATCH($G232,設定!$B$6:$B$18,0)),0))</f>
        <v/>
      </c>
      <c r="M232" s="82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1">
        <f>IF(OR($C232="",$H232="",$J232=""),0,IF(ROUND(($J232-$H232)*1440,0)&gt;設定!$C$42,ROUND(($J232-$H232)*1440,0),0))</f>
        <v/>
      </c>
      <c r="P232" s="81">
        <f>IF(OR($C232="",$I232="",$K232=""),0,IF(ROUND(($I232-$K232)*1440,0)&gt;設定!$C$42,ROUND(($I232-$K232)*1440,0),0))</f>
        <v/>
      </c>
      <c r="Q232" s="82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79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0">
        <f>IF($G233="","",IFERROR(INDEX(設定!$D$6:$D$18,MATCH($G233,設定!$B$6:$B$18,0)),""))</f>
        <v/>
      </c>
      <c r="I233" s="80">
        <f>IF($G233="","",IFERROR(INDEX(設定!$E$6:$E$18,MATCH($G233,設定!$B$6:$B$18,0)),""))</f>
        <v/>
      </c>
      <c r="J233" s="80">
        <f>IFERROR(INDEX(打卡匯入!$C$3:$C$2002,MATCH($C233&amp;"|"&amp;DAY($A233),打卡匯入!$E$3:$E$2002,0)),"")</f>
        <v/>
      </c>
      <c r="K233" s="80">
        <f>IFERROR(INDEX(打卡匯入!$D$3:$D$2002,MATCH($C233&amp;"|"&amp;DAY($A233),打卡匯入!$E$3:$E$2002,0)),"")</f>
        <v/>
      </c>
      <c r="L233" s="81">
        <f>IF(OR($J233="",$K233=""),"",IFERROR(INDEX(設定!$F$6:$F$18,MATCH($G233,設定!$B$6:$B$18,0)),0))</f>
        <v/>
      </c>
      <c r="M233" s="82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1">
        <f>IF(OR($C233="",$H233="",$J233=""),0,IF(ROUND(($J233-$H233)*1440,0)&gt;設定!$C$42,ROUND(($J233-$H233)*1440,0),0))</f>
        <v/>
      </c>
      <c r="P233" s="81">
        <f>IF(OR($C233="",$I233="",$K233=""),0,IF(ROUND(($I233-$K233)*1440,0)&gt;設定!$C$42,ROUND(($I233-$K233)*1440,0),0))</f>
        <v/>
      </c>
      <c r="Q233" s="82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79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0">
        <f>IF($G234="","",IFERROR(INDEX(設定!$D$6:$D$18,MATCH($G234,設定!$B$6:$B$18,0)),""))</f>
        <v/>
      </c>
      <c r="I234" s="80">
        <f>IF($G234="","",IFERROR(INDEX(設定!$E$6:$E$18,MATCH($G234,設定!$B$6:$B$18,0)),""))</f>
        <v/>
      </c>
      <c r="J234" s="80">
        <f>IFERROR(INDEX(打卡匯入!$C$3:$C$2002,MATCH($C234&amp;"|"&amp;DAY($A234),打卡匯入!$E$3:$E$2002,0)),"")</f>
        <v/>
      </c>
      <c r="K234" s="80">
        <f>IFERROR(INDEX(打卡匯入!$D$3:$D$2002,MATCH($C234&amp;"|"&amp;DAY($A234),打卡匯入!$E$3:$E$2002,0)),"")</f>
        <v/>
      </c>
      <c r="L234" s="81">
        <f>IF(OR($J234="",$K234=""),"",IFERROR(INDEX(設定!$F$6:$F$18,MATCH($G234,設定!$B$6:$B$18,0)),0))</f>
        <v/>
      </c>
      <c r="M234" s="82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1">
        <f>IF(OR($C234="",$H234="",$J234=""),0,IF(ROUND(($J234-$H234)*1440,0)&gt;設定!$C$42,ROUND(($J234-$H234)*1440,0),0))</f>
        <v/>
      </c>
      <c r="P234" s="81">
        <f>IF(OR($C234="",$I234="",$K234=""),0,IF(ROUND(($I234-$K234)*1440,0)&gt;設定!$C$42,ROUND(($I234-$K234)*1440,0),0))</f>
        <v/>
      </c>
      <c r="Q234" s="82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79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0">
        <f>IF($G235="","",IFERROR(INDEX(設定!$D$6:$D$18,MATCH($G235,設定!$B$6:$B$18,0)),""))</f>
        <v/>
      </c>
      <c r="I235" s="80">
        <f>IF($G235="","",IFERROR(INDEX(設定!$E$6:$E$18,MATCH($G235,設定!$B$6:$B$18,0)),""))</f>
        <v/>
      </c>
      <c r="J235" s="80">
        <f>IFERROR(INDEX(打卡匯入!$C$3:$C$2002,MATCH($C235&amp;"|"&amp;DAY($A235),打卡匯入!$E$3:$E$2002,0)),"")</f>
        <v/>
      </c>
      <c r="K235" s="80">
        <f>IFERROR(INDEX(打卡匯入!$D$3:$D$2002,MATCH($C235&amp;"|"&amp;DAY($A235),打卡匯入!$E$3:$E$2002,0)),"")</f>
        <v/>
      </c>
      <c r="L235" s="81">
        <f>IF(OR($J235="",$K235=""),"",IFERROR(INDEX(設定!$F$6:$F$18,MATCH($G235,設定!$B$6:$B$18,0)),0))</f>
        <v/>
      </c>
      <c r="M235" s="82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1">
        <f>IF(OR($C235="",$H235="",$J235=""),0,IF(ROUND(($J235-$H235)*1440,0)&gt;設定!$C$42,ROUND(($J235-$H235)*1440,0),0))</f>
        <v/>
      </c>
      <c r="P235" s="81">
        <f>IF(OR($C235="",$I235="",$K235=""),0,IF(ROUND(($I235-$K235)*1440,0)&gt;設定!$C$42,ROUND(($I235-$K235)*1440,0),0))</f>
        <v/>
      </c>
      <c r="Q235" s="82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79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0">
        <f>IF($G236="","",IFERROR(INDEX(設定!$D$6:$D$18,MATCH($G236,設定!$B$6:$B$18,0)),""))</f>
        <v/>
      </c>
      <c r="I236" s="80">
        <f>IF($G236="","",IFERROR(INDEX(設定!$E$6:$E$18,MATCH($G236,設定!$B$6:$B$18,0)),""))</f>
        <v/>
      </c>
      <c r="J236" s="80">
        <f>IFERROR(INDEX(打卡匯入!$C$3:$C$2002,MATCH($C236&amp;"|"&amp;DAY($A236),打卡匯入!$E$3:$E$2002,0)),"")</f>
        <v/>
      </c>
      <c r="K236" s="80">
        <f>IFERROR(INDEX(打卡匯入!$D$3:$D$2002,MATCH($C236&amp;"|"&amp;DAY($A236),打卡匯入!$E$3:$E$2002,0)),"")</f>
        <v/>
      </c>
      <c r="L236" s="81">
        <f>IF(OR($J236="",$K236=""),"",IFERROR(INDEX(設定!$F$6:$F$18,MATCH($G236,設定!$B$6:$B$18,0)),0))</f>
        <v/>
      </c>
      <c r="M236" s="82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1">
        <f>IF(OR($C236="",$H236="",$J236=""),0,IF(ROUND(($J236-$H236)*1440,0)&gt;設定!$C$42,ROUND(($J236-$H236)*1440,0),0))</f>
        <v/>
      </c>
      <c r="P236" s="81">
        <f>IF(OR($C236="",$I236="",$K236=""),0,IF(ROUND(($I236-$K236)*1440,0)&gt;設定!$C$42,ROUND(($I236-$K236)*1440,0),0))</f>
        <v/>
      </c>
      <c r="Q236" s="82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79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0">
        <f>IF($G237="","",IFERROR(INDEX(設定!$D$6:$D$18,MATCH($G237,設定!$B$6:$B$18,0)),""))</f>
        <v/>
      </c>
      <c r="I237" s="80">
        <f>IF($G237="","",IFERROR(INDEX(設定!$E$6:$E$18,MATCH($G237,設定!$B$6:$B$18,0)),""))</f>
        <v/>
      </c>
      <c r="J237" s="80">
        <f>IFERROR(INDEX(打卡匯入!$C$3:$C$2002,MATCH($C237&amp;"|"&amp;DAY($A237),打卡匯入!$E$3:$E$2002,0)),"")</f>
        <v/>
      </c>
      <c r="K237" s="80">
        <f>IFERROR(INDEX(打卡匯入!$D$3:$D$2002,MATCH($C237&amp;"|"&amp;DAY($A237),打卡匯入!$E$3:$E$2002,0)),"")</f>
        <v/>
      </c>
      <c r="L237" s="81">
        <f>IF(OR($J237="",$K237=""),"",IFERROR(INDEX(設定!$F$6:$F$18,MATCH($G237,設定!$B$6:$B$18,0)),0))</f>
        <v/>
      </c>
      <c r="M237" s="82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1">
        <f>IF(OR($C237="",$H237="",$J237=""),0,IF(ROUND(($J237-$H237)*1440,0)&gt;設定!$C$42,ROUND(($J237-$H237)*1440,0),0))</f>
        <v/>
      </c>
      <c r="P237" s="81">
        <f>IF(OR($C237="",$I237="",$K237=""),0,IF(ROUND(($I237-$K237)*1440,0)&gt;設定!$C$42,ROUND(($I237-$K237)*1440,0),0))</f>
        <v/>
      </c>
      <c r="Q237" s="82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79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0">
        <f>IF($G238="","",IFERROR(INDEX(設定!$D$6:$D$18,MATCH($G238,設定!$B$6:$B$18,0)),""))</f>
        <v/>
      </c>
      <c r="I238" s="80">
        <f>IF($G238="","",IFERROR(INDEX(設定!$E$6:$E$18,MATCH($G238,設定!$B$6:$B$18,0)),""))</f>
        <v/>
      </c>
      <c r="J238" s="80">
        <f>IFERROR(INDEX(打卡匯入!$C$3:$C$2002,MATCH($C238&amp;"|"&amp;DAY($A238),打卡匯入!$E$3:$E$2002,0)),"")</f>
        <v/>
      </c>
      <c r="K238" s="80">
        <f>IFERROR(INDEX(打卡匯入!$D$3:$D$2002,MATCH($C238&amp;"|"&amp;DAY($A238),打卡匯入!$E$3:$E$2002,0)),"")</f>
        <v/>
      </c>
      <c r="L238" s="81">
        <f>IF(OR($J238="",$K238=""),"",IFERROR(INDEX(設定!$F$6:$F$18,MATCH($G238,設定!$B$6:$B$18,0)),0))</f>
        <v/>
      </c>
      <c r="M238" s="82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1">
        <f>IF(OR($C238="",$H238="",$J238=""),0,IF(ROUND(($J238-$H238)*1440,0)&gt;設定!$C$42,ROUND(($J238-$H238)*1440,0),0))</f>
        <v/>
      </c>
      <c r="P238" s="81">
        <f>IF(OR($C238="",$I238="",$K238=""),0,IF(ROUND(($I238-$K238)*1440,0)&gt;設定!$C$42,ROUND(($I238-$K238)*1440,0),0))</f>
        <v/>
      </c>
      <c r="Q238" s="82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79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0">
        <f>IF($G239="","",IFERROR(INDEX(設定!$D$6:$D$18,MATCH($G239,設定!$B$6:$B$18,0)),""))</f>
        <v/>
      </c>
      <c r="I239" s="80">
        <f>IF($G239="","",IFERROR(INDEX(設定!$E$6:$E$18,MATCH($G239,設定!$B$6:$B$18,0)),""))</f>
        <v/>
      </c>
      <c r="J239" s="80">
        <f>IFERROR(INDEX(打卡匯入!$C$3:$C$2002,MATCH($C239&amp;"|"&amp;DAY($A239),打卡匯入!$E$3:$E$2002,0)),"")</f>
        <v/>
      </c>
      <c r="K239" s="80">
        <f>IFERROR(INDEX(打卡匯入!$D$3:$D$2002,MATCH($C239&amp;"|"&amp;DAY($A239),打卡匯入!$E$3:$E$2002,0)),"")</f>
        <v/>
      </c>
      <c r="L239" s="81">
        <f>IF(OR($J239="",$K239=""),"",IFERROR(INDEX(設定!$F$6:$F$18,MATCH($G239,設定!$B$6:$B$18,0)),0))</f>
        <v/>
      </c>
      <c r="M239" s="82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1">
        <f>IF(OR($C239="",$H239="",$J239=""),0,IF(ROUND(($J239-$H239)*1440,0)&gt;設定!$C$42,ROUND(($J239-$H239)*1440,0),0))</f>
        <v/>
      </c>
      <c r="P239" s="81">
        <f>IF(OR($C239="",$I239="",$K239=""),0,IF(ROUND(($I239-$K239)*1440,0)&gt;設定!$C$42,ROUND(($I239-$K239)*1440,0),0))</f>
        <v/>
      </c>
      <c r="Q239" s="82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79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0">
        <f>IF($G240="","",IFERROR(INDEX(設定!$D$6:$D$18,MATCH($G240,設定!$B$6:$B$18,0)),""))</f>
        <v/>
      </c>
      <c r="I240" s="80">
        <f>IF($G240="","",IFERROR(INDEX(設定!$E$6:$E$18,MATCH($G240,設定!$B$6:$B$18,0)),""))</f>
        <v/>
      </c>
      <c r="J240" s="80">
        <f>IFERROR(INDEX(打卡匯入!$C$3:$C$2002,MATCH($C240&amp;"|"&amp;DAY($A240),打卡匯入!$E$3:$E$2002,0)),"")</f>
        <v/>
      </c>
      <c r="K240" s="80">
        <f>IFERROR(INDEX(打卡匯入!$D$3:$D$2002,MATCH($C240&amp;"|"&amp;DAY($A240),打卡匯入!$E$3:$E$2002,0)),"")</f>
        <v/>
      </c>
      <c r="L240" s="81">
        <f>IF(OR($J240="",$K240=""),"",IFERROR(INDEX(設定!$F$6:$F$18,MATCH($G240,設定!$B$6:$B$18,0)),0))</f>
        <v/>
      </c>
      <c r="M240" s="82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1">
        <f>IF(OR($C240="",$H240="",$J240=""),0,IF(ROUND(($J240-$H240)*1440,0)&gt;設定!$C$42,ROUND(($J240-$H240)*1440,0),0))</f>
        <v/>
      </c>
      <c r="P240" s="81">
        <f>IF(OR($C240="",$I240="",$K240=""),0,IF(ROUND(($I240-$K240)*1440,0)&gt;設定!$C$42,ROUND(($I240-$K240)*1440,0),0))</f>
        <v/>
      </c>
      <c r="Q240" s="82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79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0">
        <f>IF($G241="","",IFERROR(INDEX(設定!$D$6:$D$18,MATCH($G241,設定!$B$6:$B$18,0)),""))</f>
        <v/>
      </c>
      <c r="I241" s="80">
        <f>IF($G241="","",IFERROR(INDEX(設定!$E$6:$E$18,MATCH($G241,設定!$B$6:$B$18,0)),""))</f>
        <v/>
      </c>
      <c r="J241" s="80">
        <f>IFERROR(INDEX(打卡匯入!$C$3:$C$2002,MATCH($C241&amp;"|"&amp;DAY($A241),打卡匯入!$E$3:$E$2002,0)),"")</f>
        <v/>
      </c>
      <c r="K241" s="80">
        <f>IFERROR(INDEX(打卡匯入!$D$3:$D$2002,MATCH($C241&amp;"|"&amp;DAY($A241),打卡匯入!$E$3:$E$2002,0)),"")</f>
        <v/>
      </c>
      <c r="L241" s="81">
        <f>IF(OR($J241="",$K241=""),"",IFERROR(INDEX(設定!$F$6:$F$18,MATCH($G241,設定!$B$6:$B$18,0)),0))</f>
        <v/>
      </c>
      <c r="M241" s="82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1">
        <f>IF(OR($C241="",$H241="",$J241=""),0,IF(ROUND(($J241-$H241)*1440,0)&gt;設定!$C$42,ROUND(($J241-$H241)*1440,0),0))</f>
        <v/>
      </c>
      <c r="P241" s="81">
        <f>IF(OR($C241="",$I241="",$K241=""),0,IF(ROUND(($I241-$K241)*1440,0)&gt;設定!$C$42,ROUND(($I241-$K241)*1440,0),0))</f>
        <v/>
      </c>
      <c r="Q241" s="82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79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0">
        <f>IF($G242="","",IFERROR(INDEX(設定!$D$6:$D$18,MATCH($G242,設定!$B$6:$B$18,0)),""))</f>
        <v/>
      </c>
      <c r="I242" s="80">
        <f>IF($G242="","",IFERROR(INDEX(設定!$E$6:$E$18,MATCH($G242,設定!$B$6:$B$18,0)),""))</f>
        <v/>
      </c>
      <c r="J242" s="80">
        <f>IFERROR(INDEX(打卡匯入!$C$3:$C$2002,MATCH($C242&amp;"|"&amp;DAY($A242),打卡匯入!$E$3:$E$2002,0)),"")</f>
        <v/>
      </c>
      <c r="K242" s="80">
        <f>IFERROR(INDEX(打卡匯入!$D$3:$D$2002,MATCH($C242&amp;"|"&amp;DAY($A242),打卡匯入!$E$3:$E$2002,0)),"")</f>
        <v/>
      </c>
      <c r="L242" s="81">
        <f>IF(OR($J242="",$K242=""),"",IFERROR(INDEX(設定!$F$6:$F$18,MATCH($G242,設定!$B$6:$B$18,0)),0))</f>
        <v/>
      </c>
      <c r="M242" s="82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1">
        <f>IF(OR($C242="",$H242="",$J242=""),0,IF(ROUND(($J242-$H242)*1440,0)&gt;設定!$C$42,ROUND(($J242-$H242)*1440,0),0))</f>
        <v/>
      </c>
      <c r="P242" s="81">
        <f>IF(OR($C242="",$I242="",$K242=""),0,IF(ROUND(($I242-$K242)*1440,0)&gt;設定!$C$42,ROUND(($I242-$K242)*1440,0),0))</f>
        <v/>
      </c>
      <c r="Q242" s="82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79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0">
        <f>IF($G243="","",IFERROR(INDEX(設定!$D$6:$D$18,MATCH($G243,設定!$B$6:$B$18,0)),""))</f>
        <v/>
      </c>
      <c r="I243" s="80">
        <f>IF($G243="","",IFERROR(INDEX(設定!$E$6:$E$18,MATCH($G243,設定!$B$6:$B$18,0)),""))</f>
        <v/>
      </c>
      <c r="J243" s="80">
        <f>IFERROR(INDEX(打卡匯入!$C$3:$C$2002,MATCH($C243&amp;"|"&amp;DAY($A243),打卡匯入!$E$3:$E$2002,0)),"")</f>
        <v/>
      </c>
      <c r="K243" s="80">
        <f>IFERROR(INDEX(打卡匯入!$D$3:$D$2002,MATCH($C243&amp;"|"&amp;DAY($A243),打卡匯入!$E$3:$E$2002,0)),"")</f>
        <v/>
      </c>
      <c r="L243" s="81">
        <f>IF(OR($J243="",$K243=""),"",IFERROR(INDEX(設定!$F$6:$F$18,MATCH($G243,設定!$B$6:$B$18,0)),0))</f>
        <v/>
      </c>
      <c r="M243" s="82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1">
        <f>IF(OR($C243="",$H243="",$J243=""),0,IF(ROUND(($J243-$H243)*1440,0)&gt;設定!$C$42,ROUND(($J243-$H243)*1440,0),0))</f>
        <v/>
      </c>
      <c r="P243" s="81">
        <f>IF(OR($C243="",$I243="",$K243=""),0,IF(ROUND(($I243-$K243)*1440,0)&gt;設定!$C$42,ROUND(($I243-$K243)*1440,0),0))</f>
        <v/>
      </c>
      <c r="Q243" s="82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79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0">
        <f>IF($G244="","",IFERROR(INDEX(設定!$D$6:$D$18,MATCH($G244,設定!$B$6:$B$18,0)),""))</f>
        <v/>
      </c>
      <c r="I244" s="80">
        <f>IF($G244="","",IFERROR(INDEX(設定!$E$6:$E$18,MATCH($G244,設定!$B$6:$B$18,0)),""))</f>
        <v/>
      </c>
      <c r="J244" s="80">
        <f>IFERROR(INDEX(打卡匯入!$C$3:$C$2002,MATCH($C244&amp;"|"&amp;DAY($A244),打卡匯入!$E$3:$E$2002,0)),"")</f>
        <v/>
      </c>
      <c r="K244" s="80">
        <f>IFERROR(INDEX(打卡匯入!$D$3:$D$2002,MATCH($C244&amp;"|"&amp;DAY($A244),打卡匯入!$E$3:$E$2002,0)),"")</f>
        <v/>
      </c>
      <c r="L244" s="81">
        <f>IF(OR($J244="",$K244=""),"",IFERROR(INDEX(設定!$F$6:$F$18,MATCH($G244,設定!$B$6:$B$18,0)),0))</f>
        <v/>
      </c>
      <c r="M244" s="82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1">
        <f>IF(OR($C244="",$H244="",$J244=""),0,IF(ROUND(($J244-$H244)*1440,0)&gt;設定!$C$42,ROUND(($J244-$H244)*1440,0),0))</f>
        <v/>
      </c>
      <c r="P244" s="81">
        <f>IF(OR($C244="",$I244="",$K244=""),0,IF(ROUND(($I244-$K244)*1440,0)&gt;設定!$C$42,ROUND(($I244-$K244)*1440,0),0))</f>
        <v/>
      </c>
      <c r="Q244" s="82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79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0">
        <f>IF($G245="","",IFERROR(INDEX(設定!$D$6:$D$18,MATCH($G245,設定!$B$6:$B$18,0)),""))</f>
        <v/>
      </c>
      <c r="I245" s="80">
        <f>IF($G245="","",IFERROR(INDEX(設定!$E$6:$E$18,MATCH($G245,設定!$B$6:$B$18,0)),""))</f>
        <v/>
      </c>
      <c r="J245" s="80">
        <f>IFERROR(INDEX(打卡匯入!$C$3:$C$2002,MATCH($C245&amp;"|"&amp;DAY($A245),打卡匯入!$E$3:$E$2002,0)),"")</f>
        <v/>
      </c>
      <c r="K245" s="80">
        <f>IFERROR(INDEX(打卡匯入!$D$3:$D$2002,MATCH($C245&amp;"|"&amp;DAY($A245),打卡匯入!$E$3:$E$2002,0)),"")</f>
        <v/>
      </c>
      <c r="L245" s="81">
        <f>IF(OR($J245="",$K245=""),"",IFERROR(INDEX(設定!$F$6:$F$18,MATCH($G245,設定!$B$6:$B$18,0)),0))</f>
        <v/>
      </c>
      <c r="M245" s="82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1">
        <f>IF(OR($C245="",$H245="",$J245=""),0,IF(ROUND(($J245-$H245)*1440,0)&gt;設定!$C$42,ROUND(($J245-$H245)*1440,0),0))</f>
        <v/>
      </c>
      <c r="P245" s="81">
        <f>IF(OR($C245="",$I245="",$K245=""),0,IF(ROUND(($I245-$K245)*1440,0)&gt;設定!$C$42,ROUND(($I245-$K245)*1440,0),0))</f>
        <v/>
      </c>
      <c r="Q245" s="82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79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0">
        <f>IF($G246="","",IFERROR(INDEX(設定!$D$6:$D$18,MATCH($G246,設定!$B$6:$B$18,0)),""))</f>
        <v/>
      </c>
      <c r="I246" s="80">
        <f>IF($G246="","",IFERROR(INDEX(設定!$E$6:$E$18,MATCH($G246,設定!$B$6:$B$18,0)),""))</f>
        <v/>
      </c>
      <c r="J246" s="80">
        <f>IFERROR(INDEX(打卡匯入!$C$3:$C$2002,MATCH($C246&amp;"|"&amp;DAY($A246),打卡匯入!$E$3:$E$2002,0)),"")</f>
        <v/>
      </c>
      <c r="K246" s="80">
        <f>IFERROR(INDEX(打卡匯入!$D$3:$D$2002,MATCH($C246&amp;"|"&amp;DAY($A246),打卡匯入!$E$3:$E$2002,0)),"")</f>
        <v/>
      </c>
      <c r="L246" s="81">
        <f>IF(OR($J246="",$K246=""),"",IFERROR(INDEX(設定!$F$6:$F$18,MATCH($G246,設定!$B$6:$B$18,0)),0))</f>
        <v/>
      </c>
      <c r="M246" s="82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1">
        <f>IF(OR($C246="",$H246="",$J246=""),0,IF(ROUND(($J246-$H246)*1440,0)&gt;設定!$C$42,ROUND(($J246-$H246)*1440,0),0))</f>
        <v/>
      </c>
      <c r="P246" s="81">
        <f>IF(OR($C246="",$I246="",$K246=""),0,IF(ROUND(($I246-$K246)*1440,0)&gt;設定!$C$42,ROUND(($I246-$K246)*1440,0),0))</f>
        <v/>
      </c>
      <c r="Q246" s="82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79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0">
        <f>IF($G247="","",IFERROR(INDEX(設定!$D$6:$D$18,MATCH($G247,設定!$B$6:$B$18,0)),""))</f>
        <v/>
      </c>
      <c r="I247" s="80">
        <f>IF($G247="","",IFERROR(INDEX(設定!$E$6:$E$18,MATCH($G247,設定!$B$6:$B$18,0)),""))</f>
        <v/>
      </c>
      <c r="J247" s="80">
        <f>IFERROR(INDEX(打卡匯入!$C$3:$C$2002,MATCH($C247&amp;"|"&amp;DAY($A247),打卡匯入!$E$3:$E$2002,0)),"")</f>
        <v/>
      </c>
      <c r="K247" s="80">
        <f>IFERROR(INDEX(打卡匯入!$D$3:$D$2002,MATCH($C247&amp;"|"&amp;DAY($A247),打卡匯入!$E$3:$E$2002,0)),"")</f>
        <v/>
      </c>
      <c r="L247" s="81">
        <f>IF(OR($J247="",$K247=""),"",IFERROR(INDEX(設定!$F$6:$F$18,MATCH($G247,設定!$B$6:$B$18,0)),0))</f>
        <v/>
      </c>
      <c r="M247" s="82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1">
        <f>IF(OR($C247="",$H247="",$J247=""),0,IF(ROUND(($J247-$H247)*1440,0)&gt;設定!$C$42,ROUND(($J247-$H247)*1440,0),0))</f>
        <v/>
      </c>
      <c r="P247" s="81">
        <f>IF(OR($C247="",$I247="",$K247=""),0,IF(ROUND(($I247-$K247)*1440,0)&gt;設定!$C$42,ROUND(($I247-$K247)*1440,0),0))</f>
        <v/>
      </c>
      <c r="Q247" s="82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79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0">
        <f>IF($G248="","",IFERROR(INDEX(設定!$D$6:$D$18,MATCH($G248,設定!$B$6:$B$18,0)),""))</f>
        <v/>
      </c>
      <c r="I248" s="80">
        <f>IF($G248="","",IFERROR(INDEX(設定!$E$6:$E$18,MATCH($G248,設定!$B$6:$B$18,0)),""))</f>
        <v/>
      </c>
      <c r="J248" s="80">
        <f>IFERROR(INDEX(打卡匯入!$C$3:$C$2002,MATCH($C248&amp;"|"&amp;DAY($A248),打卡匯入!$E$3:$E$2002,0)),"")</f>
        <v/>
      </c>
      <c r="K248" s="80">
        <f>IFERROR(INDEX(打卡匯入!$D$3:$D$2002,MATCH($C248&amp;"|"&amp;DAY($A248),打卡匯入!$E$3:$E$2002,0)),"")</f>
        <v/>
      </c>
      <c r="L248" s="81">
        <f>IF(OR($J248="",$K248=""),"",IFERROR(INDEX(設定!$F$6:$F$18,MATCH($G248,設定!$B$6:$B$18,0)),0))</f>
        <v/>
      </c>
      <c r="M248" s="82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1">
        <f>IF(OR($C248="",$H248="",$J248=""),0,IF(ROUND(($J248-$H248)*1440,0)&gt;設定!$C$42,ROUND(($J248-$H248)*1440,0),0))</f>
        <v/>
      </c>
      <c r="P248" s="81">
        <f>IF(OR($C248="",$I248="",$K248=""),0,IF(ROUND(($I248-$K248)*1440,0)&gt;設定!$C$42,ROUND(($I248-$K248)*1440,0),0))</f>
        <v/>
      </c>
      <c r="Q248" s="82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79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0">
        <f>IF($G249="","",IFERROR(INDEX(設定!$D$6:$D$18,MATCH($G249,設定!$B$6:$B$18,0)),""))</f>
        <v/>
      </c>
      <c r="I249" s="80">
        <f>IF($G249="","",IFERROR(INDEX(設定!$E$6:$E$18,MATCH($G249,設定!$B$6:$B$18,0)),""))</f>
        <v/>
      </c>
      <c r="J249" s="80">
        <f>IFERROR(INDEX(打卡匯入!$C$3:$C$2002,MATCH($C249&amp;"|"&amp;DAY($A249),打卡匯入!$E$3:$E$2002,0)),"")</f>
        <v/>
      </c>
      <c r="K249" s="80">
        <f>IFERROR(INDEX(打卡匯入!$D$3:$D$2002,MATCH($C249&amp;"|"&amp;DAY($A249),打卡匯入!$E$3:$E$2002,0)),"")</f>
        <v/>
      </c>
      <c r="L249" s="81">
        <f>IF(OR($J249="",$K249=""),"",IFERROR(INDEX(設定!$F$6:$F$18,MATCH($G249,設定!$B$6:$B$18,0)),0))</f>
        <v/>
      </c>
      <c r="M249" s="82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1">
        <f>IF(OR($C249="",$H249="",$J249=""),0,IF(ROUND(($J249-$H249)*1440,0)&gt;設定!$C$42,ROUND(($J249-$H249)*1440,0),0))</f>
        <v/>
      </c>
      <c r="P249" s="81">
        <f>IF(OR($C249="",$I249="",$K249=""),0,IF(ROUND(($I249-$K249)*1440,0)&gt;設定!$C$42,ROUND(($I249-$K249)*1440,0),0))</f>
        <v/>
      </c>
      <c r="Q249" s="82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79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0">
        <f>IF($G250="","",IFERROR(INDEX(設定!$D$6:$D$18,MATCH($G250,設定!$B$6:$B$18,0)),""))</f>
        <v/>
      </c>
      <c r="I250" s="80">
        <f>IF($G250="","",IFERROR(INDEX(設定!$E$6:$E$18,MATCH($G250,設定!$B$6:$B$18,0)),""))</f>
        <v/>
      </c>
      <c r="J250" s="80">
        <f>IFERROR(INDEX(打卡匯入!$C$3:$C$2002,MATCH($C250&amp;"|"&amp;DAY($A250),打卡匯入!$E$3:$E$2002,0)),"")</f>
        <v/>
      </c>
      <c r="K250" s="80">
        <f>IFERROR(INDEX(打卡匯入!$D$3:$D$2002,MATCH($C250&amp;"|"&amp;DAY($A250),打卡匯入!$E$3:$E$2002,0)),"")</f>
        <v/>
      </c>
      <c r="L250" s="81">
        <f>IF(OR($J250="",$K250=""),"",IFERROR(INDEX(設定!$F$6:$F$18,MATCH($G250,設定!$B$6:$B$18,0)),0))</f>
        <v/>
      </c>
      <c r="M250" s="82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1">
        <f>IF(OR($C250="",$H250="",$J250=""),0,IF(ROUND(($J250-$H250)*1440,0)&gt;設定!$C$42,ROUND(($J250-$H250)*1440,0),0))</f>
        <v/>
      </c>
      <c r="P250" s="81">
        <f>IF(OR($C250="",$I250="",$K250=""),0,IF(ROUND(($I250-$K250)*1440,0)&gt;設定!$C$42,ROUND(($I250-$K250)*1440,0),0))</f>
        <v/>
      </c>
      <c r="Q250" s="82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79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0">
        <f>IF($G251="","",IFERROR(INDEX(設定!$D$6:$D$18,MATCH($G251,設定!$B$6:$B$18,0)),""))</f>
        <v/>
      </c>
      <c r="I251" s="80">
        <f>IF($G251="","",IFERROR(INDEX(設定!$E$6:$E$18,MATCH($G251,設定!$B$6:$B$18,0)),""))</f>
        <v/>
      </c>
      <c r="J251" s="80">
        <f>IFERROR(INDEX(打卡匯入!$C$3:$C$2002,MATCH($C251&amp;"|"&amp;DAY($A251),打卡匯入!$E$3:$E$2002,0)),"")</f>
        <v/>
      </c>
      <c r="K251" s="80">
        <f>IFERROR(INDEX(打卡匯入!$D$3:$D$2002,MATCH($C251&amp;"|"&amp;DAY($A251),打卡匯入!$E$3:$E$2002,0)),"")</f>
        <v/>
      </c>
      <c r="L251" s="81">
        <f>IF(OR($J251="",$K251=""),"",IFERROR(INDEX(設定!$F$6:$F$18,MATCH($G251,設定!$B$6:$B$18,0)),0))</f>
        <v/>
      </c>
      <c r="M251" s="82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1">
        <f>IF(OR($C251="",$H251="",$J251=""),0,IF(ROUND(($J251-$H251)*1440,0)&gt;設定!$C$42,ROUND(($J251-$H251)*1440,0),0))</f>
        <v/>
      </c>
      <c r="P251" s="81">
        <f>IF(OR($C251="",$I251="",$K251=""),0,IF(ROUND(($I251-$K251)*1440,0)&gt;設定!$C$42,ROUND(($I251-$K251)*1440,0),0))</f>
        <v/>
      </c>
      <c r="Q251" s="82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79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0">
        <f>IF($G252="","",IFERROR(INDEX(設定!$D$6:$D$18,MATCH($G252,設定!$B$6:$B$18,0)),""))</f>
        <v/>
      </c>
      <c r="I252" s="80">
        <f>IF($G252="","",IFERROR(INDEX(設定!$E$6:$E$18,MATCH($G252,設定!$B$6:$B$18,0)),""))</f>
        <v/>
      </c>
      <c r="J252" s="80">
        <f>IFERROR(INDEX(打卡匯入!$C$3:$C$2002,MATCH($C252&amp;"|"&amp;DAY($A252),打卡匯入!$E$3:$E$2002,0)),"")</f>
        <v/>
      </c>
      <c r="K252" s="80">
        <f>IFERROR(INDEX(打卡匯入!$D$3:$D$2002,MATCH($C252&amp;"|"&amp;DAY($A252),打卡匯入!$E$3:$E$2002,0)),"")</f>
        <v/>
      </c>
      <c r="L252" s="81">
        <f>IF(OR($J252="",$K252=""),"",IFERROR(INDEX(設定!$F$6:$F$18,MATCH($G252,設定!$B$6:$B$18,0)),0))</f>
        <v/>
      </c>
      <c r="M252" s="82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1">
        <f>IF(OR($C252="",$H252="",$J252=""),0,IF(ROUND(($J252-$H252)*1440,0)&gt;設定!$C$42,ROUND(($J252-$H252)*1440,0),0))</f>
        <v/>
      </c>
      <c r="P252" s="81">
        <f>IF(OR($C252="",$I252="",$K252=""),0,IF(ROUND(($I252-$K252)*1440,0)&gt;設定!$C$42,ROUND(($I252-$K252)*1440,0),0))</f>
        <v/>
      </c>
      <c r="Q252" s="82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79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0">
        <f>IF($G253="","",IFERROR(INDEX(設定!$D$6:$D$18,MATCH($G253,設定!$B$6:$B$18,0)),""))</f>
        <v/>
      </c>
      <c r="I253" s="80">
        <f>IF($G253="","",IFERROR(INDEX(設定!$E$6:$E$18,MATCH($G253,設定!$B$6:$B$18,0)),""))</f>
        <v/>
      </c>
      <c r="J253" s="80">
        <f>IFERROR(INDEX(打卡匯入!$C$3:$C$2002,MATCH($C253&amp;"|"&amp;DAY($A253),打卡匯入!$E$3:$E$2002,0)),"")</f>
        <v/>
      </c>
      <c r="K253" s="80">
        <f>IFERROR(INDEX(打卡匯入!$D$3:$D$2002,MATCH($C253&amp;"|"&amp;DAY($A253),打卡匯入!$E$3:$E$2002,0)),"")</f>
        <v/>
      </c>
      <c r="L253" s="81">
        <f>IF(OR($J253="",$K253=""),"",IFERROR(INDEX(設定!$F$6:$F$18,MATCH($G253,設定!$B$6:$B$18,0)),0))</f>
        <v/>
      </c>
      <c r="M253" s="82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1">
        <f>IF(OR($C253="",$H253="",$J253=""),0,IF(ROUND(($J253-$H253)*1440,0)&gt;設定!$C$42,ROUND(($J253-$H253)*1440,0),0))</f>
        <v/>
      </c>
      <c r="P253" s="81">
        <f>IF(OR($C253="",$I253="",$K253=""),0,IF(ROUND(($I253-$K253)*1440,0)&gt;設定!$C$42,ROUND(($I253-$K253)*1440,0),0))</f>
        <v/>
      </c>
      <c r="Q253" s="82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79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0">
        <f>IF($G254="","",IFERROR(INDEX(設定!$D$6:$D$18,MATCH($G254,設定!$B$6:$B$18,0)),""))</f>
        <v/>
      </c>
      <c r="I254" s="80">
        <f>IF($G254="","",IFERROR(INDEX(設定!$E$6:$E$18,MATCH($G254,設定!$B$6:$B$18,0)),""))</f>
        <v/>
      </c>
      <c r="J254" s="80">
        <f>IFERROR(INDEX(打卡匯入!$C$3:$C$2002,MATCH($C254&amp;"|"&amp;DAY($A254),打卡匯入!$E$3:$E$2002,0)),"")</f>
        <v/>
      </c>
      <c r="K254" s="80">
        <f>IFERROR(INDEX(打卡匯入!$D$3:$D$2002,MATCH($C254&amp;"|"&amp;DAY($A254),打卡匯入!$E$3:$E$2002,0)),"")</f>
        <v/>
      </c>
      <c r="L254" s="81">
        <f>IF(OR($J254="",$K254=""),"",IFERROR(INDEX(設定!$F$6:$F$18,MATCH($G254,設定!$B$6:$B$18,0)),0))</f>
        <v/>
      </c>
      <c r="M254" s="82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1">
        <f>IF(OR($C254="",$H254="",$J254=""),0,IF(ROUND(($J254-$H254)*1440,0)&gt;設定!$C$42,ROUND(($J254-$H254)*1440,0),0))</f>
        <v/>
      </c>
      <c r="P254" s="81">
        <f>IF(OR($C254="",$I254="",$K254=""),0,IF(ROUND(($I254-$K254)*1440,0)&gt;設定!$C$42,ROUND(($I254-$K254)*1440,0),0))</f>
        <v/>
      </c>
      <c r="Q254" s="82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79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0">
        <f>IF($G255="","",IFERROR(INDEX(設定!$D$6:$D$18,MATCH($G255,設定!$B$6:$B$18,0)),""))</f>
        <v/>
      </c>
      <c r="I255" s="80">
        <f>IF($G255="","",IFERROR(INDEX(設定!$E$6:$E$18,MATCH($G255,設定!$B$6:$B$18,0)),""))</f>
        <v/>
      </c>
      <c r="J255" s="80">
        <f>IFERROR(INDEX(打卡匯入!$C$3:$C$2002,MATCH($C255&amp;"|"&amp;DAY($A255),打卡匯入!$E$3:$E$2002,0)),"")</f>
        <v/>
      </c>
      <c r="K255" s="80">
        <f>IFERROR(INDEX(打卡匯入!$D$3:$D$2002,MATCH($C255&amp;"|"&amp;DAY($A255),打卡匯入!$E$3:$E$2002,0)),"")</f>
        <v/>
      </c>
      <c r="L255" s="81">
        <f>IF(OR($J255="",$K255=""),"",IFERROR(INDEX(設定!$F$6:$F$18,MATCH($G255,設定!$B$6:$B$18,0)),0))</f>
        <v/>
      </c>
      <c r="M255" s="82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1">
        <f>IF(OR($C255="",$H255="",$J255=""),0,IF(ROUND(($J255-$H255)*1440,0)&gt;設定!$C$42,ROUND(($J255-$H255)*1440,0),0))</f>
        <v/>
      </c>
      <c r="P255" s="81">
        <f>IF(OR($C255="",$I255="",$K255=""),0,IF(ROUND(($I255-$K255)*1440,0)&gt;設定!$C$42,ROUND(($I255-$K255)*1440,0),0))</f>
        <v/>
      </c>
      <c r="Q255" s="82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79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0">
        <f>IF($G256="","",IFERROR(INDEX(設定!$D$6:$D$18,MATCH($G256,設定!$B$6:$B$18,0)),""))</f>
        <v/>
      </c>
      <c r="I256" s="80">
        <f>IF($G256="","",IFERROR(INDEX(設定!$E$6:$E$18,MATCH($G256,設定!$B$6:$B$18,0)),""))</f>
        <v/>
      </c>
      <c r="J256" s="80">
        <f>IFERROR(INDEX(打卡匯入!$C$3:$C$2002,MATCH($C256&amp;"|"&amp;DAY($A256),打卡匯入!$E$3:$E$2002,0)),"")</f>
        <v/>
      </c>
      <c r="K256" s="80">
        <f>IFERROR(INDEX(打卡匯入!$D$3:$D$2002,MATCH($C256&amp;"|"&amp;DAY($A256),打卡匯入!$E$3:$E$2002,0)),"")</f>
        <v/>
      </c>
      <c r="L256" s="81">
        <f>IF(OR($J256="",$K256=""),"",IFERROR(INDEX(設定!$F$6:$F$18,MATCH($G256,設定!$B$6:$B$18,0)),0))</f>
        <v/>
      </c>
      <c r="M256" s="82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1">
        <f>IF(OR($C256="",$H256="",$J256=""),0,IF(ROUND(($J256-$H256)*1440,0)&gt;設定!$C$42,ROUND(($J256-$H256)*1440,0),0))</f>
        <v/>
      </c>
      <c r="P256" s="81">
        <f>IF(OR($C256="",$I256="",$K256=""),0,IF(ROUND(($I256-$K256)*1440,0)&gt;設定!$C$42,ROUND(($I256-$K256)*1440,0),0))</f>
        <v/>
      </c>
      <c r="Q256" s="82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79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0">
        <f>IF($G257="","",IFERROR(INDEX(設定!$D$6:$D$18,MATCH($G257,設定!$B$6:$B$18,0)),""))</f>
        <v/>
      </c>
      <c r="I257" s="80">
        <f>IF($G257="","",IFERROR(INDEX(設定!$E$6:$E$18,MATCH($G257,設定!$B$6:$B$18,0)),""))</f>
        <v/>
      </c>
      <c r="J257" s="80">
        <f>IFERROR(INDEX(打卡匯入!$C$3:$C$2002,MATCH($C257&amp;"|"&amp;DAY($A257),打卡匯入!$E$3:$E$2002,0)),"")</f>
        <v/>
      </c>
      <c r="K257" s="80">
        <f>IFERROR(INDEX(打卡匯入!$D$3:$D$2002,MATCH($C257&amp;"|"&amp;DAY($A257),打卡匯入!$E$3:$E$2002,0)),"")</f>
        <v/>
      </c>
      <c r="L257" s="81">
        <f>IF(OR($J257="",$K257=""),"",IFERROR(INDEX(設定!$F$6:$F$18,MATCH($G257,設定!$B$6:$B$18,0)),0))</f>
        <v/>
      </c>
      <c r="M257" s="82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1">
        <f>IF(OR($C257="",$H257="",$J257=""),0,IF(ROUND(($J257-$H257)*1440,0)&gt;設定!$C$42,ROUND(($J257-$H257)*1440,0),0))</f>
        <v/>
      </c>
      <c r="P257" s="81">
        <f>IF(OR($C257="",$I257="",$K257=""),0,IF(ROUND(($I257-$K257)*1440,0)&gt;設定!$C$42,ROUND(($I257-$K257)*1440,0),0))</f>
        <v/>
      </c>
      <c r="Q257" s="82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79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0">
        <f>IF($G258="","",IFERROR(INDEX(設定!$D$6:$D$18,MATCH($G258,設定!$B$6:$B$18,0)),""))</f>
        <v/>
      </c>
      <c r="I258" s="80">
        <f>IF($G258="","",IFERROR(INDEX(設定!$E$6:$E$18,MATCH($G258,設定!$B$6:$B$18,0)),""))</f>
        <v/>
      </c>
      <c r="J258" s="80">
        <f>IFERROR(INDEX(打卡匯入!$C$3:$C$2002,MATCH($C258&amp;"|"&amp;DAY($A258),打卡匯入!$E$3:$E$2002,0)),"")</f>
        <v/>
      </c>
      <c r="K258" s="80">
        <f>IFERROR(INDEX(打卡匯入!$D$3:$D$2002,MATCH($C258&amp;"|"&amp;DAY($A258),打卡匯入!$E$3:$E$2002,0)),"")</f>
        <v/>
      </c>
      <c r="L258" s="81">
        <f>IF(OR($J258="",$K258=""),"",IFERROR(INDEX(設定!$F$6:$F$18,MATCH($G258,設定!$B$6:$B$18,0)),0))</f>
        <v/>
      </c>
      <c r="M258" s="82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1">
        <f>IF(OR($C258="",$H258="",$J258=""),0,IF(ROUND(($J258-$H258)*1440,0)&gt;設定!$C$42,ROUND(($J258-$H258)*1440,0),0))</f>
        <v/>
      </c>
      <c r="P258" s="81">
        <f>IF(OR($C258="",$I258="",$K258=""),0,IF(ROUND(($I258-$K258)*1440,0)&gt;設定!$C$42,ROUND(($I258-$K258)*1440,0),0))</f>
        <v/>
      </c>
      <c r="Q258" s="82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79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0">
        <f>IF($G259="","",IFERROR(INDEX(設定!$D$6:$D$18,MATCH($G259,設定!$B$6:$B$18,0)),""))</f>
        <v/>
      </c>
      <c r="I259" s="80">
        <f>IF($G259="","",IFERROR(INDEX(設定!$E$6:$E$18,MATCH($G259,設定!$B$6:$B$18,0)),""))</f>
        <v/>
      </c>
      <c r="J259" s="80">
        <f>IFERROR(INDEX(打卡匯入!$C$3:$C$2002,MATCH($C259&amp;"|"&amp;DAY($A259),打卡匯入!$E$3:$E$2002,0)),"")</f>
        <v/>
      </c>
      <c r="K259" s="80">
        <f>IFERROR(INDEX(打卡匯入!$D$3:$D$2002,MATCH($C259&amp;"|"&amp;DAY($A259),打卡匯入!$E$3:$E$2002,0)),"")</f>
        <v/>
      </c>
      <c r="L259" s="81">
        <f>IF(OR($J259="",$K259=""),"",IFERROR(INDEX(設定!$F$6:$F$18,MATCH($G259,設定!$B$6:$B$18,0)),0))</f>
        <v/>
      </c>
      <c r="M259" s="82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1">
        <f>IF(OR($C259="",$H259="",$J259=""),0,IF(ROUND(($J259-$H259)*1440,0)&gt;設定!$C$42,ROUND(($J259-$H259)*1440,0),0))</f>
        <v/>
      </c>
      <c r="P259" s="81">
        <f>IF(OR($C259="",$I259="",$K259=""),0,IF(ROUND(($I259-$K259)*1440,0)&gt;設定!$C$42,ROUND(($I259-$K259)*1440,0),0))</f>
        <v/>
      </c>
      <c r="Q259" s="82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79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0">
        <f>IF($G260="","",IFERROR(INDEX(設定!$D$6:$D$18,MATCH($G260,設定!$B$6:$B$18,0)),""))</f>
        <v/>
      </c>
      <c r="I260" s="80">
        <f>IF($G260="","",IFERROR(INDEX(設定!$E$6:$E$18,MATCH($G260,設定!$B$6:$B$18,0)),""))</f>
        <v/>
      </c>
      <c r="J260" s="80">
        <f>IFERROR(INDEX(打卡匯入!$C$3:$C$2002,MATCH($C260&amp;"|"&amp;DAY($A260),打卡匯入!$E$3:$E$2002,0)),"")</f>
        <v/>
      </c>
      <c r="K260" s="80">
        <f>IFERROR(INDEX(打卡匯入!$D$3:$D$2002,MATCH($C260&amp;"|"&amp;DAY($A260),打卡匯入!$E$3:$E$2002,0)),"")</f>
        <v/>
      </c>
      <c r="L260" s="81">
        <f>IF(OR($J260="",$K260=""),"",IFERROR(INDEX(設定!$F$6:$F$18,MATCH($G260,設定!$B$6:$B$18,0)),0))</f>
        <v/>
      </c>
      <c r="M260" s="82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1">
        <f>IF(OR($C260="",$H260="",$J260=""),0,IF(ROUND(($J260-$H260)*1440,0)&gt;設定!$C$42,ROUND(($J260-$H260)*1440,0),0))</f>
        <v/>
      </c>
      <c r="P260" s="81">
        <f>IF(OR($C260="",$I260="",$K260=""),0,IF(ROUND(($I260-$K260)*1440,0)&gt;設定!$C$42,ROUND(($I260-$K260)*1440,0),0))</f>
        <v/>
      </c>
      <c r="Q260" s="82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79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0">
        <f>IF($G261="","",IFERROR(INDEX(設定!$D$6:$D$18,MATCH($G261,設定!$B$6:$B$18,0)),""))</f>
        <v/>
      </c>
      <c r="I261" s="80">
        <f>IF($G261="","",IFERROR(INDEX(設定!$E$6:$E$18,MATCH($G261,設定!$B$6:$B$18,0)),""))</f>
        <v/>
      </c>
      <c r="J261" s="80">
        <f>IFERROR(INDEX(打卡匯入!$C$3:$C$2002,MATCH($C261&amp;"|"&amp;DAY($A261),打卡匯入!$E$3:$E$2002,0)),"")</f>
        <v/>
      </c>
      <c r="K261" s="80">
        <f>IFERROR(INDEX(打卡匯入!$D$3:$D$2002,MATCH($C261&amp;"|"&amp;DAY($A261),打卡匯入!$E$3:$E$2002,0)),"")</f>
        <v/>
      </c>
      <c r="L261" s="81">
        <f>IF(OR($J261="",$K261=""),"",IFERROR(INDEX(設定!$F$6:$F$18,MATCH($G261,設定!$B$6:$B$18,0)),0))</f>
        <v/>
      </c>
      <c r="M261" s="82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1">
        <f>IF(OR($C261="",$H261="",$J261=""),0,IF(ROUND(($J261-$H261)*1440,0)&gt;設定!$C$42,ROUND(($J261-$H261)*1440,0),0))</f>
        <v/>
      </c>
      <c r="P261" s="81">
        <f>IF(OR($C261="",$I261="",$K261=""),0,IF(ROUND(($I261-$K261)*1440,0)&gt;設定!$C$42,ROUND(($I261-$K261)*1440,0),0))</f>
        <v/>
      </c>
      <c r="Q261" s="82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79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0">
        <f>IF($G262="","",IFERROR(INDEX(設定!$D$6:$D$18,MATCH($G262,設定!$B$6:$B$18,0)),""))</f>
        <v/>
      </c>
      <c r="I262" s="80">
        <f>IF($G262="","",IFERROR(INDEX(設定!$E$6:$E$18,MATCH($G262,設定!$B$6:$B$18,0)),""))</f>
        <v/>
      </c>
      <c r="J262" s="80">
        <f>IFERROR(INDEX(打卡匯入!$C$3:$C$2002,MATCH($C262&amp;"|"&amp;DAY($A262),打卡匯入!$E$3:$E$2002,0)),"")</f>
        <v/>
      </c>
      <c r="K262" s="80">
        <f>IFERROR(INDEX(打卡匯入!$D$3:$D$2002,MATCH($C262&amp;"|"&amp;DAY($A262),打卡匯入!$E$3:$E$2002,0)),"")</f>
        <v/>
      </c>
      <c r="L262" s="81">
        <f>IF(OR($J262="",$K262=""),"",IFERROR(INDEX(設定!$F$6:$F$18,MATCH($G262,設定!$B$6:$B$18,0)),0))</f>
        <v/>
      </c>
      <c r="M262" s="82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1">
        <f>IF(OR($C262="",$H262="",$J262=""),0,IF(ROUND(($J262-$H262)*1440,0)&gt;設定!$C$42,ROUND(($J262-$H262)*1440,0),0))</f>
        <v/>
      </c>
      <c r="P262" s="81">
        <f>IF(OR($C262="",$I262="",$K262=""),0,IF(ROUND(($I262-$K262)*1440,0)&gt;設定!$C$42,ROUND(($I262-$K262)*1440,0),0))</f>
        <v/>
      </c>
      <c r="Q262" s="82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79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0">
        <f>IF($G263="","",IFERROR(INDEX(設定!$D$6:$D$18,MATCH($G263,設定!$B$6:$B$18,0)),""))</f>
        <v/>
      </c>
      <c r="I263" s="80">
        <f>IF($G263="","",IFERROR(INDEX(設定!$E$6:$E$18,MATCH($G263,設定!$B$6:$B$18,0)),""))</f>
        <v/>
      </c>
      <c r="J263" s="80">
        <f>IFERROR(INDEX(打卡匯入!$C$3:$C$2002,MATCH($C263&amp;"|"&amp;DAY($A263),打卡匯入!$E$3:$E$2002,0)),"")</f>
        <v/>
      </c>
      <c r="K263" s="80">
        <f>IFERROR(INDEX(打卡匯入!$D$3:$D$2002,MATCH($C263&amp;"|"&amp;DAY($A263),打卡匯入!$E$3:$E$2002,0)),"")</f>
        <v/>
      </c>
      <c r="L263" s="81">
        <f>IF(OR($J263="",$K263=""),"",IFERROR(INDEX(設定!$F$6:$F$18,MATCH($G263,設定!$B$6:$B$18,0)),0))</f>
        <v/>
      </c>
      <c r="M263" s="82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1">
        <f>IF(OR($C263="",$H263="",$J263=""),0,IF(ROUND(($J263-$H263)*1440,0)&gt;設定!$C$42,ROUND(($J263-$H263)*1440,0),0))</f>
        <v/>
      </c>
      <c r="P263" s="81">
        <f>IF(OR($C263="",$I263="",$K263=""),0,IF(ROUND(($I263-$K263)*1440,0)&gt;設定!$C$42,ROUND(($I263-$K263)*1440,0),0))</f>
        <v/>
      </c>
      <c r="Q263" s="82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79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0">
        <f>IF($G264="","",IFERROR(INDEX(設定!$D$6:$D$18,MATCH($G264,設定!$B$6:$B$18,0)),""))</f>
        <v/>
      </c>
      <c r="I264" s="80">
        <f>IF($G264="","",IFERROR(INDEX(設定!$E$6:$E$18,MATCH($G264,設定!$B$6:$B$18,0)),""))</f>
        <v/>
      </c>
      <c r="J264" s="80">
        <f>IFERROR(INDEX(打卡匯入!$C$3:$C$2002,MATCH($C264&amp;"|"&amp;DAY($A264),打卡匯入!$E$3:$E$2002,0)),"")</f>
        <v/>
      </c>
      <c r="K264" s="80">
        <f>IFERROR(INDEX(打卡匯入!$D$3:$D$2002,MATCH($C264&amp;"|"&amp;DAY($A264),打卡匯入!$E$3:$E$2002,0)),"")</f>
        <v/>
      </c>
      <c r="L264" s="81">
        <f>IF(OR($J264="",$K264=""),"",IFERROR(INDEX(設定!$F$6:$F$18,MATCH($G264,設定!$B$6:$B$18,0)),0))</f>
        <v/>
      </c>
      <c r="M264" s="82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1">
        <f>IF(OR($C264="",$H264="",$J264=""),0,IF(ROUND(($J264-$H264)*1440,0)&gt;設定!$C$42,ROUND(($J264-$H264)*1440,0),0))</f>
        <v/>
      </c>
      <c r="P264" s="81">
        <f>IF(OR($C264="",$I264="",$K264=""),0,IF(ROUND(($I264-$K264)*1440,0)&gt;設定!$C$42,ROUND(($I264-$K264)*1440,0),0))</f>
        <v/>
      </c>
      <c r="Q264" s="82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79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0">
        <f>IF($G265="","",IFERROR(INDEX(設定!$D$6:$D$18,MATCH($G265,設定!$B$6:$B$18,0)),""))</f>
        <v/>
      </c>
      <c r="I265" s="80">
        <f>IF($G265="","",IFERROR(INDEX(設定!$E$6:$E$18,MATCH($G265,設定!$B$6:$B$18,0)),""))</f>
        <v/>
      </c>
      <c r="J265" s="80">
        <f>IFERROR(INDEX(打卡匯入!$C$3:$C$2002,MATCH($C265&amp;"|"&amp;DAY($A265),打卡匯入!$E$3:$E$2002,0)),"")</f>
        <v/>
      </c>
      <c r="K265" s="80">
        <f>IFERROR(INDEX(打卡匯入!$D$3:$D$2002,MATCH($C265&amp;"|"&amp;DAY($A265),打卡匯入!$E$3:$E$2002,0)),"")</f>
        <v/>
      </c>
      <c r="L265" s="81">
        <f>IF(OR($J265="",$K265=""),"",IFERROR(INDEX(設定!$F$6:$F$18,MATCH($G265,設定!$B$6:$B$18,0)),0))</f>
        <v/>
      </c>
      <c r="M265" s="82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1">
        <f>IF(OR($C265="",$H265="",$J265=""),0,IF(ROUND(($J265-$H265)*1440,0)&gt;設定!$C$42,ROUND(($J265-$H265)*1440,0),0))</f>
        <v/>
      </c>
      <c r="P265" s="81">
        <f>IF(OR($C265="",$I265="",$K265=""),0,IF(ROUND(($I265-$K265)*1440,0)&gt;設定!$C$42,ROUND(($I265-$K265)*1440,0),0))</f>
        <v/>
      </c>
      <c r="Q265" s="82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79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0">
        <f>IF($G266="","",IFERROR(INDEX(設定!$D$6:$D$18,MATCH($G266,設定!$B$6:$B$18,0)),""))</f>
        <v/>
      </c>
      <c r="I266" s="80">
        <f>IF($G266="","",IFERROR(INDEX(設定!$E$6:$E$18,MATCH($G266,設定!$B$6:$B$18,0)),""))</f>
        <v/>
      </c>
      <c r="J266" s="80">
        <f>IFERROR(INDEX(打卡匯入!$C$3:$C$2002,MATCH($C266&amp;"|"&amp;DAY($A266),打卡匯入!$E$3:$E$2002,0)),"")</f>
        <v/>
      </c>
      <c r="K266" s="80">
        <f>IFERROR(INDEX(打卡匯入!$D$3:$D$2002,MATCH($C266&amp;"|"&amp;DAY($A266),打卡匯入!$E$3:$E$2002,0)),"")</f>
        <v/>
      </c>
      <c r="L266" s="81">
        <f>IF(OR($J266="",$K266=""),"",IFERROR(INDEX(設定!$F$6:$F$18,MATCH($G266,設定!$B$6:$B$18,0)),0))</f>
        <v/>
      </c>
      <c r="M266" s="82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1">
        <f>IF(OR($C266="",$H266="",$J266=""),0,IF(ROUND(($J266-$H266)*1440,0)&gt;設定!$C$42,ROUND(($J266-$H266)*1440,0),0))</f>
        <v/>
      </c>
      <c r="P266" s="81">
        <f>IF(OR($C266="",$I266="",$K266=""),0,IF(ROUND(($I266-$K266)*1440,0)&gt;設定!$C$42,ROUND(($I266-$K266)*1440,0),0))</f>
        <v/>
      </c>
      <c r="Q266" s="82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79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0">
        <f>IF($G267="","",IFERROR(INDEX(設定!$D$6:$D$18,MATCH($G267,設定!$B$6:$B$18,0)),""))</f>
        <v/>
      </c>
      <c r="I267" s="80">
        <f>IF($G267="","",IFERROR(INDEX(設定!$E$6:$E$18,MATCH($G267,設定!$B$6:$B$18,0)),""))</f>
        <v/>
      </c>
      <c r="J267" s="80">
        <f>IFERROR(INDEX(打卡匯入!$C$3:$C$2002,MATCH($C267&amp;"|"&amp;DAY($A267),打卡匯入!$E$3:$E$2002,0)),"")</f>
        <v/>
      </c>
      <c r="K267" s="80">
        <f>IFERROR(INDEX(打卡匯入!$D$3:$D$2002,MATCH($C267&amp;"|"&amp;DAY($A267),打卡匯入!$E$3:$E$2002,0)),"")</f>
        <v/>
      </c>
      <c r="L267" s="81">
        <f>IF(OR($J267="",$K267=""),"",IFERROR(INDEX(設定!$F$6:$F$18,MATCH($G267,設定!$B$6:$B$18,0)),0))</f>
        <v/>
      </c>
      <c r="M267" s="82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1">
        <f>IF(OR($C267="",$H267="",$J267=""),0,IF(ROUND(($J267-$H267)*1440,0)&gt;設定!$C$42,ROUND(($J267-$H267)*1440,0),0))</f>
        <v/>
      </c>
      <c r="P267" s="81">
        <f>IF(OR($C267="",$I267="",$K267=""),0,IF(ROUND(($I267-$K267)*1440,0)&gt;設定!$C$42,ROUND(($I267-$K267)*1440,0),0))</f>
        <v/>
      </c>
      <c r="Q267" s="82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79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0">
        <f>IF($G268="","",IFERROR(INDEX(設定!$D$6:$D$18,MATCH($G268,設定!$B$6:$B$18,0)),""))</f>
        <v/>
      </c>
      <c r="I268" s="80">
        <f>IF($G268="","",IFERROR(INDEX(設定!$E$6:$E$18,MATCH($G268,設定!$B$6:$B$18,0)),""))</f>
        <v/>
      </c>
      <c r="J268" s="80">
        <f>IFERROR(INDEX(打卡匯入!$C$3:$C$2002,MATCH($C268&amp;"|"&amp;DAY($A268),打卡匯入!$E$3:$E$2002,0)),"")</f>
        <v/>
      </c>
      <c r="K268" s="80">
        <f>IFERROR(INDEX(打卡匯入!$D$3:$D$2002,MATCH($C268&amp;"|"&amp;DAY($A268),打卡匯入!$E$3:$E$2002,0)),"")</f>
        <v/>
      </c>
      <c r="L268" s="81">
        <f>IF(OR($J268="",$K268=""),"",IFERROR(INDEX(設定!$F$6:$F$18,MATCH($G268,設定!$B$6:$B$18,0)),0))</f>
        <v/>
      </c>
      <c r="M268" s="82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1">
        <f>IF(OR($C268="",$H268="",$J268=""),0,IF(ROUND(($J268-$H268)*1440,0)&gt;設定!$C$42,ROUND(($J268-$H268)*1440,0),0))</f>
        <v/>
      </c>
      <c r="P268" s="81">
        <f>IF(OR($C268="",$I268="",$K268=""),0,IF(ROUND(($I268-$K268)*1440,0)&gt;設定!$C$42,ROUND(($I268-$K268)*1440,0),0))</f>
        <v/>
      </c>
      <c r="Q268" s="82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79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0">
        <f>IF($G269="","",IFERROR(INDEX(設定!$D$6:$D$18,MATCH($G269,設定!$B$6:$B$18,0)),""))</f>
        <v/>
      </c>
      <c r="I269" s="80">
        <f>IF($G269="","",IFERROR(INDEX(設定!$E$6:$E$18,MATCH($G269,設定!$B$6:$B$18,0)),""))</f>
        <v/>
      </c>
      <c r="J269" s="80">
        <f>IFERROR(INDEX(打卡匯入!$C$3:$C$2002,MATCH($C269&amp;"|"&amp;DAY($A269),打卡匯入!$E$3:$E$2002,0)),"")</f>
        <v/>
      </c>
      <c r="K269" s="80">
        <f>IFERROR(INDEX(打卡匯入!$D$3:$D$2002,MATCH($C269&amp;"|"&amp;DAY($A269),打卡匯入!$E$3:$E$2002,0)),"")</f>
        <v/>
      </c>
      <c r="L269" s="81">
        <f>IF(OR($J269="",$K269=""),"",IFERROR(INDEX(設定!$F$6:$F$18,MATCH($G269,設定!$B$6:$B$18,0)),0))</f>
        <v/>
      </c>
      <c r="M269" s="82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1">
        <f>IF(OR($C269="",$H269="",$J269=""),0,IF(ROUND(($J269-$H269)*1440,0)&gt;設定!$C$42,ROUND(($J269-$H269)*1440,0),0))</f>
        <v/>
      </c>
      <c r="P269" s="81">
        <f>IF(OR($C269="",$I269="",$K269=""),0,IF(ROUND(($I269-$K269)*1440,0)&gt;設定!$C$42,ROUND(($I269-$K269)*1440,0),0))</f>
        <v/>
      </c>
      <c r="Q269" s="82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79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0">
        <f>IF($G270="","",IFERROR(INDEX(設定!$D$6:$D$18,MATCH($G270,設定!$B$6:$B$18,0)),""))</f>
        <v/>
      </c>
      <c r="I270" s="80">
        <f>IF($G270="","",IFERROR(INDEX(設定!$E$6:$E$18,MATCH($G270,設定!$B$6:$B$18,0)),""))</f>
        <v/>
      </c>
      <c r="J270" s="80">
        <f>IFERROR(INDEX(打卡匯入!$C$3:$C$2002,MATCH($C270&amp;"|"&amp;DAY($A270),打卡匯入!$E$3:$E$2002,0)),"")</f>
        <v/>
      </c>
      <c r="K270" s="80">
        <f>IFERROR(INDEX(打卡匯入!$D$3:$D$2002,MATCH($C270&amp;"|"&amp;DAY($A270),打卡匯入!$E$3:$E$2002,0)),"")</f>
        <v/>
      </c>
      <c r="L270" s="81">
        <f>IF(OR($J270="",$K270=""),"",IFERROR(INDEX(設定!$F$6:$F$18,MATCH($G270,設定!$B$6:$B$18,0)),0))</f>
        <v/>
      </c>
      <c r="M270" s="82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1">
        <f>IF(OR($C270="",$H270="",$J270=""),0,IF(ROUND(($J270-$H270)*1440,0)&gt;設定!$C$42,ROUND(($J270-$H270)*1440,0),0))</f>
        <v/>
      </c>
      <c r="P270" s="81">
        <f>IF(OR($C270="",$I270="",$K270=""),0,IF(ROUND(($I270-$K270)*1440,0)&gt;設定!$C$42,ROUND(($I270-$K270)*1440,0),0))</f>
        <v/>
      </c>
      <c r="Q270" s="82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79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0">
        <f>IF($G271="","",IFERROR(INDEX(設定!$D$6:$D$18,MATCH($G271,設定!$B$6:$B$18,0)),""))</f>
        <v/>
      </c>
      <c r="I271" s="80">
        <f>IF($G271="","",IFERROR(INDEX(設定!$E$6:$E$18,MATCH($G271,設定!$B$6:$B$18,0)),""))</f>
        <v/>
      </c>
      <c r="J271" s="80">
        <f>IFERROR(INDEX(打卡匯入!$C$3:$C$2002,MATCH($C271&amp;"|"&amp;DAY($A271),打卡匯入!$E$3:$E$2002,0)),"")</f>
        <v/>
      </c>
      <c r="K271" s="80">
        <f>IFERROR(INDEX(打卡匯入!$D$3:$D$2002,MATCH($C271&amp;"|"&amp;DAY($A271),打卡匯入!$E$3:$E$2002,0)),"")</f>
        <v/>
      </c>
      <c r="L271" s="81">
        <f>IF(OR($J271="",$K271=""),"",IFERROR(INDEX(設定!$F$6:$F$18,MATCH($G271,設定!$B$6:$B$18,0)),0))</f>
        <v/>
      </c>
      <c r="M271" s="82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1">
        <f>IF(OR($C271="",$H271="",$J271=""),0,IF(ROUND(($J271-$H271)*1440,0)&gt;設定!$C$42,ROUND(($J271-$H271)*1440,0),0))</f>
        <v/>
      </c>
      <c r="P271" s="81">
        <f>IF(OR($C271="",$I271="",$K271=""),0,IF(ROUND(($I271-$K271)*1440,0)&gt;設定!$C$42,ROUND(($I271-$K271)*1440,0),0))</f>
        <v/>
      </c>
      <c r="Q271" s="82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79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0">
        <f>IF($G272="","",IFERROR(INDEX(設定!$D$6:$D$18,MATCH($G272,設定!$B$6:$B$18,0)),""))</f>
        <v/>
      </c>
      <c r="I272" s="80">
        <f>IF($G272="","",IFERROR(INDEX(設定!$E$6:$E$18,MATCH($G272,設定!$B$6:$B$18,0)),""))</f>
        <v/>
      </c>
      <c r="J272" s="80">
        <f>IFERROR(INDEX(打卡匯入!$C$3:$C$2002,MATCH($C272&amp;"|"&amp;DAY($A272),打卡匯入!$E$3:$E$2002,0)),"")</f>
        <v/>
      </c>
      <c r="K272" s="80">
        <f>IFERROR(INDEX(打卡匯入!$D$3:$D$2002,MATCH($C272&amp;"|"&amp;DAY($A272),打卡匯入!$E$3:$E$2002,0)),"")</f>
        <v/>
      </c>
      <c r="L272" s="81">
        <f>IF(OR($J272="",$K272=""),"",IFERROR(INDEX(設定!$F$6:$F$18,MATCH($G272,設定!$B$6:$B$18,0)),0))</f>
        <v/>
      </c>
      <c r="M272" s="82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1">
        <f>IF(OR($C272="",$H272="",$J272=""),0,IF(ROUND(($J272-$H272)*1440,0)&gt;設定!$C$42,ROUND(($J272-$H272)*1440,0),0))</f>
        <v/>
      </c>
      <c r="P272" s="81">
        <f>IF(OR($C272="",$I272="",$K272=""),0,IF(ROUND(($I272-$K272)*1440,0)&gt;設定!$C$42,ROUND(($I272-$K272)*1440,0),0))</f>
        <v/>
      </c>
      <c r="Q272" s="82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79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0">
        <f>IF($G273="","",IFERROR(INDEX(設定!$D$6:$D$18,MATCH($G273,設定!$B$6:$B$18,0)),""))</f>
        <v/>
      </c>
      <c r="I273" s="80">
        <f>IF($G273="","",IFERROR(INDEX(設定!$E$6:$E$18,MATCH($G273,設定!$B$6:$B$18,0)),""))</f>
        <v/>
      </c>
      <c r="J273" s="80">
        <f>IFERROR(INDEX(打卡匯入!$C$3:$C$2002,MATCH($C273&amp;"|"&amp;DAY($A273),打卡匯入!$E$3:$E$2002,0)),"")</f>
        <v/>
      </c>
      <c r="K273" s="80">
        <f>IFERROR(INDEX(打卡匯入!$D$3:$D$2002,MATCH($C273&amp;"|"&amp;DAY($A273),打卡匯入!$E$3:$E$2002,0)),"")</f>
        <v/>
      </c>
      <c r="L273" s="81">
        <f>IF(OR($J273="",$K273=""),"",IFERROR(INDEX(設定!$F$6:$F$18,MATCH($G273,設定!$B$6:$B$18,0)),0))</f>
        <v/>
      </c>
      <c r="M273" s="82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1">
        <f>IF(OR($C273="",$H273="",$J273=""),0,IF(ROUND(($J273-$H273)*1440,0)&gt;設定!$C$42,ROUND(($J273-$H273)*1440,0),0))</f>
        <v/>
      </c>
      <c r="P273" s="81">
        <f>IF(OR($C273="",$I273="",$K273=""),0,IF(ROUND(($I273-$K273)*1440,0)&gt;設定!$C$42,ROUND(($I273-$K273)*1440,0),0))</f>
        <v/>
      </c>
      <c r="Q273" s="82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79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0">
        <f>IF($G274="","",IFERROR(INDEX(設定!$D$6:$D$18,MATCH($G274,設定!$B$6:$B$18,0)),""))</f>
        <v/>
      </c>
      <c r="I274" s="80">
        <f>IF($G274="","",IFERROR(INDEX(設定!$E$6:$E$18,MATCH($G274,設定!$B$6:$B$18,0)),""))</f>
        <v/>
      </c>
      <c r="J274" s="80">
        <f>IFERROR(INDEX(打卡匯入!$C$3:$C$2002,MATCH($C274&amp;"|"&amp;DAY($A274),打卡匯入!$E$3:$E$2002,0)),"")</f>
        <v/>
      </c>
      <c r="K274" s="80">
        <f>IFERROR(INDEX(打卡匯入!$D$3:$D$2002,MATCH($C274&amp;"|"&amp;DAY($A274),打卡匯入!$E$3:$E$2002,0)),"")</f>
        <v/>
      </c>
      <c r="L274" s="81">
        <f>IF(OR($J274="",$K274=""),"",IFERROR(INDEX(設定!$F$6:$F$18,MATCH($G274,設定!$B$6:$B$18,0)),0))</f>
        <v/>
      </c>
      <c r="M274" s="82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1">
        <f>IF(OR($C274="",$H274="",$J274=""),0,IF(ROUND(($J274-$H274)*1440,0)&gt;設定!$C$42,ROUND(($J274-$H274)*1440,0),0))</f>
        <v/>
      </c>
      <c r="P274" s="81">
        <f>IF(OR($C274="",$I274="",$K274=""),0,IF(ROUND(($I274-$K274)*1440,0)&gt;設定!$C$42,ROUND(($I274-$K274)*1440,0),0))</f>
        <v/>
      </c>
      <c r="Q274" s="82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79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0">
        <f>IF($G275="","",IFERROR(INDEX(設定!$D$6:$D$18,MATCH($G275,設定!$B$6:$B$18,0)),""))</f>
        <v/>
      </c>
      <c r="I275" s="80">
        <f>IF($G275="","",IFERROR(INDEX(設定!$E$6:$E$18,MATCH($G275,設定!$B$6:$B$18,0)),""))</f>
        <v/>
      </c>
      <c r="J275" s="80">
        <f>IFERROR(INDEX(打卡匯入!$C$3:$C$2002,MATCH($C275&amp;"|"&amp;DAY($A275),打卡匯入!$E$3:$E$2002,0)),"")</f>
        <v/>
      </c>
      <c r="K275" s="80">
        <f>IFERROR(INDEX(打卡匯入!$D$3:$D$2002,MATCH($C275&amp;"|"&amp;DAY($A275),打卡匯入!$E$3:$E$2002,0)),"")</f>
        <v/>
      </c>
      <c r="L275" s="81">
        <f>IF(OR($J275="",$K275=""),"",IFERROR(INDEX(設定!$F$6:$F$18,MATCH($G275,設定!$B$6:$B$18,0)),0))</f>
        <v/>
      </c>
      <c r="M275" s="82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1">
        <f>IF(OR($C275="",$H275="",$J275=""),0,IF(ROUND(($J275-$H275)*1440,0)&gt;設定!$C$42,ROUND(($J275-$H275)*1440,0),0))</f>
        <v/>
      </c>
      <c r="P275" s="81">
        <f>IF(OR($C275="",$I275="",$K275=""),0,IF(ROUND(($I275-$K275)*1440,0)&gt;設定!$C$42,ROUND(($I275-$K275)*1440,0),0))</f>
        <v/>
      </c>
      <c r="Q275" s="82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79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0">
        <f>IF($G276="","",IFERROR(INDEX(設定!$D$6:$D$18,MATCH($G276,設定!$B$6:$B$18,0)),""))</f>
        <v/>
      </c>
      <c r="I276" s="80">
        <f>IF($G276="","",IFERROR(INDEX(設定!$E$6:$E$18,MATCH($G276,設定!$B$6:$B$18,0)),""))</f>
        <v/>
      </c>
      <c r="J276" s="80">
        <f>IFERROR(INDEX(打卡匯入!$C$3:$C$2002,MATCH($C276&amp;"|"&amp;DAY($A276),打卡匯入!$E$3:$E$2002,0)),"")</f>
        <v/>
      </c>
      <c r="K276" s="80">
        <f>IFERROR(INDEX(打卡匯入!$D$3:$D$2002,MATCH($C276&amp;"|"&amp;DAY($A276),打卡匯入!$E$3:$E$2002,0)),"")</f>
        <v/>
      </c>
      <c r="L276" s="81">
        <f>IF(OR($J276="",$K276=""),"",IFERROR(INDEX(設定!$F$6:$F$18,MATCH($G276,設定!$B$6:$B$18,0)),0))</f>
        <v/>
      </c>
      <c r="M276" s="82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1">
        <f>IF(OR($C276="",$H276="",$J276=""),0,IF(ROUND(($J276-$H276)*1440,0)&gt;設定!$C$42,ROUND(($J276-$H276)*1440,0),0))</f>
        <v/>
      </c>
      <c r="P276" s="81">
        <f>IF(OR($C276="",$I276="",$K276=""),0,IF(ROUND(($I276-$K276)*1440,0)&gt;設定!$C$42,ROUND(($I276-$K276)*1440,0),0))</f>
        <v/>
      </c>
      <c r="Q276" s="82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79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0">
        <f>IF($G277="","",IFERROR(INDEX(設定!$D$6:$D$18,MATCH($G277,設定!$B$6:$B$18,0)),""))</f>
        <v/>
      </c>
      <c r="I277" s="80">
        <f>IF($G277="","",IFERROR(INDEX(設定!$E$6:$E$18,MATCH($G277,設定!$B$6:$B$18,0)),""))</f>
        <v/>
      </c>
      <c r="J277" s="80">
        <f>IFERROR(INDEX(打卡匯入!$C$3:$C$2002,MATCH($C277&amp;"|"&amp;DAY($A277),打卡匯入!$E$3:$E$2002,0)),"")</f>
        <v/>
      </c>
      <c r="K277" s="80">
        <f>IFERROR(INDEX(打卡匯入!$D$3:$D$2002,MATCH($C277&amp;"|"&amp;DAY($A277),打卡匯入!$E$3:$E$2002,0)),"")</f>
        <v/>
      </c>
      <c r="L277" s="81">
        <f>IF(OR($J277="",$K277=""),"",IFERROR(INDEX(設定!$F$6:$F$18,MATCH($G277,設定!$B$6:$B$18,0)),0))</f>
        <v/>
      </c>
      <c r="M277" s="82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1">
        <f>IF(OR($C277="",$H277="",$J277=""),0,IF(ROUND(($J277-$H277)*1440,0)&gt;設定!$C$42,ROUND(($J277-$H277)*1440,0),0))</f>
        <v/>
      </c>
      <c r="P277" s="81">
        <f>IF(OR($C277="",$I277="",$K277=""),0,IF(ROUND(($I277-$K277)*1440,0)&gt;設定!$C$42,ROUND(($I277-$K277)*1440,0),0))</f>
        <v/>
      </c>
      <c r="Q277" s="82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79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0">
        <f>IF($G278="","",IFERROR(INDEX(設定!$D$6:$D$18,MATCH($G278,設定!$B$6:$B$18,0)),""))</f>
        <v/>
      </c>
      <c r="I278" s="80">
        <f>IF($G278="","",IFERROR(INDEX(設定!$E$6:$E$18,MATCH($G278,設定!$B$6:$B$18,0)),""))</f>
        <v/>
      </c>
      <c r="J278" s="80">
        <f>IFERROR(INDEX(打卡匯入!$C$3:$C$2002,MATCH($C278&amp;"|"&amp;DAY($A278),打卡匯入!$E$3:$E$2002,0)),"")</f>
        <v/>
      </c>
      <c r="K278" s="80">
        <f>IFERROR(INDEX(打卡匯入!$D$3:$D$2002,MATCH($C278&amp;"|"&amp;DAY($A278),打卡匯入!$E$3:$E$2002,0)),"")</f>
        <v/>
      </c>
      <c r="L278" s="81">
        <f>IF(OR($J278="",$K278=""),"",IFERROR(INDEX(設定!$F$6:$F$18,MATCH($G278,設定!$B$6:$B$18,0)),0))</f>
        <v/>
      </c>
      <c r="M278" s="82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1">
        <f>IF(OR($C278="",$H278="",$J278=""),0,IF(ROUND(($J278-$H278)*1440,0)&gt;設定!$C$42,ROUND(($J278-$H278)*1440,0),0))</f>
        <v/>
      </c>
      <c r="P278" s="81">
        <f>IF(OR($C278="",$I278="",$K278=""),0,IF(ROUND(($I278-$K278)*1440,0)&gt;設定!$C$42,ROUND(($I278-$K278)*1440,0),0))</f>
        <v/>
      </c>
      <c r="Q278" s="82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79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0">
        <f>IF($G279="","",IFERROR(INDEX(設定!$D$6:$D$18,MATCH($G279,設定!$B$6:$B$18,0)),""))</f>
        <v/>
      </c>
      <c r="I279" s="80">
        <f>IF($G279="","",IFERROR(INDEX(設定!$E$6:$E$18,MATCH($G279,設定!$B$6:$B$18,0)),""))</f>
        <v/>
      </c>
      <c r="J279" s="80">
        <f>IFERROR(INDEX(打卡匯入!$C$3:$C$2002,MATCH($C279&amp;"|"&amp;DAY($A279),打卡匯入!$E$3:$E$2002,0)),"")</f>
        <v/>
      </c>
      <c r="K279" s="80">
        <f>IFERROR(INDEX(打卡匯入!$D$3:$D$2002,MATCH($C279&amp;"|"&amp;DAY($A279),打卡匯入!$E$3:$E$2002,0)),"")</f>
        <v/>
      </c>
      <c r="L279" s="81">
        <f>IF(OR($J279="",$K279=""),"",IFERROR(INDEX(設定!$F$6:$F$18,MATCH($G279,設定!$B$6:$B$18,0)),0))</f>
        <v/>
      </c>
      <c r="M279" s="82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1">
        <f>IF(OR($C279="",$H279="",$J279=""),0,IF(ROUND(($J279-$H279)*1440,0)&gt;設定!$C$42,ROUND(($J279-$H279)*1440,0),0))</f>
        <v/>
      </c>
      <c r="P279" s="81">
        <f>IF(OR($C279="",$I279="",$K279=""),0,IF(ROUND(($I279-$K279)*1440,0)&gt;設定!$C$42,ROUND(($I279-$K279)*1440,0),0))</f>
        <v/>
      </c>
      <c r="Q279" s="82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79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0">
        <f>IF($G280="","",IFERROR(INDEX(設定!$D$6:$D$18,MATCH($G280,設定!$B$6:$B$18,0)),""))</f>
        <v/>
      </c>
      <c r="I280" s="80">
        <f>IF($G280="","",IFERROR(INDEX(設定!$E$6:$E$18,MATCH($G280,設定!$B$6:$B$18,0)),""))</f>
        <v/>
      </c>
      <c r="J280" s="80">
        <f>IFERROR(INDEX(打卡匯入!$C$3:$C$2002,MATCH($C280&amp;"|"&amp;DAY($A280),打卡匯入!$E$3:$E$2002,0)),"")</f>
        <v/>
      </c>
      <c r="K280" s="80">
        <f>IFERROR(INDEX(打卡匯入!$D$3:$D$2002,MATCH($C280&amp;"|"&amp;DAY($A280),打卡匯入!$E$3:$E$2002,0)),"")</f>
        <v/>
      </c>
      <c r="L280" s="81">
        <f>IF(OR($J280="",$K280=""),"",IFERROR(INDEX(設定!$F$6:$F$18,MATCH($G280,設定!$B$6:$B$18,0)),0))</f>
        <v/>
      </c>
      <c r="M280" s="82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1">
        <f>IF(OR($C280="",$H280="",$J280=""),0,IF(ROUND(($J280-$H280)*1440,0)&gt;設定!$C$42,ROUND(($J280-$H280)*1440,0),0))</f>
        <v/>
      </c>
      <c r="P280" s="81">
        <f>IF(OR($C280="",$I280="",$K280=""),0,IF(ROUND(($I280-$K280)*1440,0)&gt;設定!$C$42,ROUND(($I280-$K280)*1440,0),0))</f>
        <v/>
      </c>
      <c r="Q280" s="82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79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0">
        <f>IF($G281="","",IFERROR(INDEX(設定!$D$6:$D$18,MATCH($G281,設定!$B$6:$B$18,0)),""))</f>
        <v/>
      </c>
      <c r="I281" s="80">
        <f>IF($G281="","",IFERROR(INDEX(設定!$E$6:$E$18,MATCH($G281,設定!$B$6:$B$18,0)),""))</f>
        <v/>
      </c>
      <c r="J281" s="80">
        <f>IFERROR(INDEX(打卡匯入!$C$3:$C$2002,MATCH($C281&amp;"|"&amp;DAY($A281),打卡匯入!$E$3:$E$2002,0)),"")</f>
        <v/>
      </c>
      <c r="K281" s="80">
        <f>IFERROR(INDEX(打卡匯入!$D$3:$D$2002,MATCH($C281&amp;"|"&amp;DAY($A281),打卡匯入!$E$3:$E$2002,0)),"")</f>
        <v/>
      </c>
      <c r="L281" s="81">
        <f>IF(OR($J281="",$K281=""),"",IFERROR(INDEX(設定!$F$6:$F$18,MATCH($G281,設定!$B$6:$B$18,0)),0))</f>
        <v/>
      </c>
      <c r="M281" s="82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1">
        <f>IF(OR($C281="",$H281="",$J281=""),0,IF(ROUND(($J281-$H281)*1440,0)&gt;設定!$C$42,ROUND(($J281-$H281)*1440,0),0))</f>
        <v/>
      </c>
      <c r="P281" s="81">
        <f>IF(OR($C281="",$I281="",$K281=""),0,IF(ROUND(($I281-$K281)*1440,0)&gt;設定!$C$42,ROUND(($I281-$K281)*1440,0),0))</f>
        <v/>
      </c>
      <c r="Q281" s="82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79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0">
        <f>IF($G282="","",IFERROR(INDEX(設定!$D$6:$D$18,MATCH($G282,設定!$B$6:$B$18,0)),""))</f>
        <v/>
      </c>
      <c r="I282" s="80">
        <f>IF($G282="","",IFERROR(INDEX(設定!$E$6:$E$18,MATCH($G282,設定!$B$6:$B$18,0)),""))</f>
        <v/>
      </c>
      <c r="J282" s="80">
        <f>IFERROR(INDEX(打卡匯入!$C$3:$C$2002,MATCH($C282&amp;"|"&amp;DAY($A282),打卡匯入!$E$3:$E$2002,0)),"")</f>
        <v/>
      </c>
      <c r="K282" s="80">
        <f>IFERROR(INDEX(打卡匯入!$D$3:$D$2002,MATCH($C282&amp;"|"&amp;DAY($A282),打卡匯入!$E$3:$E$2002,0)),"")</f>
        <v/>
      </c>
      <c r="L282" s="81">
        <f>IF(OR($J282="",$K282=""),"",IFERROR(INDEX(設定!$F$6:$F$18,MATCH($G282,設定!$B$6:$B$18,0)),0))</f>
        <v/>
      </c>
      <c r="M282" s="82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1">
        <f>IF(OR($C282="",$H282="",$J282=""),0,IF(ROUND(($J282-$H282)*1440,0)&gt;設定!$C$42,ROUND(($J282-$H282)*1440,0),0))</f>
        <v/>
      </c>
      <c r="P282" s="81">
        <f>IF(OR($C282="",$I282="",$K282=""),0,IF(ROUND(($I282-$K282)*1440,0)&gt;設定!$C$42,ROUND(($I282-$K282)*1440,0),0))</f>
        <v/>
      </c>
      <c r="Q282" s="82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79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0">
        <f>IF($G283="","",IFERROR(INDEX(設定!$D$6:$D$18,MATCH($G283,設定!$B$6:$B$18,0)),""))</f>
        <v/>
      </c>
      <c r="I283" s="80">
        <f>IF($G283="","",IFERROR(INDEX(設定!$E$6:$E$18,MATCH($G283,設定!$B$6:$B$18,0)),""))</f>
        <v/>
      </c>
      <c r="J283" s="80">
        <f>IFERROR(INDEX(打卡匯入!$C$3:$C$2002,MATCH($C283&amp;"|"&amp;DAY($A283),打卡匯入!$E$3:$E$2002,0)),"")</f>
        <v/>
      </c>
      <c r="K283" s="80">
        <f>IFERROR(INDEX(打卡匯入!$D$3:$D$2002,MATCH($C283&amp;"|"&amp;DAY($A283),打卡匯入!$E$3:$E$2002,0)),"")</f>
        <v/>
      </c>
      <c r="L283" s="81">
        <f>IF(OR($J283="",$K283=""),"",IFERROR(INDEX(設定!$F$6:$F$18,MATCH($G283,設定!$B$6:$B$18,0)),0))</f>
        <v/>
      </c>
      <c r="M283" s="82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1">
        <f>IF(OR($C283="",$H283="",$J283=""),0,IF(ROUND(($J283-$H283)*1440,0)&gt;設定!$C$42,ROUND(($J283-$H283)*1440,0),0))</f>
        <v/>
      </c>
      <c r="P283" s="81">
        <f>IF(OR($C283="",$I283="",$K283=""),0,IF(ROUND(($I283-$K283)*1440,0)&gt;設定!$C$42,ROUND(($I283-$K283)*1440,0),0))</f>
        <v/>
      </c>
      <c r="Q283" s="82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79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0">
        <f>IF($G284="","",IFERROR(INDEX(設定!$D$6:$D$18,MATCH($G284,設定!$B$6:$B$18,0)),""))</f>
        <v/>
      </c>
      <c r="I284" s="80">
        <f>IF($G284="","",IFERROR(INDEX(設定!$E$6:$E$18,MATCH($G284,設定!$B$6:$B$18,0)),""))</f>
        <v/>
      </c>
      <c r="J284" s="80">
        <f>IFERROR(INDEX(打卡匯入!$C$3:$C$2002,MATCH($C284&amp;"|"&amp;DAY($A284),打卡匯入!$E$3:$E$2002,0)),"")</f>
        <v/>
      </c>
      <c r="K284" s="80">
        <f>IFERROR(INDEX(打卡匯入!$D$3:$D$2002,MATCH($C284&amp;"|"&amp;DAY($A284),打卡匯入!$E$3:$E$2002,0)),"")</f>
        <v/>
      </c>
      <c r="L284" s="81">
        <f>IF(OR($J284="",$K284=""),"",IFERROR(INDEX(設定!$F$6:$F$18,MATCH($G284,設定!$B$6:$B$18,0)),0))</f>
        <v/>
      </c>
      <c r="M284" s="82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1">
        <f>IF(OR($C284="",$H284="",$J284=""),0,IF(ROUND(($J284-$H284)*1440,0)&gt;設定!$C$42,ROUND(($J284-$H284)*1440,0),0))</f>
        <v/>
      </c>
      <c r="P284" s="81">
        <f>IF(OR($C284="",$I284="",$K284=""),0,IF(ROUND(($I284-$K284)*1440,0)&gt;設定!$C$42,ROUND(($I284-$K284)*1440,0),0))</f>
        <v/>
      </c>
      <c r="Q284" s="82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79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0">
        <f>IF($G285="","",IFERROR(INDEX(設定!$D$6:$D$18,MATCH($G285,設定!$B$6:$B$18,0)),""))</f>
        <v/>
      </c>
      <c r="I285" s="80">
        <f>IF($G285="","",IFERROR(INDEX(設定!$E$6:$E$18,MATCH($G285,設定!$B$6:$B$18,0)),""))</f>
        <v/>
      </c>
      <c r="J285" s="80">
        <f>IFERROR(INDEX(打卡匯入!$C$3:$C$2002,MATCH($C285&amp;"|"&amp;DAY($A285),打卡匯入!$E$3:$E$2002,0)),"")</f>
        <v/>
      </c>
      <c r="K285" s="80">
        <f>IFERROR(INDEX(打卡匯入!$D$3:$D$2002,MATCH($C285&amp;"|"&amp;DAY($A285),打卡匯入!$E$3:$E$2002,0)),"")</f>
        <v/>
      </c>
      <c r="L285" s="81">
        <f>IF(OR($J285="",$K285=""),"",IFERROR(INDEX(設定!$F$6:$F$18,MATCH($G285,設定!$B$6:$B$18,0)),0))</f>
        <v/>
      </c>
      <c r="M285" s="82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1">
        <f>IF(OR($C285="",$H285="",$J285=""),0,IF(ROUND(($J285-$H285)*1440,0)&gt;設定!$C$42,ROUND(($J285-$H285)*1440,0),0))</f>
        <v/>
      </c>
      <c r="P285" s="81">
        <f>IF(OR($C285="",$I285="",$K285=""),0,IF(ROUND(($I285-$K285)*1440,0)&gt;設定!$C$42,ROUND(($I285-$K285)*1440,0),0))</f>
        <v/>
      </c>
      <c r="Q285" s="82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79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0">
        <f>IF($G286="","",IFERROR(INDEX(設定!$D$6:$D$18,MATCH($G286,設定!$B$6:$B$18,0)),""))</f>
        <v/>
      </c>
      <c r="I286" s="80">
        <f>IF($G286="","",IFERROR(INDEX(設定!$E$6:$E$18,MATCH($G286,設定!$B$6:$B$18,0)),""))</f>
        <v/>
      </c>
      <c r="J286" s="80">
        <f>IFERROR(INDEX(打卡匯入!$C$3:$C$2002,MATCH($C286&amp;"|"&amp;DAY($A286),打卡匯入!$E$3:$E$2002,0)),"")</f>
        <v/>
      </c>
      <c r="K286" s="80">
        <f>IFERROR(INDEX(打卡匯入!$D$3:$D$2002,MATCH($C286&amp;"|"&amp;DAY($A286),打卡匯入!$E$3:$E$2002,0)),"")</f>
        <v/>
      </c>
      <c r="L286" s="81">
        <f>IF(OR($J286="",$K286=""),"",IFERROR(INDEX(設定!$F$6:$F$18,MATCH($G286,設定!$B$6:$B$18,0)),0))</f>
        <v/>
      </c>
      <c r="M286" s="82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1">
        <f>IF(OR($C286="",$H286="",$J286=""),0,IF(ROUND(($J286-$H286)*1440,0)&gt;設定!$C$42,ROUND(($J286-$H286)*1440,0),0))</f>
        <v/>
      </c>
      <c r="P286" s="81">
        <f>IF(OR($C286="",$I286="",$K286=""),0,IF(ROUND(($I286-$K286)*1440,0)&gt;設定!$C$42,ROUND(($I286-$K286)*1440,0),0))</f>
        <v/>
      </c>
      <c r="Q286" s="82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79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0">
        <f>IF($G287="","",IFERROR(INDEX(設定!$D$6:$D$18,MATCH($G287,設定!$B$6:$B$18,0)),""))</f>
        <v/>
      </c>
      <c r="I287" s="80">
        <f>IF($G287="","",IFERROR(INDEX(設定!$E$6:$E$18,MATCH($G287,設定!$B$6:$B$18,0)),""))</f>
        <v/>
      </c>
      <c r="J287" s="80">
        <f>IFERROR(INDEX(打卡匯入!$C$3:$C$2002,MATCH($C287&amp;"|"&amp;DAY($A287),打卡匯入!$E$3:$E$2002,0)),"")</f>
        <v/>
      </c>
      <c r="K287" s="80">
        <f>IFERROR(INDEX(打卡匯入!$D$3:$D$2002,MATCH($C287&amp;"|"&amp;DAY($A287),打卡匯入!$E$3:$E$2002,0)),"")</f>
        <v/>
      </c>
      <c r="L287" s="81">
        <f>IF(OR($J287="",$K287=""),"",IFERROR(INDEX(設定!$F$6:$F$18,MATCH($G287,設定!$B$6:$B$18,0)),0))</f>
        <v/>
      </c>
      <c r="M287" s="82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1">
        <f>IF(OR($C287="",$H287="",$J287=""),0,IF(ROUND(($J287-$H287)*1440,0)&gt;設定!$C$42,ROUND(($J287-$H287)*1440,0),0))</f>
        <v/>
      </c>
      <c r="P287" s="81">
        <f>IF(OR($C287="",$I287="",$K287=""),0,IF(ROUND(($I287-$K287)*1440,0)&gt;設定!$C$42,ROUND(($I287-$K287)*1440,0),0))</f>
        <v/>
      </c>
      <c r="Q287" s="82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79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0">
        <f>IF($G288="","",IFERROR(INDEX(設定!$D$6:$D$18,MATCH($G288,設定!$B$6:$B$18,0)),""))</f>
        <v/>
      </c>
      <c r="I288" s="80">
        <f>IF($G288="","",IFERROR(INDEX(設定!$E$6:$E$18,MATCH($G288,設定!$B$6:$B$18,0)),""))</f>
        <v/>
      </c>
      <c r="J288" s="80">
        <f>IFERROR(INDEX(打卡匯入!$C$3:$C$2002,MATCH($C288&amp;"|"&amp;DAY($A288),打卡匯入!$E$3:$E$2002,0)),"")</f>
        <v/>
      </c>
      <c r="K288" s="80">
        <f>IFERROR(INDEX(打卡匯入!$D$3:$D$2002,MATCH($C288&amp;"|"&amp;DAY($A288),打卡匯入!$E$3:$E$2002,0)),"")</f>
        <v/>
      </c>
      <c r="L288" s="81">
        <f>IF(OR($J288="",$K288=""),"",IFERROR(INDEX(設定!$F$6:$F$18,MATCH($G288,設定!$B$6:$B$18,0)),0))</f>
        <v/>
      </c>
      <c r="M288" s="82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1">
        <f>IF(OR($C288="",$H288="",$J288=""),0,IF(ROUND(($J288-$H288)*1440,0)&gt;設定!$C$42,ROUND(($J288-$H288)*1440,0),0))</f>
        <v/>
      </c>
      <c r="P288" s="81">
        <f>IF(OR($C288="",$I288="",$K288=""),0,IF(ROUND(($I288-$K288)*1440,0)&gt;設定!$C$42,ROUND(($I288-$K288)*1440,0),0))</f>
        <v/>
      </c>
      <c r="Q288" s="82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79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0">
        <f>IF($G289="","",IFERROR(INDEX(設定!$D$6:$D$18,MATCH($G289,設定!$B$6:$B$18,0)),""))</f>
        <v/>
      </c>
      <c r="I289" s="80">
        <f>IF($G289="","",IFERROR(INDEX(設定!$E$6:$E$18,MATCH($G289,設定!$B$6:$B$18,0)),""))</f>
        <v/>
      </c>
      <c r="J289" s="80">
        <f>IFERROR(INDEX(打卡匯入!$C$3:$C$2002,MATCH($C289&amp;"|"&amp;DAY($A289),打卡匯入!$E$3:$E$2002,0)),"")</f>
        <v/>
      </c>
      <c r="K289" s="80">
        <f>IFERROR(INDEX(打卡匯入!$D$3:$D$2002,MATCH($C289&amp;"|"&amp;DAY($A289),打卡匯入!$E$3:$E$2002,0)),"")</f>
        <v/>
      </c>
      <c r="L289" s="81">
        <f>IF(OR($J289="",$K289=""),"",IFERROR(INDEX(設定!$F$6:$F$18,MATCH($G289,設定!$B$6:$B$18,0)),0))</f>
        <v/>
      </c>
      <c r="M289" s="82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1">
        <f>IF(OR($C289="",$H289="",$J289=""),0,IF(ROUND(($J289-$H289)*1440,0)&gt;設定!$C$42,ROUND(($J289-$H289)*1440,0),0))</f>
        <v/>
      </c>
      <c r="P289" s="81">
        <f>IF(OR($C289="",$I289="",$K289=""),0,IF(ROUND(($I289-$K289)*1440,0)&gt;設定!$C$42,ROUND(($I289-$K289)*1440,0),0))</f>
        <v/>
      </c>
      <c r="Q289" s="82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79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0">
        <f>IF($G290="","",IFERROR(INDEX(設定!$D$6:$D$18,MATCH($G290,設定!$B$6:$B$18,0)),""))</f>
        <v/>
      </c>
      <c r="I290" s="80">
        <f>IF($G290="","",IFERROR(INDEX(設定!$E$6:$E$18,MATCH($G290,設定!$B$6:$B$18,0)),""))</f>
        <v/>
      </c>
      <c r="J290" s="80">
        <f>IFERROR(INDEX(打卡匯入!$C$3:$C$2002,MATCH($C290&amp;"|"&amp;DAY($A290),打卡匯入!$E$3:$E$2002,0)),"")</f>
        <v/>
      </c>
      <c r="K290" s="80">
        <f>IFERROR(INDEX(打卡匯入!$D$3:$D$2002,MATCH($C290&amp;"|"&amp;DAY($A290),打卡匯入!$E$3:$E$2002,0)),"")</f>
        <v/>
      </c>
      <c r="L290" s="81">
        <f>IF(OR($J290="",$K290=""),"",IFERROR(INDEX(設定!$F$6:$F$18,MATCH($G290,設定!$B$6:$B$18,0)),0))</f>
        <v/>
      </c>
      <c r="M290" s="82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1">
        <f>IF(OR($C290="",$H290="",$J290=""),0,IF(ROUND(($J290-$H290)*1440,0)&gt;設定!$C$42,ROUND(($J290-$H290)*1440,0),0))</f>
        <v/>
      </c>
      <c r="P290" s="81">
        <f>IF(OR($C290="",$I290="",$K290=""),0,IF(ROUND(($I290-$K290)*1440,0)&gt;設定!$C$42,ROUND(($I290-$K290)*1440,0),0))</f>
        <v/>
      </c>
      <c r="Q290" s="82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79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0">
        <f>IF($G291="","",IFERROR(INDEX(設定!$D$6:$D$18,MATCH($G291,設定!$B$6:$B$18,0)),""))</f>
        <v/>
      </c>
      <c r="I291" s="80">
        <f>IF($G291="","",IFERROR(INDEX(設定!$E$6:$E$18,MATCH($G291,設定!$B$6:$B$18,0)),""))</f>
        <v/>
      </c>
      <c r="J291" s="80">
        <f>IFERROR(INDEX(打卡匯入!$C$3:$C$2002,MATCH($C291&amp;"|"&amp;DAY($A291),打卡匯入!$E$3:$E$2002,0)),"")</f>
        <v/>
      </c>
      <c r="K291" s="80">
        <f>IFERROR(INDEX(打卡匯入!$D$3:$D$2002,MATCH($C291&amp;"|"&amp;DAY($A291),打卡匯入!$E$3:$E$2002,0)),"")</f>
        <v/>
      </c>
      <c r="L291" s="81">
        <f>IF(OR($J291="",$K291=""),"",IFERROR(INDEX(設定!$F$6:$F$18,MATCH($G291,設定!$B$6:$B$18,0)),0))</f>
        <v/>
      </c>
      <c r="M291" s="82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1">
        <f>IF(OR($C291="",$H291="",$J291=""),0,IF(ROUND(($J291-$H291)*1440,0)&gt;設定!$C$42,ROUND(($J291-$H291)*1440,0),0))</f>
        <v/>
      </c>
      <c r="P291" s="81">
        <f>IF(OR($C291="",$I291="",$K291=""),0,IF(ROUND(($I291-$K291)*1440,0)&gt;設定!$C$42,ROUND(($I291-$K291)*1440,0),0))</f>
        <v/>
      </c>
      <c r="Q291" s="82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79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0">
        <f>IF($G292="","",IFERROR(INDEX(設定!$D$6:$D$18,MATCH($G292,設定!$B$6:$B$18,0)),""))</f>
        <v/>
      </c>
      <c r="I292" s="80">
        <f>IF($G292="","",IFERROR(INDEX(設定!$E$6:$E$18,MATCH($G292,設定!$B$6:$B$18,0)),""))</f>
        <v/>
      </c>
      <c r="J292" s="80">
        <f>IFERROR(INDEX(打卡匯入!$C$3:$C$2002,MATCH($C292&amp;"|"&amp;DAY($A292),打卡匯入!$E$3:$E$2002,0)),"")</f>
        <v/>
      </c>
      <c r="K292" s="80">
        <f>IFERROR(INDEX(打卡匯入!$D$3:$D$2002,MATCH($C292&amp;"|"&amp;DAY($A292),打卡匯入!$E$3:$E$2002,0)),"")</f>
        <v/>
      </c>
      <c r="L292" s="81">
        <f>IF(OR($J292="",$K292=""),"",IFERROR(INDEX(設定!$F$6:$F$18,MATCH($G292,設定!$B$6:$B$18,0)),0))</f>
        <v/>
      </c>
      <c r="M292" s="82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1">
        <f>IF(OR($C292="",$H292="",$J292=""),0,IF(ROUND(($J292-$H292)*1440,0)&gt;設定!$C$42,ROUND(($J292-$H292)*1440,0),0))</f>
        <v/>
      </c>
      <c r="P292" s="81">
        <f>IF(OR($C292="",$I292="",$K292=""),0,IF(ROUND(($I292-$K292)*1440,0)&gt;設定!$C$42,ROUND(($I292-$K292)*1440,0),0))</f>
        <v/>
      </c>
      <c r="Q292" s="82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79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0">
        <f>IF($G293="","",IFERROR(INDEX(設定!$D$6:$D$18,MATCH($G293,設定!$B$6:$B$18,0)),""))</f>
        <v/>
      </c>
      <c r="I293" s="80">
        <f>IF($G293="","",IFERROR(INDEX(設定!$E$6:$E$18,MATCH($G293,設定!$B$6:$B$18,0)),""))</f>
        <v/>
      </c>
      <c r="J293" s="80">
        <f>IFERROR(INDEX(打卡匯入!$C$3:$C$2002,MATCH($C293&amp;"|"&amp;DAY($A293),打卡匯入!$E$3:$E$2002,0)),"")</f>
        <v/>
      </c>
      <c r="K293" s="80">
        <f>IFERROR(INDEX(打卡匯入!$D$3:$D$2002,MATCH($C293&amp;"|"&amp;DAY($A293),打卡匯入!$E$3:$E$2002,0)),"")</f>
        <v/>
      </c>
      <c r="L293" s="81">
        <f>IF(OR($J293="",$K293=""),"",IFERROR(INDEX(設定!$F$6:$F$18,MATCH($G293,設定!$B$6:$B$18,0)),0))</f>
        <v/>
      </c>
      <c r="M293" s="82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1">
        <f>IF(OR($C293="",$H293="",$J293=""),0,IF(ROUND(($J293-$H293)*1440,0)&gt;設定!$C$42,ROUND(($J293-$H293)*1440,0),0))</f>
        <v/>
      </c>
      <c r="P293" s="81">
        <f>IF(OR($C293="",$I293="",$K293=""),0,IF(ROUND(($I293-$K293)*1440,0)&gt;設定!$C$42,ROUND(($I293-$K293)*1440,0),0))</f>
        <v/>
      </c>
      <c r="Q293" s="82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79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0">
        <f>IF($G294="","",IFERROR(INDEX(設定!$D$6:$D$18,MATCH($G294,設定!$B$6:$B$18,0)),""))</f>
        <v/>
      </c>
      <c r="I294" s="80">
        <f>IF($G294="","",IFERROR(INDEX(設定!$E$6:$E$18,MATCH($G294,設定!$B$6:$B$18,0)),""))</f>
        <v/>
      </c>
      <c r="J294" s="80">
        <f>IFERROR(INDEX(打卡匯入!$C$3:$C$2002,MATCH($C294&amp;"|"&amp;DAY($A294),打卡匯入!$E$3:$E$2002,0)),"")</f>
        <v/>
      </c>
      <c r="K294" s="80">
        <f>IFERROR(INDEX(打卡匯入!$D$3:$D$2002,MATCH($C294&amp;"|"&amp;DAY($A294),打卡匯入!$E$3:$E$2002,0)),"")</f>
        <v/>
      </c>
      <c r="L294" s="81">
        <f>IF(OR($J294="",$K294=""),"",IFERROR(INDEX(設定!$F$6:$F$18,MATCH($G294,設定!$B$6:$B$18,0)),0))</f>
        <v/>
      </c>
      <c r="M294" s="82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1">
        <f>IF(OR($C294="",$H294="",$J294=""),0,IF(ROUND(($J294-$H294)*1440,0)&gt;設定!$C$42,ROUND(($J294-$H294)*1440,0),0))</f>
        <v/>
      </c>
      <c r="P294" s="81">
        <f>IF(OR($C294="",$I294="",$K294=""),0,IF(ROUND(($I294-$K294)*1440,0)&gt;設定!$C$42,ROUND(($I294-$K294)*1440,0),0))</f>
        <v/>
      </c>
      <c r="Q294" s="82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79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0">
        <f>IF($G295="","",IFERROR(INDEX(設定!$D$6:$D$18,MATCH($G295,設定!$B$6:$B$18,0)),""))</f>
        <v/>
      </c>
      <c r="I295" s="80">
        <f>IF($G295="","",IFERROR(INDEX(設定!$E$6:$E$18,MATCH($G295,設定!$B$6:$B$18,0)),""))</f>
        <v/>
      </c>
      <c r="J295" s="80">
        <f>IFERROR(INDEX(打卡匯入!$C$3:$C$2002,MATCH($C295&amp;"|"&amp;DAY($A295),打卡匯入!$E$3:$E$2002,0)),"")</f>
        <v/>
      </c>
      <c r="K295" s="80">
        <f>IFERROR(INDEX(打卡匯入!$D$3:$D$2002,MATCH($C295&amp;"|"&amp;DAY($A295),打卡匯入!$E$3:$E$2002,0)),"")</f>
        <v/>
      </c>
      <c r="L295" s="81">
        <f>IF(OR($J295="",$K295=""),"",IFERROR(INDEX(設定!$F$6:$F$18,MATCH($G295,設定!$B$6:$B$18,0)),0))</f>
        <v/>
      </c>
      <c r="M295" s="82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1">
        <f>IF(OR($C295="",$H295="",$J295=""),0,IF(ROUND(($J295-$H295)*1440,0)&gt;設定!$C$42,ROUND(($J295-$H295)*1440,0),0))</f>
        <v/>
      </c>
      <c r="P295" s="81">
        <f>IF(OR($C295="",$I295="",$K295=""),0,IF(ROUND(($I295-$K295)*1440,0)&gt;設定!$C$42,ROUND(($I295-$K295)*1440,0),0))</f>
        <v/>
      </c>
      <c r="Q295" s="82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79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0">
        <f>IF($G296="","",IFERROR(INDEX(設定!$D$6:$D$18,MATCH($G296,設定!$B$6:$B$18,0)),""))</f>
        <v/>
      </c>
      <c r="I296" s="80">
        <f>IF($G296="","",IFERROR(INDEX(設定!$E$6:$E$18,MATCH($G296,設定!$B$6:$B$18,0)),""))</f>
        <v/>
      </c>
      <c r="J296" s="80">
        <f>IFERROR(INDEX(打卡匯入!$C$3:$C$2002,MATCH($C296&amp;"|"&amp;DAY($A296),打卡匯入!$E$3:$E$2002,0)),"")</f>
        <v/>
      </c>
      <c r="K296" s="80">
        <f>IFERROR(INDEX(打卡匯入!$D$3:$D$2002,MATCH($C296&amp;"|"&amp;DAY($A296),打卡匯入!$E$3:$E$2002,0)),"")</f>
        <v/>
      </c>
      <c r="L296" s="81">
        <f>IF(OR($J296="",$K296=""),"",IFERROR(INDEX(設定!$F$6:$F$18,MATCH($G296,設定!$B$6:$B$18,0)),0))</f>
        <v/>
      </c>
      <c r="M296" s="82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1">
        <f>IF(OR($C296="",$H296="",$J296=""),0,IF(ROUND(($J296-$H296)*1440,0)&gt;設定!$C$42,ROUND(($J296-$H296)*1440,0),0))</f>
        <v/>
      </c>
      <c r="P296" s="81">
        <f>IF(OR($C296="",$I296="",$K296=""),0,IF(ROUND(($I296-$K296)*1440,0)&gt;設定!$C$42,ROUND(($I296-$K296)*1440,0),0))</f>
        <v/>
      </c>
      <c r="Q296" s="82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79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0">
        <f>IF($G297="","",IFERROR(INDEX(設定!$D$6:$D$18,MATCH($G297,設定!$B$6:$B$18,0)),""))</f>
        <v/>
      </c>
      <c r="I297" s="80">
        <f>IF($G297="","",IFERROR(INDEX(設定!$E$6:$E$18,MATCH($G297,設定!$B$6:$B$18,0)),""))</f>
        <v/>
      </c>
      <c r="J297" s="80">
        <f>IFERROR(INDEX(打卡匯入!$C$3:$C$2002,MATCH($C297&amp;"|"&amp;DAY($A297),打卡匯入!$E$3:$E$2002,0)),"")</f>
        <v/>
      </c>
      <c r="K297" s="80">
        <f>IFERROR(INDEX(打卡匯入!$D$3:$D$2002,MATCH($C297&amp;"|"&amp;DAY($A297),打卡匯入!$E$3:$E$2002,0)),"")</f>
        <v/>
      </c>
      <c r="L297" s="81">
        <f>IF(OR($J297="",$K297=""),"",IFERROR(INDEX(設定!$F$6:$F$18,MATCH($G297,設定!$B$6:$B$18,0)),0))</f>
        <v/>
      </c>
      <c r="M297" s="82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1">
        <f>IF(OR($C297="",$H297="",$J297=""),0,IF(ROUND(($J297-$H297)*1440,0)&gt;設定!$C$42,ROUND(($J297-$H297)*1440,0),0))</f>
        <v/>
      </c>
      <c r="P297" s="81">
        <f>IF(OR($C297="",$I297="",$K297=""),0,IF(ROUND(($I297-$K297)*1440,0)&gt;設定!$C$42,ROUND(($I297-$K297)*1440,0),0))</f>
        <v/>
      </c>
      <c r="Q297" s="82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79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0">
        <f>IF($G298="","",IFERROR(INDEX(設定!$D$6:$D$18,MATCH($G298,設定!$B$6:$B$18,0)),""))</f>
        <v/>
      </c>
      <c r="I298" s="80">
        <f>IF($G298="","",IFERROR(INDEX(設定!$E$6:$E$18,MATCH($G298,設定!$B$6:$B$18,0)),""))</f>
        <v/>
      </c>
      <c r="J298" s="80">
        <f>IFERROR(INDEX(打卡匯入!$C$3:$C$2002,MATCH($C298&amp;"|"&amp;DAY($A298),打卡匯入!$E$3:$E$2002,0)),"")</f>
        <v/>
      </c>
      <c r="K298" s="80">
        <f>IFERROR(INDEX(打卡匯入!$D$3:$D$2002,MATCH($C298&amp;"|"&amp;DAY($A298),打卡匯入!$E$3:$E$2002,0)),"")</f>
        <v/>
      </c>
      <c r="L298" s="81">
        <f>IF(OR($J298="",$K298=""),"",IFERROR(INDEX(設定!$F$6:$F$18,MATCH($G298,設定!$B$6:$B$18,0)),0))</f>
        <v/>
      </c>
      <c r="M298" s="82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1">
        <f>IF(OR($C298="",$H298="",$J298=""),0,IF(ROUND(($J298-$H298)*1440,0)&gt;設定!$C$42,ROUND(($J298-$H298)*1440,0),0))</f>
        <v/>
      </c>
      <c r="P298" s="81">
        <f>IF(OR($C298="",$I298="",$K298=""),0,IF(ROUND(($I298-$K298)*1440,0)&gt;設定!$C$42,ROUND(($I298-$K298)*1440,0),0))</f>
        <v/>
      </c>
      <c r="Q298" s="82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79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0">
        <f>IF($G299="","",IFERROR(INDEX(設定!$D$6:$D$18,MATCH($G299,設定!$B$6:$B$18,0)),""))</f>
        <v/>
      </c>
      <c r="I299" s="80">
        <f>IF($G299="","",IFERROR(INDEX(設定!$E$6:$E$18,MATCH($G299,設定!$B$6:$B$18,0)),""))</f>
        <v/>
      </c>
      <c r="J299" s="80">
        <f>IFERROR(INDEX(打卡匯入!$C$3:$C$2002,MATCH($C299&amp;"|"&amp;DAY($A299),打卡匯入!$E$3:$E$2002,0)),"")</f>
        <v/>
      </c>
      <c r="K299" s="80">
        <f>IFERROR(INDEX(打卡匯入!$D$3:$D$2002,MATCH($C299&amp;"|"&amp;DAY($A299),打卡匯入!$E$3:$E$2002,0)),"")</f>
        <v/>
      </c>
      <c r="L299" s="81">
        <f>IF(OR($J299="",$K299=""),"",IFERROR(INDEX(設定!$F$6:$F$18,MATCH($G299,設定!$B$6:$B$18,0)),0))</f>
        <v/>
      </c>
      <c r="M299" s="82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1">
        <f>IF(OR($C299="",$H299="",$J299=""),0,IF(ROUND(($J299-$H299)*1440,0)&gt;設定!$C$42,ROUND(($J299-$H299)*1440,0),0))</f>
        <v/>
      </c>
      <c r="P299" s="81">
        <f>IF(OR($C299="",$I299="",$K299=""),0,IF(ROUND(($I299-$K299)*1440,0)&gt;設定!$C$42,ROUND(($I299-$K299)*1440,0),0))</f>
        <v/>
      </c>
      <c r="Q299" s="82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79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0">
        <f>IF($G300="","",IFERROR(INDEX(設定!$D$6:$D$18,MATCH($G300,設定!$B$6:$B$18,0)),""))</f>
        <v/>
      </c>
      <c r="I300" s="80">
        <f>IF($G300="","",IFERROR(INDEX(設定!$E$6:$E$18,MATCH($G300,設定!$B$6:$B$18,0)),""))</f>
        <v/>
      </c>
      <c r="J300" s="80">
        <f>IFERROR(INDEX(打卡匯入!$C$3:$C$2002,MATCH($C300&amp;"|"&amp;DAY($A300),打卡匯入!$E$3:$E$2002,0)),"")</f>
        <v/>
      </c>
      <c r="K300" s="80">
        <f>IFERROR(INDEX(打卡匯入!$D$3:$D$2002,MATCH($C300&amp;"|"&amp;DAY($A300),打卡匯入!$E$3:$E$2002,0)),"")</f>
        <v/>
      </c>
      <c r="L300" s="81">
        <f>IF(OR($J300="",$K300=""),"",IFERROR(INDEX(設定!$F$6:$F$18,MATCH($G300,設定!$B$6:$B$18,0)),0))</f>
        <v/>
      </c>
      <c r="M300" s="82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1">
        <f>IF(OR($C300="",$H300="",$J300=""),0,IF(ROUND(($J300-$H300)*1440,0)&gt;設定!$C$42,ROUND(($J300-$H300)*1440,0),0))</f>
        <v/>
      </c>
      <c r="P300" s="81">
        <f>IF(OR($C300="",$I300="",$K300=""),0,IF(ROUND(($I300-$K300)*1440,0)&gt;設定!$C$42,ROUND(($I300-$K300)*1440,0),0))</f>
        <v/>
      </c>
      <c r="Q300" s="82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79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0">
        <f>IF($G301="","",IFERROR(INDEX(設定!$D$6:$D$18,MATCH($G301,設定!$B$6:$B$18,0)),""))</f>
        <v/>
      </c>
      <c r="I301" s="80">
        <f>IF($G301="","",IFERROR(INDEX(設定!$E$6:$E$18,MATCH($G301,設定!$B$6:$B$18,0)),""))</f>
        <v/>
      </c>
      <c r="J301" s="80">
        <f>IFERROR(INDEX(打卡匯入!$C$3:$C$2002,MATCH($C301&amp;"|"&amp;DAY($A301),打卡匯入!$E$3:$E$2002,0)),"")</f>
        <v/>
      </c>
      <c r="K301" s="80">
        <f>IFERROR(INDEX(打卡匯入!$D$3:$D$2002,MATCH($C301&amp;"|"&amp;DAY($A301),打卡匯入!$E$3:$E$2002,0)),"")</f>
        <v/>
      </c>
      <c r="L301" s="81">
        <f>IF(OR($J301="",$K301=""),"",IFERROR(INDEX(設定!$F$6:$F$18,MATCH($G301,設定!$B$6:$B$18,0)),0))</f>
        <v/>
      </c>
      <c r="M301" s="82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1">
        <f>IF(OR($C301="",$H301="",$J301=""),0,IF(ROUND(($J301-$H301)*1440,0)&gt;設定!$C$42,ROUND(($J301-$H301)*1440,0),0))</f>
        <v/>
      </c>
      <c r="P301" s="81">
        <f>IF(OR($C301="",$I301="",$K301=""),0,IF(ROUND(($I301-$K301)*1440,0)&gt;設定!$C$42,ROUND(($I301-$K301)*1440,0),0))</f>
        <v/>
      </c>
      <c r="Q301" s="82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79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0">
        <f>IF($G302="","",IFERROR(INDEX(設定!$D$6:$D$18,MATCH($G302,設定!$B$6:$B$18,0)),""))</f>
        <v/>
      </c>
      <c r="I302" s="80">
        <f>IF($G302="","",IFERROR(INDEX(設定!$E$6:$E$18,MATCH($G302,設定!$B$6:$B$18,0)),""))</f>
        <v/>
      </c>
      <c r="J302" s="80">
        <f>IFERROR(INDEX(打卡匯入!$C$3:$C$2002,MATCH($C302&amp;"|"&amp;DAY($A302),打卡匯入!$E$3:$E$2002,0)),"")</f>
        <v/>
      </c>
      <c r="K302" s="80">
        <f>IFERROR(INDEX(打卡匯入!$D$3:$D$2002,MATCH($C302&amp;"|"&amp;DAY($A302),打卡匯入!$E$3:$E$2002,0)),"")</f>
        <v/>
      </c>
      <c r="L302" s="81">
        <f>IF(OR($J302="",$K302=""),"",IFERROR(INDEX(設定!$F$6:$F$18,MATCH($G302,設定!$B$6:$B$18,0)),0))</f>
        <v/>
      </c>
      <c r="M302" s="82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1">
        <f>IF(OR($C302="",$H302="",$J302=""),0,IF(ROUND(($J302-$H302)*1440,0)&gt;設定!$C$42,ROUND(($J302-$H302)*1440,0),0))</f>
        <v/>
      </c>
      <c r="P302" s="81">
        <f>IF(OR($C302="",$I302="",$K302=""),0,IF(ROUND(($I302-$K302)*1440,0)&gt;設定!$C$42,ROUND(($I302-$K302)*1440,0),0))</f>
        <v/>
      </c>
      <c r="Q302" s="82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79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0">
        <f>IF($G303="","",IFERROR(INDEX(設定!$D$6:$D$18,MATCH($G303,設定!$B$6:$B$18,0)),""))</f>
        <v/>
      </c>
      <c r="I303" s="80">
        <f>IF($G303="","",IFERROR(INDEX(設定!$E$6:$E$18,MATCH($G303,設定!$B$6:$B$18,0)),""))</f>
        <v/>
      </c>
      <c r="J303" s="80">
        <f>IFERROR(INDEX(打卡匯入!$C$3:$C$2002,MATCH($C303&amp;"|"&amp;DAY($A303),打卡匯入!$E$3:$E$2002,0)),"")</f>
        <v/>
      </c>
      <c r="K303" s="80">
        <f>IFERROR(INDEX(打卡匯入!$D$3:$D$2002,MATCH($C303&amp;"|"&amp;DAY($A303),打卡匯入!$E$3:$E$2002,0)),"")</f>
        <v/>
      </c>
      <c r="L303" s="81">
        <f>IF(OR($J303="",$K303=""),"",IFERROR(INDEX(設定!$F$6:$F$18,MATCH($G303,設定!$B$6:$B$18,0)),0))</f>
        <v/>
      </c>
      <c r="M303" s="82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1">
        <f>IF(OR($C303="",$H303="",$J303=""),0,IF(ROUND(($J303-$H303)*1440,0)&gt;設定!$C$42,ROUND(($J303-$H303)*1440,0),0))</f>
        <v/>
      </c>
      <c r="P303" s="81">
        <f>IF(OR($C303="",$I303="",$K303=""),0,IF(ROUND(($I303-$K303)*1440,0)&gt;設定!$C$42,ROUND(($I303-$K303)*1440,0),0))</f>
        <v/>
      </c>
      <c r="Q303" s="82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79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0">
        <f>IF($G304="","",IFERROR(INDEX(設定!$D$6:$D$18,MATCH($G304,設定!$B$6:$B$18,0)),""))</f>
        <v/>
      </c>
      <c r="I304" s="80">
        <f>IF($G304="","",IFERROR(INDEX(設定!$E$6:$E$18,MATCH($G304,設定!$B$6:$B$18,0)),""))</f>
        <v/>
      </c>
      <c r="J304" s="80">
        <f>IFERROR(INDEX(打卡匯入!$C$3:$C$2002,MATCH($C304&amp;"|"&amp;DAY($A304),打卡匯入!$E$3:$E$2002,0)),"")</f>
        <v/>
      </c>
      <c r="K304" s="80">
        <f>IFERROR(INDEX(打卡匯入!$D$3:$D$2002,MATCH($C304&amp;"|"&amp;DAY($A304),打卡匯入!$E$3:$E$2002,0)),"")</f>
        <v/>
      </c>
      <c r="L304" s="81">
        <f>IF(OR($J304="",$K304=""),"",IFERROR(INDEX(設定!$F$6:$F$18,MATCH($G304,設定!$B$6:$B$18,0)),0))</f>
        <v/>
      </c>
      <c r="M304" s="82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1">
        <f>IF(OR($C304="",$H304="",$J304=""),0,IF(ROUND(($J304-$H304)*1440,0)&gt;設定!$C$42,ROUND(($J304-$H304)*1440,0),0))</f>
        <v/>
      </c>
      <c r="P304" s="81">
        <f>IF(OR($C304="",$I304="",$K304=""),0,IF(ROUND(($I304-$K304)*1440,0)&gt;設定!$C$42,ROUND(($I304-$K304)*1440,0),0))</f>
        <v/>
      </c>
      <c r="Q304" s="82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79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0">
        <f>IF($G305="","",IFERROR(INDEX(設定!$D$6:$D$18,MATCH($G305,設定!$B$6:$B$18,0)),""))</f>
        <v/>
      </c>
      <c r="I305" s="80">
        <f>IF($G305="","",IFERROR(INDEX(設定!$E$6:$E$18,MATCH($G305,設定!$B$6:$B$18,0)),""))</f>
        <v/>
      </c>
      <c r="J305" s="80">
        <f>IFERROR(INDEX(打卡匯入!$C$3:$C$2002,MATCH($C305&amp;"|"&amp;DAY($A305),打卡匯入!$E$3:$E$2002,0)),"")</f>
        <v/>
      </c>
      <c r="K305" s="80">
        <f>IFERROR(INDEX(打卡匯入!$D$3:$D$2002,MATCH($C305&amp;"|"&amp;DAY($A305),打卡匯入!$E$3:$E$2002,0)),"")</f>
        <v/>
      </c>
      <c r="L305" s="81">
        <f>IF(OR($J305="",$K305=""),"",IFERROR(INDEX(設定!$F$6:$F$18,MATCH($G305,設定!$B$6:$B$18,0)),0))</f>
        <v/>
      </c>
      <c r="M305" s="82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1">
        <f>IF(OR($C305="",$H305="",$J305=""),0,IF(ROUND(($J305-$H305)*1440,0)&gt;設定!$C$42,ROUND(($J305-$H305)*1440,0),0))</f>
        <v/>
      </c>
      <c r="P305" s="81">
        <f>IF(OR($C305="",$I305="",$K305=""),0,IF(ROUND(($I305-$K305)*1440,0)&gt;設定!$C$42,ROUND(($I305-$K305)*1440,0),0))</f>
        <v/>
      </c>
      <c r="Q305" s="82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79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0">
        <f>IF($G306="","",IFERROR(INDEX(設定!$D$6:$D$18,MATCH($G306,設定!$B$6:$B$18,0)),""))</f>
        <v/>
      </c>
      <c r="I306" s="80">
        <f>IF($G306="","",IFERROR(INDEX(設定!$E$6:$E$18,MATCH($G306,設定!$B$6:$B$18,0)),""))</f>
        <v/>
      </c>
      <c r="J306" s="80">
        <f>IFERROR(INDEX(打卡匯入!$C$3:$C$2002,MATCH($C306&amp;"|"&amp;DAY($A306),打卡匯入!$E$3:$E$2002,0)),"")</f>
        <v/>
      </c>
      <c r="K306" s="80">
        <f>IFERROR(INDEX(打卡匯入!$D$3:$D$2002,MATCH($C306&amp;"|"&amp;DAY($A306),打卡匯入!$E$3:$E$2002,0)),"")</f>
        <v/>
      </c>
      <c r="L306" s="81">
        <f>IF(OR($J306="",$K306=""),"",IFERROR(INDEX(設定!$F$6:$F$18,MATCH($G306,設定!$B$6:$B$18,0)),0))</f>
        <v/>
      </c>
      <c r="M306" s="82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1">
        <f>IF(OR($C306="",$H306="",$J306=""),0,IF(ROUND(($J306-$H306)*1440,0)&gt;設定!$C$42,ROUND(($J306-$H306)*1440,0),0))</f>
        <v/>
      </c>
      <c r="P306" s="81">
        <f>IF(OR($C306="",$I306="",$K306=""),0,IF(ROUND(($I306-$K306)*1440,0)&gt;設定!$C$42,ROUND(($I306-$K306)*1440,0),0))</f>
        <v/>
      </c>
      <c r="Q306" s="82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79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0">
        <f>IF($G307="","",IFERROR(INDEX(設定!$D$6:$D$18,MATCH($G307,設定!$B$6:$B$18,0)),""))</f>
        <v/>
      </c>
      <c r="I307" s="80">
        <f>IF($G307="","",IFERROR(INDEX(設定!$E$6:$E$18,MATCH($G307,設定!$B$6:$B$18,0)),""))</f>
        <v/>
      </c>
      <c r="J307" s="80">
        <f>IFERROR(INDEX(打卡匯入!$C$3:$C$2002,MATCH($C307&amp;"|"&amp;DAY($A307),打卡匯入!$E$3:$E$2002,0)),"")</f>
        <v/>
      </c>
      <c r="K307" s="80">
        <f>IFERROR(INDEX(打卡匯入!$D$3:$D$2002,MATCH($C307&amp;"|"&amp;DAY($A307),打卡匯入!$E$3:$E$2002,0)),"")</f>
        <v/>
      </c>
      <c r="L307" s="81">
        <f>IF(OR($J307="",$K307=""),"",IFERROR(INDEX(設定!$F$6:$F$18,MATCH($G307,設定!$B$6:$B$18,0)),0))</f>
        <v/>
      </c>
      <c r="M307" s="82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1">
        <f>IF(OR($C307="",$H307="",$J307=""),0,IF(ROUND(($J307-$H307)*1440,0)&gt;設定!$C$42,ROUND(($J307-$H307)*1440,0),0))</f>
        <v/>
      </c>
      <c r="P307" s="81">
        <f>IF(OR($C307="",$I307="",$K307=""),0,IF(ROUND(($I307-$K307)*1440,0)&gt;設定!$C$42,ROUND(($I307-$K307)*1440,0),0))</f>
        <v/>
      </c>
      <c r="Q307" s="82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79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0">
        <f>IF($G308="","",IFERROR(INDEX(設定!$D$6:$D$18,MATCH($G308,設定!$B$6:$B$18,0)),""))</f>
        <v/>
      </c>
      <c r="I308" s="80">
        <f>IF($G308="","",IFERROR(INDEX(設定!$E$6:$E$18,MATCH($G308,設定!$B$6:$B$18,0)),""))</f>
        <v/>
      </c>
      <c r="J308" s="80">
        <f>IFERROR(INDEX(打卡匯入!$C$3:$C$2002,MATCH($C308&amp;"|"&amp;DAY($A308),打卡匯入!$E$3:$E$2002,0)),"")</f>
        <v/>
      </c>
      <c r="K308" s="80">
        <f>IFERROR(INDEX(打卡匯入!$D$3:$D$2002,MATCH($C308&amp;"|"&amp;DAY($A308),打卡匯入!$E$3:$E$2002,0)),"")</f>
        <v/>
      </c>
      <c r="L308" s="81">
        <f>IF(OR($J308="",$K308=""),"",IFERROR(INDEX(設定!$F$6:$F$18,MATCH($G308,設定!$B$6:$B$18,0)),0))</f>
        <v/>
      </c>
      <c r="M308" s="82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1">
        <f>IF(OR($C308="",$H308="",$J308=""),0,IF(ROUND(($J308-$H308)*1440,0)&gt;設定!$C$42,ROUND(($J308-$H308)*1440,0),0))</f>
        <v/>
      </c>
      <c r="P308" s="81">
        <f>IF(OR($C308="",$I308="",$K308=""),0,IF(ROUND(($I308-$K308)*1440,0)&gt;設定!$C$42,ROUND(($I308-$K308)*1440,0),0))</f>
        <v/>
      </c>
      <c r="Q308" s="82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79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0">
        <f>IF($G309="","",IFERROR(INDEX(設定!$D$6:$D$18,MATCH($G309,設定!$B$6:$B$18,0)),""))</f>
        <v/>
      </c>
      <c r="I309" s="80">
        <f>IF($G309="","",IFERROR(INDEX(設定!$E$6:$E$18,MATCH($G309,設定!$B$6:$B$18,0)),""))</f>
        <v/>
      </c>
      <c r="J309" s="80">
        <f>IFERROR(INDEX(打卡匯入!$C$3:$C$2002,MATCH($C309&amp;"|"&amp;DAY($A309),打卡匯入!$E$3:$E$2002,0)),"")</f>
        <v/>
      </c>
      <c r="K309" s="80">
        <f>IFERROR(INDEX(打卡匯入!$D$3:$D$2002,MATCH($C309&amp;"|"&amp;DAY($A309),打卡匯入!$E$3:$E$2002,0)),"")</f>
        <v/>
      </c>
      <c r="L309" s="81">
        <f>IF(OR($J309="",$K309=""),"",IFERROR(INDEX(設定!$F$6:$F$18,MATCH($G309,設定!$B$6:$B$18,0)),0))</f>
        <v/>
      </c>
      <c r="M309" s="82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1">
        <f>IF(OR($C309="",$H309="",$J309=""),0,IF(ROUND(($J309-$H309)*1440,0)&gt;設定!$C$42,ROUND(($J309-$H309)*1440,0),0))</f>
        <v/>
      </c>
      <c r="P309" s="81">
        <f>IF(OR($C309="",$I309="",$K309=""),0,IF(ROUND(($I309-$K309)*1440,0)&gt;設定!$C$42,ROUND(($I309-$K309)*1440,0),0))</f>
        <v/>
      </c>
      <c r="Q309" s="82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79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0">
        <f>IF($G310="","",IFERROR(INDEX(設定!$D$6:$D$18,MATCH($G310,設定!$B$6:$B$18,0)),""))</f>
        <v/>
      </c>
      <c r="I310" s="80">
        <f>IF($G310="","",IFERROR(INDEX(設定!$E$6:$E$18,MATCH($G310,設定!$B$6:$B$18,0)),""))</f>
        <v/>
      </c>
      <c r="J310" s="80">
        <f>IFERROR(INDEX(打卡匯入!$C$3:$C$2002,MATCH($C310&amp;"|"&amp;DAY($A310),打卡匯入!$E$3:$E$2002,0)),"")</f>
        <v/>
      </c>
      <c r="K310" s="80">
        <f>IFERROR(INDEX(打卡匯入!$D$3:$D$2002,MATCH($C310&amp;"|"&amp;DAY($A310),打卡匯入!$E$3:$E$2002,0)),"")</f>
        <v/>
      </c>
      <c r="L310" s="81">
        <f>IF(OR($J310="",$K310=""),"",IFERROR(INDEX(設定!$F$6:$F$18,MATCH($G310,設定!$B$6:$B$18,0)),0))</f>
        <v/>
      </c>
      <c r="M310" s="82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1">
        <f>IF(OR($C310="",$H310="",$J310=""),0,IF(ROUND(($J310-$H310)*1440,0)&gt;設定!$C$42,ROUND(($J310-$H310)*1440,0),0))</f>
        <v/>
      </c>
      <c r="P310" s="81">
        <f>IF(OR($C310="",$I310="",$K310=""),0,IF(ROUND(($I310-$K310)*1440,0)&gt;設定!$C$42,ROUND(($I310-$K310)*1440,0),0))</f>
        <v/>
      </c>
      <c r="Q310" s="82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79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0">
        <f>IF($G311="","",IFERROR(INDEX(設定!$D$6:$D$18,MATCH($G311,設定!$B$6:$B$18,0)),""))</f>
        <v/>
      </c>
      <c r="I311" s="80">
        <f>IF($G311="","",IFERROR(INDEX(設定!$E$6:$E$18,MATCH($G311,設定!$B$6:$B$18,0)),""))</f>
        <v/>
      </c>
      <c r="J311" s="80">
        <f>IFERROR(INDEX(打卡匯入!$C$3:$C$2002,MATCH($C311&amp;"|"&amp;DAY($A311),打卡匯入!$E$3:$E$2002,0)),"")</f>
        <v/>
      </c>
      <c r="K311" s="80">
        <f>IFERROR(INDEX(打卡匯入!$D$3:$D$2002,MATCH($C311&amp;"|"&amp;DAY($A311),打卡匯入!$E$3:$E$2002,0)),"")</f>
        <v/>
      </c>
      <c r="L311" s="81">
        <f>IF(OR($J311="",$K311=""),"",IFERROR(INDEX(設定!$F$6:$F$18,MATCH($G311,設定!$B$6:$B$18,0)),0))</f>
        <v/>
      </c>
      <c r="M311" s="82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1">
        <f>IF(OR($C311="",$H311="",$J311=""),0,IF(ROUND(($J311-$H311)*1440,0)&gt;設定!$C$42,ROUND(($J311-$H311)*1440,0),0))</f>
        <v/>
      </c>
      <c r="P311" s="81">
        <f>IF(OR($C311="",$I311="",$K311=""),0,IF(ROUND(($I311-$K311)*1440,0)&gt;設定!$C$42,ROUND(($I311-$K311)*1440,0),0))</f>
        <v/>
      </c>
      <c r="Q311" s="82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79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0">
        <f>IF($G312="","",IFERROR(INDEX(設定!$D$6:$D$18,MATCH($G312,設定!$B$6:$B$18,0)),""))</f>
        <v/>
      </c>
      <c r="I312" s="80">
        <f>IF($G312="","",IFERROR(INDEX(設定!$E$6:$E$18,MATCH($G312,設定!$B$6:$B$18,0)),""))</f>
        <v/>
      </c>
      <c r="J312" s="80">
        <f>IFERROR(INDEX(打卡匯入!$C$3:$C$2002,MATCH($C312&amp;"|"&amp;DAY($A312),打卡匯入!$E$3:$E$2002,0)),"")</f>
        <v/>
      </c>
      <c r="K312" s="80">
        <f>IFERROR(INDEX(打卡匯入!$D$3:$D$2002,MATCH($C312&amp;"|"&amp;DAY($A312),打卡匯入!$E$3:$E$2002,0)),"")</f>
        <v/>
      </c>
      <c r="L312" s="81">
        <f>IF(OR($J312="",$K312=""),"",IFERROR(INDEX(設定!$F$6:$F$18,MATCH($G312,設定!$B$6:$B$18,0)),0))</f>
        <v/>
      </c>
      <c r="M312" s="82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1">
        <f>IF(OR($C312="",$H312="",$J312=""),0,IF(ROUND(($J312-$H312)*1440,0)&gt;設定!$C$42,ROUND(($J312-$H312)*1440,0),0))</f>
        <v/>
      </c>
      <c r="P312" s="81">
        <f>IF(OR($C312="",$I312="",$K312=""),0,IF(ROUND(($I312-$K312)*1440,0)&gt;設定!$C$42,ROUND(($I312-$K312)*1440,0),0))</f>
        <v/>
      </c>
      <c r="Q312" s="82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79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0">
        <f>IF($G313="","",IFERROR(INDEX(設定!$D$6:$D$18,MATCH($G313,設定!$B$6:$B$18,0)),""))</f>
        <v/>
      </c>
      <c r="I313" s="80">
        <f>IF($G313="","",IFERROR(INDEX(設定!$E$6:$E$18,MATCH($G313,設定!$B$6:$B$18,0)),""))</f>
        <v/>
      </c>
      <c r="J313" s="80">
        <f>IFERROR(INDEX(打卡匯入!$C$3:$C$2002,MATCH($C313&amp;"|"&amp;DAY($A313),打卡匯入!$E$3:$E$2002,0)),"")</f>
        <v/>
      </c>
      <c r="K313" s="80">
        <f>IFERROR(INDEX(打卡匯入!$D$3:$D$2002,MATCH($C313&amp;"|"&amp;DAY($A313),打卡匯入!$E$3:$E$2002,0)),"")</f>
        <v/>
      </c>
      <c r="L313" s="81">
        <f>IF(OR($J313="",$K313=""),"",IFERROR(INDEX(設定!$F$6:$F$18,MATCH($G313,設定!$B$6:$B$18,0)),0))</f>
        <v/>
      </c>
      <c r="M313" s="82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1">
        <f>IF(OR($C313="",$H313="",$J313=""),0,IF(ROUND(($J313-$H313)*1440,0)&gt;設定!$C$42,ROUND(($J313-$H313)*1440,0),0))</f>
        <v/>
      </c>
      <c r="P313" s="81">
        <f>IF(OR($C313="",$I313="",$K313=""),0,IF(ROUND(($I313-$K313)*1440,0)&gt;設定!$C$42,ROUND(($I313-$K313)*1440,0),0))</f>
        <v/>
      </c>
      <c r="Q313" s="82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79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0">
        <f>IF($G314="","",IFERROR(INDEX(設定!$D$6:$D$18,MATCH($G314,設定!$B$6:$B$18,0)),""))</f>
        <v/>
      </c>
      <c r="I314" s="80">
        <f>IF($G314="","",IFERROR(INDEX(設定!$E$6:$E$18,MATCH($G314,設定!$B$6:$B$18,0)),""))</f>
        <v/>
      </c>
      <c r="J314" s="80">
        <f>IFERROR(INDEX(打卡匯入!$C$3:$C$2002,MATCH($C314&amp;"|"&amp;DAY($A314),打卡匯入!$E$3:$E$2002,0)),"")</f>
        <v/>
      </c>
      <c r="K314" s="80">
        <f>IFERROR(INDEX(打卡匯入!$D$3:$D$2002,MATCH($C314&amp;"|"&amp;DAY($A314),打卡匯入!$E$3:$E$2002,0)),"")</f>
        <v/>
      </c>
      <c r="L314" s="81">
        <f>IF(OR($J314="",$K314=""),"",IFERROR(INDEX(設定!$F$6:$F$18,MATCH($G314,設定!$B$6:$B$18,0)),0))</f>
        <v/>
      </c>
      <c r="M314" s="82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1">
        <f>IF(OR($C314="",$H314="",$J314=""),0,IF(ROUND(($J314-$H314)*1440,0)&gt;設定!$C$42,ROUND(($J314-$H314)*1440,0),0))</f>
        <v/>
      </c>
      <c r="P314" s="81">
        <f>IF(OR($C314="",$I314="",$K314=""),0,IF(ROUND(($I314-$K314)*1440,0)&gt;設定!$C$42,ROUND(($I314-$K314)*1440,0),0))</f>
        <v/>
      </c>
      <c r="Q314" s="82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79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0">
        <f>IF($G315="","",IFERROR(INDEX(設定!$D$6:$D$18,MATCH($G315,設定!$B$6:$B$18,0)),""))</f>
        <v/>
      </c>
      <c r="I315" s="80">
        <f>IF($G315="","",IFERROR(INDEX(設定!$E$6:$E$18,MATCH($G315,設定!$B$6:$B$18,0)),""))</f>
        <v/>
      </c>
      <c r="J315" s="80">
        <f>IFERROR(INDEX(打卡匯入!$C$3:$C$2002,MATCH($C315&amp;"|"&amp;DAY($A315),打卡匯入!$E$3:$E$2002,0)),"")</f>
        <v/>
      </c>
      <c r="K315" s="80">
        <f>IFERROR(INDEX(打卡匯入!$D$3:$D$2002,MATCH($C315&amp;"|"&amp;DAY($A315),打卡匯入!$E$3:$E$2002,0)),"")</f>
        <v/>
      </c>
      <c r="L315" s="81">
        <f>IF(OR($J315="",$K315=""),"",IFERROR(INDEX(設定!$F$6:$F$18,MATCH($G315,設定!$B$6:$B$18,0)),0))</f>
        <v/>
      </c>
      <c r="M315" s="82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1">
        <f>IF(OR($C315="",$H315="",$J315=""),0,IF(ROUND(($J315-$H315)*1440,0)&gt;設定!$C$42,ROUND(($J315-$H315)*1440,0),0))</f>
        <v/>
      </c>
      <c r="P315" s="81">
        <f>IF(OR($C315="",$I315="",$K315=""),0,IF(ROUND(($I315-$K315)*1440,0)&gt;設定!$C$42,ROUND(($I315-$K315)*1440,0),0))</f>
        <v/>
      </c>
      <c r="Q315" s="82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79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0">
        <f>IF($G316="","",IFERROR(INDEX(設定!$D$6:$D$18,MATCH($G316,設定!$B$6:$B$18,0)),""))</f>
        <v/>
      </c>
      <c r="I316" s="80">
        <f>IF($G316="","",IFERROR(INDEX(設定!$E$6:$E$18,MATCH($G316,設定!$B$6:$B$18,0)),""))</f>
        <v/>
      </c>
      <c r="J316" s="80">
        <f>IFERROR(INDEX(打卡匯入!$C$3:$C$2002,MATCH($C316&amp;"|"&amp;DAY($A316),打卡匯入!$E$3:$E$2002,0)),"")</f>
        <v/>
      </c>
      <c r="K316" s="80">
        <f>IFERROR(INDEX(打卡匯入!$D$3:$D$2002,MATCH($C316&amp;"|"&amp;DAY($A316),打卡匯入!$E$3:$E$2002,0)),"")</f>
        <v/>
      </c>
      <c r="L316" s="81">
        <f>IF(OR($J316="",$K316=""),"",IFERROR(INDEX(設定!$F$6:$F$18,MATCH($G316,設定!$B$6:$B$18,0)),0))</f>
        <v/>
      </c>
      <c r="M316" s="82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1">
        <f>IF(OR($C316="",$H316="",$J316=""),0,IF(ROUND(($J316-$H316)*1440,0)&gt;設定!$C$42,ROUND(($J316-$H316)*1440,0),0))</f>
        <v/>
      </c>
      <c r="P316" s="81">
        <f>IF(OR($C316="",$I316="",$K316=""),0,IF(ROUND(($I316-$K316)*1440,0)&gt;設定!$C$42,ROUND(($I316-$K316)*1440,0),0))</f>
        <v/>
      </c>
      <c r="Q316" s="82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79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0">
        <f>IF($G317="","",IFERROR(INDEX(設定!$D$6:$D$18,MATCH($G317,設定!$B$6:$B$18,0)),""))</f>
        <v/>
      </c>
      <c r="I317" s="80">
        <f>IF($G317="","",IFERROR(INDEX(設定!$E$6:$E$18,MATCH($G317,設定!$B$6:$B$18,0)),""))</f>
        <v/>
      </c>
      <c r="J317" s="80">
        <f>IFERROR(INDEX(打卡匯入!$C$3:$C$2002,MATCH($C317&amp;"|"&amp;DAY($A317),打卡匯入!$E$3:$E$2002,0)),"")</f>
        <v/>
      </c>
      <c r="K317" s="80">
        <f>IFERROR(INDEX(打卡匯入!$D$3:$D$2002,MATCH($C317&amp;"|"&amp;DAY($A317),打卡匯入!$E$3:$E$2002,0)),"")</f>
        <v/>
      </c>
      <c r="L317" s="81">
        <f>IF(OR($J317="",$K317=""),"",IFERROR(INDEX(設定!$F$6:$F$18,MATCH($G317,設定!$B$6:$B$18,0)),0))</f>
        <v/>
      </c>
      <c r="M317" s="82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1">
        <f>IF(OR($C317="",$H317="",$J317=""),0,IF(ROUND(($J317-$H317)*1440,0)&gt;設定!$C$42,ROUND(($J317-$H317)*1440,0),0))</f>
        <v/>
      </c>
      <c r="P317" s="81">
        <f>IF(OR($C317="",$I317="",$K317=""),0,IF(ROUND(($I317-$K317)*1440,0)&gt;設定!$C$42,ROUND(($I317-$K317)*1440,0),0))</f>
        <v/>
      </c>
      <c r="Q317" s="82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79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0">
        <f>IF($G318="","",IFERROR(INDEX(設定!$D$6:$D$18,MATCH($G318,設定!$B$6:$B$18,0)),""))</f>
        <v/>
      </c>
      <c r="I318" s="80">
        <f>IF($G318="","",IFERROR(INDEX(設定!$E$6:$E$18,MATCH($G318,設定!$B$6:$B$18,0)),""))</f>
        <v/>
      </c>
      <c r="J318" s="80">
        <f>IFERROR(INDEX(打卡匯入!$C$3:$C$2002,MATCH($C318&amp;"|"&amp;DAY($A318),打卡匯入!$E$3:$E$2002,0)),"")</f>
        <v/>
      </c>
      <c r="K318" s="80">
        <f>IFERROR(INDEX(打卡匯入!$D$3:$D$2002,MATCH($C318&amp;"|"&amp;DAY($A318),打卡匯入!$E$3:$E$2002,0)),"")</f>
        <v/>
      </c>
      <c r="L318" s="81">
        <f>IF(OR($J318="",$K318=""),"",IFERROR(INDEX(設定!$F$6:$F$18,MATCH($G318,設定!$B$6:$B$18,0)),0))</f>
        <v/>
      </c>
      <c r="M318" s="82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1">
        <f>IF(OR($C318="",$H318="",$J318=""),0,IF(ROUND(($J318-$H318)*1440,0)&gt;設定!$C$42,ROUND(($J318-$H318)*1440,0),0))</f>
        <v/>
      </c>
      <c r="P318" s="81">
        <f>IF(OR($C318="",$I318="",$K318=""),0,IF(ROUND(($I318-$K318)*1440,0)&gt;設定!$C$42,ROUND(($I318-$K318)*1440,0),0))</f>
        <v/>
      </c>
      <c r="Q318" s="82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79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0">
        <f>IF($G319="","",IFERROR(INDEX(設定!$D$6:$D$18,MATCH($G319,設定!$B$6:$B$18,0)),""))</f>
        <v/>
      </c>
      <c r="I319" s="80">
        <f>IF($G319="","",IFERROR(INDEX(設定!$E$6:$E$18,MATCH($G319,設定!$B$6:$B$18,0)),""))</f>
        <v/>
      </c>
      <c r="J319" s="80">
        <f>IFERROR(INDEX(打卡匯入!$C$3:$C$2002,MATCH($C319&amp;"|"&amp;DAY($A319),打卡匯入!$E$3:$E$2002,0)),"")</f>
        <v/>
      </c>
      <c r="K319" s="80">
        <f>IFERROR(INDEX(打卡匯入!$D$3:$D$2002,MATCH($C319&amp;"|"&amp;DAY($A319),打卡匯入!$E$3:$E$2002,0)),"")</f>
        <v/>
      </c>
      <c r="L319" s="81">
        <f>IF(OR($J319="",$K319=""),"",IFERROR(INDEX(設定!$F$6:$F$18,MATCH($G319,設定!$B$6:$B$18,0)),0))</f>
        <v/>
      </c>
      <c r="M319" s="82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1">
        <f>IF(OR($C319="",$H319="",$J319=""),0,IF(ROUND(($J319-$H319)*1440,0)&gt;設定!$C$42,ROUND(($J319-$H319)*1440,0),0))</f>
        <v/>
      </c>
      <c r="P319" s="81">
        <f>IF(OR($C319="",$I319="",$K319=""),0,IF(ROUND(($I319-$K319)*1440,0)&gt;設定!$C$42,ROUND(($I319-$K319)*1440,0),0))</f>
        <v/>
      </c>
      <c r="Q319" s="82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79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0">
        <f>IF($G320="","",IFERROR(INDEX(設定!$D$6:$D$18,MATCH($G320,設定!$B$6:$B$18,0)),""))</f>
        <v/>
      </c>
      <c r="I320" s="80">
        <f>IF($G320="","",IFERROR(INDEX(設定!$E$6:$E$18,MATCH($G320,設定!$B$6:$B$18,0)),""))</f>
        <v/>
      </c>
      <c r="J320" s="80">
        <f>IFERROR(INDEX(打卡匯入!$C$3:$C$2002,MATCH($C320&amp;"|"&amp;DAY($A320),打卡匯入!$E$3:$E$2002,0)),"")</f>
        <v/>
      </c>
      <c r="K320" s="80">
        <f>IFERROR(INDEX(打卡匯入!$D$3:$D$2002,MATCH($C320&amp;"|"&amp;DAY($A320),打卡匯入!$E$3:$E$2002,0)),"")</f>
        <v/>
      </c>
      <c r="L320" s="81">
        <f>IF(OR($J320="",$K320=""),"",IFERROR(INDEX(設定!$F$6:$F$18,MATCH($G320,設定!$B$6:$B$18,0)),0))</f>
        <v/>
      </c>
      <c r="M320" s="82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1">
        <f>IF(OR($C320="",$H320="",$J320=""),0,IF(ROUND(($J320-$H320)*1440,0)&gt;設定!$C$42,ROUND(($J320-$H320)*1440,0),0))</f>
        <v/>
      </c>
      <c r="P320" s="81">
        <f>IF(OR($C320="",$I320="",$K320=""),0,IF(ROUND(($I320-$K320)*1440,0)&gt;設定!$C$42,ROUND(($I320-$K320)*1440,0),0))</f>
        <v/>
      </c>
      <c r="Q320" s="82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79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0">
        <f>IF($G321="","",IFERROR(INDEX(設定!$D$6:$D$18,MATCH($G321,設定!$B$6:$B$18,0)),""))</f>
        <v/>
      </c>
      <c r="I321" s="80">
        <f>IF($G321="","",IFERROR(INDEX(設定!$E$6:$E$18,MATCH($G321,設定!$B$6:$B$18,0)),""))</f>
        <v/>
      </c>
      <c r="J321" s="80">
        <f>IFERROR(INDEX(打卡匯入!$C$3:$C$2002,MATCH($C321&amp;"|"&amp;DAY($A321),打卡匯入!$E$3:$E$2002,0)),"")</f>
        <v/>
      </c>
      <c r="K321" s="80">
        <f>IFERROR(INDEX(打卡匯入!$D$3:$D$2002,MATCH($C321&amp;"|"&amp;DAY($A321),打卡匯入!$E$3:$E$2002,0)),"")</f>
        <v/>
      </c>
      <c r="L321" s="81">
        <f>IF(OR($J321="",$K321=""),"",IFERROR(INDEX(設定!$F$6:$F$18,MATCH($G321,設定!$B$6:$B$18,0)),0))</f>
        <v/>
      </c>
      <c r="M321" s="82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1">
        <f>IF(OR($C321="",$H321="",$J321=""),0,IF(ROUND(($J321-$H321)*1440,0)&gt;設定!$C$42,ROUND(($J321-$H321)*1440,0),0))</f>
        <v/>
      </c>
      <c r="P321" s="81">
        <f>IF(OR($C321="",$I321="",$K321=""),0,IF(ROUND(($I321-$K321)*1440,0)&gt;設定!$C$42,ROUND(($I321-$K321)*1440,0),0))</f>
        <v/>
      </c>
      <c r="Q321" s="82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79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0">
        <f>IF($G322="","",IFERROR(INDEX(設定!$D$6:$D$18,MATCH($G322,設定!$B$6:$B$18,0)),""))</f>
        <v/>
      </c>
      <c r="I322" s="80">
        <f>IF($G322="","",IFERROR(INDEX(設定!$E$6:$E$18,MATCH($G322,設定!$B$6:$B$18,0)),""))</f>
        <v/>
      </c>
      <c r="J322" s="80">
        <f>IFERROR(INDEX(打卡匯入!$C$3:$C$2002,MATCH($C322&amp;"|"&amp;DAY($A322),打卡匯入!$E$3:$E$2002,0)),"")</f>
        <v/>
      </c>
      <c r="K322" s="80">
        <f>IFERROR(INDEX(打卡匯入!$D$3:$D$2002,MATCH($C322&amp;"|"&amp;DAY($A322),打卡匯入!$E$3:$E$2002,0)),"")</f>
        <v/>
      </c>
      <c r="L322" s="81">
        <f>IF(OR($J322="",$K322=""),"",IFERROR(INDEX(設定!$F$6:$F$18,MATCH($G322,設定!$B$6:$B$18,0)),0))</f>
        <v/>
      </c>
      <c r="M322" s="82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1">
        <f>IF(OR($C322="",$H322="",$J322=""),0,IF(ROUND(($J322-$H322)*1440,0)&gt;設定!$C$42,ROUND(($J322-$H322)*1440,0),0))</f>
        <v/>
      </c>
      <c r="P322" s="81">
        <f>IF(OR($C322="",$I322="",$K322=""),0,IF(ROUND(($I322-$K322)*1440,0)&gt;設定!$C$42,ROUND(($I322-$K322)*1440,0),0))</f>
        <v/>
      </c>
      <c r="Q322" s="82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79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0">
        <f>IF($G323="","",IFERROR(INDEX(設定!$D$6:$D$18,MATCH($G323,設定!$B$6:$B$18,0)),""))</f>
        <v/>
      </c>
      <c r="I323" s="80">
        <f>IF($G323="","",IFERROR(INDEX(設定!$E$6:$E$18,MATCH($G323,設定!$B$6:$B$18,0)),""))</f>
        <v/>
      </c>
      <c r="J323" s="80">
        <f>IFERROR(INDEX(打卡匯入!$C$3:$C$2002,MATCH($C323&amp;"|"&amp;DAY($A323),打卡匯入!$E$3:$E$2002,0)),"")</f>
        <v/>
      </c>
      <c r="K323" s="80">
        <f>IFERROR(INDEX(打卡匯入!$D$3:$D$2002,MATCH($C323&amp;"|"&amp;DAY($A323),打卡匯入!$E$3:$E$2002,0)),"")</f>
        <v/>
      </c>
      <c r="L323" s="81">
        <f>IF(OR($J323="",$K323=""),"",IFERROR(INDEX(設定!$F$6:$F$18,MATCH($G323,設定!$B$6:$B$18,0)),0))</f>
        <v/>
      </c>
      <c r="M323" s="82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1">
        <f>IF(OR($C323="",$H323="",$J323=""),0,IF(ROUND(($J323-$H323)*1440,0)&gt;設定!$C$42,ROUND(($J323-$H323)*1440,0),0))</f>
        <v/>
      </c>
      <c r="P323" s="81">
        <f>IF(OR($C323="",$I323="",$K323=""),0,IF(ROUND(($I323-$K323)*1440,0)&gt;設定!$C$42,ROUND(($I323-$K323)*1440,0),0))</f>
        <v/>
      </c>
      <c r="Q323" s="82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79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0">
        <f>IF($G324="","",IFERROR(INDEX(設定!$D$6:$D$18,MATCH($G324,設定!$B$6:$B$18,0)),""))</f>
        <v/>
      </c>
      <c r="I324" s="80">
        <f>IF($G324="","",IFERROR(INDEX(設定!$E$6:$E$18,MATCH($G324,設定!$B$6:$B$18,0)),""))</f>
        <v/>
      </c>
      <c r="J324" s="80">
        <f>IFERROR(INDEX(打卡匯入!$C$3:$C$2002,MATCH($C324&amp;"|"&amp;DAY($A324),打卡匯入!$E$3:$E$2002,0)),"")</f>
        <v/>
      </c>
      <c r="K324" s="80">
        <f>IFERROR(INDEX(打卡匯入!$D$3:$D$2002,MATCH($C324&amp;"|"&amp;DAY($A324),打卡匯入!$E$3:$E$2002,0)),"")</f>
        <v/>
      </c>
      <c r="L324" s="81">
        <f>IF(OR($J324="",$K324=""),"",IFERROR(INDEX(設定!$F$6:$F$18,MATCH($G324,設定!$B$6:$B$18,0)),0))</f>
        <v/>
      </c>
      <c r="M324" s="82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1">
        <f>IF(OR($C324="",$H324="",$J324=""),0,IF(ROUND(($J324-$H324)*1440,0)&gt;設定!$C$42,ROUND(($J324-$H324)*1440,0),0))</f>
        <v/>
      </c>
      <c r="P324" s="81">
        <f>IF(OR($C324="",$I324="",$K324=""),0,IF(ROUND(($I324-$K324)*1440,0)&gt;設定!$C$42,ROUND(($I324-$K324)*1440,0),0))</f>
        <v/>
      </c>
      <c r="Q324" s="82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79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0">
        <f>IF($G325="","",IFERROR(INDEX(設定!$D$6:$D$18,MATCH($G325,設定!$B$6:$B$18,0)),""))</f>
        <v/>
      </c>
      <c r="I325" s="80">
        <f>IF($G325="","",IFERROR(INDEX(設定!$E$6:$E$18,MATCH($G325,設定!$B$6:$B$18,0)),""))</f>
        <v/>
      </c>
      <c r="J325" s="80">
        <f>IFERROR(INDEX(打卡匯入!$C$3:$C$2002,MATCH($C325&amp;"|"&amp;DAY($A325),打卡匯入!$E$3:$E$2002,0)),"")</f>
        <v/>
      </c>
      <c r="K325" s="80">
        <f>IFERROR(INDEX(打卡匯入!$D$3:$D$2002,MATCH($C325&amp;"|"&amp;DAY($A325),打卡匯入!$E$3:$E$2002,0)),"")</f>
        <v/>
      </c>
      <c r="L325" s="81">
        <f>IF(OR($J325="",$K325=""),"",IFERROR(INDEX(設定!$F$6:$F$18,MATCH($G325,設定!$B$6:$B$18,0)),0))</f>
        <v/>
      </c>
      <c r="M325" s="82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1">
        <f>IF(OR($C325="",$H325="",$J325=""),0,IF(ROUND(($J325-$H325)*1440,0)&gt;設定!$C$42,ROUND(($J325-$H325)*1440,0),0))</f>
        <v/>
      </c>
      <c r="P325" s="81">
        <f>IF(OR($C325="",$I325="",$K325=""),0,IF(ROUND(($I325-$K325)*1440,0)&gt;設定!$C$42,ROUND(($I325-$K325)*1440,0),0))</f>
        <v/>
      </c>
      <c r="Q325" s="82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79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0">
        <f>IF($G326="","",IFERROR(INDEX(設定!$D$6:$D$18,MATCH($G326,設定!$B$6:$B$18,0)),""))</f>
        <v/>
      </c>
      <c r="I326" s="80">
        <f>IF($G326="","",IFERROR(INDEX(設定!$E$6:$E$18,MATCH($G326,設定!$B$6:$B$18,0)),""))</f>
        <v/>
      </c>
      <c r="J326" s="80">
        <f>IFERROR(INDEX(打卡匯入!$C$3:$C$2002,MATCH($C326&amp;"|"&amp;DAY($A326),打卡匯入!$E$3:$E$2002,0)),"")</f>
        <v/>
      </c>
      <c r="K326" s="80">
        <f>IFERROR(INDEX(打卡匯入!$D$3:$D$2002,MATCH($C326&amp;"|"&amp;DAY($A326),打卡匯入!$E$3:$E$2002,0)),"")</f>
        <v/>
      </c>
      <c r="L326" s="81">
        <f>IF(OR($J326="",$K326=""),"",IFERROR(INDEX(設定!$F$6:$F$18,MATCH($G326,設定!$B$6:$B$18,0)),0))</f>
        <v/>
      </c>
      <c r="M326" s="82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1">
        <f>IF(OR($C326="",$H326="",$J326=""),0,IF(ROUND(($J326-$H326)*1440,0)&gt;設定!$C$42,ROUND(($J326-$H326)*1440,0),0))</f>
        <v/>
      </c>
      <c r="P326" s="81">
        <f>IF(OR($C326="",$I326="",$K326=""),0,IF(ROUND(($I326-$K326)*1440,0)&gt;設定!$C$42,ROUND(($I326-$K326)*1440,0),0))</f>
        <v/>
      </c>
      <c r="Q326" s="82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79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0">
        <f>IF($G327="","",IFERROR(INDEX(設定!$D$6:$D$18,MATCH($G327,設定!$B$6:$B$18,0)),""))</f>
        <v/>
      </c>
      <c r="I327" s="80">
        <f>IF($G327="","",IFERROR(INDEX(設定!$E$6:$E$18,MATCH($G327,設定!$B$6:$B$18,0)),""))</f>
        <v/>
      </c>
      <c r="J327" s="80">
        <f>IFERROR(INDEX(打卡匯入!$C$3:$C$2002,MATCH($C327&amp;"|"&amp;DAY($A327),打卡匯入!$E$3:$E$2002,0)),"")</f>
        <v/>
      </c>
      <c r="K327" s="80">
        <f>IFERROR(INDEX(打卡匯入!$D$3:$D$2002,MATCH($C327&amp;"|"&amp;DAY($A327),打卡匯入!$E$3:$E$2002,0)),"")</f>
        <v/>
      </c>
      <c r="L327" s="81">
        <f>IF(OR($J327="",$K327=""),"",IFERROR(INDEX(設定!$F$6:$F$18,MATCH($G327,設定!$B$6:$B$18,0)),0))</f>
        <v/>
      </c>
      <c r="M327" s="82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1">
        <f>IF(OR($C327="",$H327="",$J327=""),0,IF(ROUND(($J327-$H327)*1440,0)&gt;設定!$C$42,ROUND(($J327-$H327)*1440,0),0))</f>
        <v/>
      </c>
      <c r="P327" s="81">
        <f>IF(OR($C327="",$I327="",$K327=""),0,IF(ROUND(($I327-$K327)*1440,0)&gt;設定!$C$42,ROUND(($I327-$K327)*1440,0),0))</f>
        <v/>
      </c>
      <c r="Q327" s="82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79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0">
        <f>IF($G328="","",IFERROR(INDEX(設定!$D$6:$D$18,MATCH($G328,設定!$B$6:$B$18,0)),""))</f>
        <v/>
      </c>
      <c r="I328" s="80">
        <f>IF($G328="","",IFERROR(INDEX(設定!$E$6:$E$18,MATCH($G328,設定!$B$6:$B$18,0)),""))</f>
        <v/>
      </c>
      <c r="J328" s="80">
        <f>IFERROR(INDEX(打卡匯入!$C$3:$C$2002,MATCH($C328&amp;"|"&amp;DAY($A328),打卡匯入!$E$3:$E$2002,0)),"")</f>
        <v/>
      </c>
      <c r="K328" s="80">
        <f>IFERROR(INDEX(打卡匯入!$D$3:$D$2002,MATCH($C328&amp;"|"&amp;DAY($A328),打卡匯入!$E$3:$E$2002,0)),"")</f>
        <v/>
      </c>
      <c r="L328" s="81">
        <f>IF(OR($J328="",$K328=""),"",IFERROR(INDEX(設定!$F$6:$F$18,MATCH($G328,設定!$B$6:$B$18,0)),0))</f>
        <v/>
      </c>
      <c r="M328" s="82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1">
        <f>IF(OR($C328="",$H328="",$J328=""),0,IF(ROUND(($J328-$H328)*1440,0)&gt;設定!$C$42,ROUND(($J328-$H328)*1440,0),0))</f>
        <v/>
      </c>
      <c r="P328" s="81">
        <f>IF(OR($C328="",$I328="",$K328=""),0,IF(ROUND(($I328-$K328)*1440,0)&gt;設定!$C$42,ROUND(($I328-$K328)*1440,0),0))</f>
        <v/>
      </c>
      <c r="Q328" s="82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79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0">
        <f>IF($G329="","",IFERROR(INDEX(設定!$D$6:$D$18,MATCH($G329,設定!$B$6:$B$18,0)),""))</f>
        <v/>
      </c>
      <c r="I329" s="80">
        <f>IF($G329="","",IFERROR(INDEX(設定!$E$6:$E$18,MATCH($G329,設定!$B$6:$B$18,0)),""))</f>
        <v/>
      </c>
      <c r="J329" s="80">
        <f>IFERROR(INDEX(打卡匯入!$C$3:$C$2002,MATCH($C329&amp;"|"&amp;DAY($A329),打卡匯入!$E$3:$E$2002,0)),"")</f>
        <v/>
      </c>
      <c r="K329" s="80">
        <f>IFERROR(INDEX(打卡匯入!$D$3:$D$2002,MATCH($C329&amp;"|"&amp;DAY($A329),打卡匯入!$E$3:$E$2002,0)),"")</f>
        <v/>
      </c>
      <c r="L329" s="81">
        <f>IF(OR($J329="",$K329=""),"",IFERROR(INDEX(設定!$F$6:$F$18,MATCH($G329,設定!$B$6:$B$18,0)),0))</f>
        <v/>
      </c>
      <c r="M329" s="82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1">
        <f>IF(OR($C329="",$H329="",$J329=""),0,IF(ROUND(($J329-$H329)*1440,0)&gt;設定!$C$42,ROUND(($J329-$H329)*1440,0),0))</f>
        <v/>
      </c>
      <c r="P329" s="81">
        <f>IF(OR($C329="",$I329="",$K329=""),0,IF(ROUND(($I329-$K329)*1440,0)&gt;設定!$C$42,ROUND(($I329-$K329)*1440,0),0))</f>
        <v/>
      </c>
      <c r="Q329" s="82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79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0">
        <f>IF($G330="","",IFERROR(INDEX(設定!$D$6:$D$18,MATCH($G330,設定!$B$6:$B$18,0)),""))</f>
        <v/>
      </c>
      <c r="I330" s="80">
        <f>IF($G330="","",IFERROR(INDEX(設定!$E$6:$E$18,MATCH($G330,設定!$B$6:$B$18,0)),""))</f>
        <v/>
      </c>
      <c r="J330" s="80">
        <f>IFERROR(INDEX(打卡匯入!$C$3:$C$2002,MATCH($C330&amp;"|"&amp;DAY($A330),打卡匯入!$E$3:$E$2002,0)),"")</f>
        <v/>
      </c>
      <c r="K330" s="80">
        <f>IFERROR(INDEX(打卡匯入!$D$3:$D$2002,MATCH($C330&amp;"|"&amp;DAY($A330),打卡匯入!$E$3:$E$2002,0)),"")</f>
        <v/>
      </c>
      <c r="L330" s="81">
        <f>IF(OR($J330="",$K330=""),"",IFERROR(INDEX(設定!$F$6:$F$18,MATCH($G330,設定!$B$6:$B$18,0)),0))</f>
        <v/>
      </c>
      <c r="M330" s="82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1">
        <f>IF(OR($C330="",$H330="",$J330=""),0,IF(ROUND(($J330-$H330)*1440,0)&gt;設定!$C$42,ROUND(($J330-$H330)*1440,0),0))</f>
        <v/>
      </c>
      <c r="P330" s="81">
        <f>IF(OR($C330="",$I330="",$K330=""),0,IF(ROUND(($I330-$K330)*1440,0)&gt;設定!$C$42,ROUND(($I330-$K330)*1440,0),0))</f>
        <v/>
      </c>
      <c r="Q330" s="82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79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0">
        <f>IF($G331="","",IFERROR(INDEX(設定!$D$6:$D$18,MATCH($G331,設定!$B$6:$B$18,0)),""))</f>
        <v/>
      </c>
      <c r="I331" s="80">
        <f>IF($G331="","",IFERROR(INDEX(設定!$E$6:$E$18,MATCH($G331,設定!$B$6:$B$18,0)),""))</f>
        <v/>
      </c>
      <c r="J331" s="80">
        <f>IFERROR(INDEX(打卡匯入!$C$3:$C$2002,MATCH($C331&amp;"|"&amp;DAY($A331),打卡匯入!$E$3:$E$2002,0)),"")</f>
        <v/>
      </c>
      <c r="K331" s="80">
        <f>IFERROR(INDEX(打卡匯入!$D$3:$D$2002,MATCH($C331&amp;"|"&amp;DAY($A331),打卡匯入!$E$3:$E$2002,0)),"")</f>
        <v/>
      </c>
      <c r="L331" s="81">
        <f>IF(OR($J331="",$K331=""),"",IFERROR(INDEX(設定!$F$6:$F$18,MATCH($G331,設定!$B$6:$B$18,0)),0))</f>
        <v/>
      </c>
      <c r="M331" s="82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1">
        <f>IF(OR($C331="",$H331="",$J331=""),0,IF(ROUND(($J331-$H331)*1440,0)&gt;設定!$C$42,ROUND(($J331-$H331)*1440,0),0))</f>
        <v/>
      </c>
      <c r="P331" s="81">
        <f>IF(OR($C331="",$I331="",$K331=""),0,IF(ROUND(($I331-$K331)*1440,0)&gt;設定!$C$42,ROUND(($I331-$K331)*1440,0),0))</f>
        <v/>
      </c>
      <c r="Q331" s="82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79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0">
        <f>IF($G332="","",IFERROR(INDEX(設定!$D$6:$D$18,MATCH($G332,設定!$B$6:$B$18,0)),""))</f>
        <v/>
      </c>
      <c r="I332" s="80">
        <f>IF($G332="","",IFERROR(INDEX(設定!$E$6:$E$18,MATCH($G332,設定!$B$6:$B$18,0)),""))</f>
        <v/>
      </c>
      <c r="J332" s="80">
        <f>IFERROR(INDEX(打卡匯入!$C$3:$C$2002,MATCH($C332&amp;"|"&amp;DAY($A332),打卡匯入!$E$3:$E$2002,0)),"")</f>
        <v/>
      </c>
      <c r="K332" s="80">
        <f>IFERROR(INDEX(打卡匯入!$D$3:$D$2002,MATCH($C332&amp;"|"&amp;DAY($A332),打卡匯入!$E$3:$E$2002,0)),"")</f>
        <v/>
      </c>
      <c r="L332" s="81">
        <f>IF(OR($J332="",$K332=""),"",IFERROR(INDEX(設定!$F$6:$F$18,MATCH($G332,設定!$B$6:$B$18,0)),0))</f>
        <v/>
      </c>
      <c r="M332" s="82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1">
        <f>IF(OR($C332="",$H332="",$J332=""),0,IF(ROUND(($J332-$H332)*1440,0)&gt;設定!$C$42,ROUND(($J332-$H332)*1440,0),0))</f>
        <v/>
      </c>
      <c r="P332" s="81">
        <f>IF(OR($C332="",$I332="",$K332=""),0,IF(ROUND(($I332-$K332)*1440,0)&gt;設定!$C$42,ROUND(($I332-$K332)*1440,0),0))</f>
        <v/>
      </c>
      <c r="Q332" s="82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79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0">
        <f>IF($G333="","",IFERROR(INDEX(設定!$D$6:$D$18,MATCH($G333,設定!$B$6:$B$18,0)),""))</f>
        <v/>
      </c>
      <c r="I333" s="80">
        <f>IF($G333="","",IFERROR(INDEX(設定!$E$6:$E$18,MATCH($G333,設定!$B$6:$B$18,0)),""))</f>
        <v/>
      </c>
      <c r="J333" s="80">
        <f>IFERROR(INDEX(打卡匯入!$C$3:$C$2002,MATCH($C333&amp;"|"&amp;DAY($A333),打卡匯入!$E$3:$E$2002,0)),"")</f>
        <v/>
      </c>
      <c r="K333" s="80">
        <f>IFERROR(INDEX(打卡匯入!$D$3:$D$2002,MATCH($C333&amp;"|"&amp;DAY($A333),打卡匯入!$E$3:$E$2002,0)),"")</f>
        <v/>
      </c>
      <c r="L333" s="81">
        <f>IF(OR($J333="",$K333=""),"",IFERROR(INDEX(設定!$F$6:$F$18,MATCH($G333,設定!$B$6:$B$18,0)),0))</f>
        <v/>
      </c>
      <c r="M333" s="82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1">
        <f>IF(OR($C333="",$H333="",$J333=""),0,IF(ROUND(($J333-$H333)*1440,0)&gt;設定!$C$42,ROUND(($J333-$H333)*1440,0),0))</f>
        <v/>
      </c>
      <c r="P333" s="81">
        <f>IF(OR($C333="",$I333="",$K333=""),0,IF(ROUND(($I333-$K333)*1440,0)&gt;設定!$C$42,ROUND(($I333-$K333)*1440,0),0))</f>
        <v/>
      </c>
      <c r="Q333" s="82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79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0">
        <f>IF($G334="","",IFERROR(INDEX(設定!$D$6:$D$18,MATCH($G334,設定!$B$6:$B$18,0)),""))</f>
        <v/>
      </c>
      <c r="I334" s="80">
        <f>IF($G334="","",IFERROR(INDEX(設定!$E$6:$E$18,MATCH($G334,設定!$B$6:$B$18,0)),""))</f>
        <v/>
      </c>
      <c r="J334" s="80">
        <f>IFERROR(INDEX(打卡匯入!$C$3:$C$2002,MATCH($C334&amp;"|"&amp;DAY($A334),打卡匯入!$E$3:$E$2002,0)),"")</f>
        <v/>
      </c>
      <c r="K334" s="80">
        <f>IFERROR(INDEX(打卡匯入!$D$3:$D$2002,MATCH($C334&amp;"|"&amp;DAY($A334),打卡匯入!$E$3:$E$2002,0)),"")</f>
        <v/>
      </c>
      <c r="L334" s="81">
        <f>IF(OR($J334="",$K334=""),"",IFERROR(INDEX(設定!$F$6:$F$18,MATCH($G334,設定!$B$6:$B$18,0)),0))</f>
        <v/>
      </c>
      <c r="M334" s="82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1">
        <f>IF(OR($C334="",$H334="",$J334=""),0,IF(ROUND(($J334-$H334)*1440,0)&gt;設定!$C$42,ROUND(($J334-$H334)*1440,0),0))</f>
        <v/>
      </c>
      <c r="P334" s="81">
        <f>IF(OR($C334="",$I334="",$K334=""),0,IF(ROUND(($I334-$K334)*1440,0)&gt;設定!$C$42,ROUND(($I334-$K334)*1440,0),0))</f>
        <v/>
      </c>
      <c r="Q334" s="82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79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0">
        <f>IF($G335="","",IFERROR(INDEX(設定!$D$6:$D$18,MATCH($G335,設定!$B$6:$B$18,0)),""))</f>
        <v/>
      </c>
      <c r="I335" s="80">
        <f>IF($G335="","",IFERROR(INDEX(設定!$E$6:$E$18,MATCH($G335,設定!$B$6:$B$18,0)),""))</f>
        <v/>
      </c>
      <c r="J335" s="80">
        <f>IFERROR(INDEX(打卡匯入!$C$3:$C$2002,MATCH($C335&amp;"|"&amp;DAY($A335),打卡匯入!$E$3:$E$2002,0)),"")</f>
        <v/>
      </c>
      <c r="K335" s="80">
        <f>IFERROR(INDEX(打卡匯入!$D$3:$D$2002,MATCH($C335&amp;"|"&amp;DAY($A335),打卡匯入!$E$3:$E$2002,0)),"")</f>
        <v/>
      </c>
      <c r="L335" s="81">
        <f>IF(OR($J335="",$K335=""),"",IFERROR(INDEX(設定!$F$6:$F$18,MATCH($G335,設定!$B$6:$B$18,0)),0))</f>
        <v/>
      </c>
      <c r="M335" s="82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1">
        <f>IF(OR($C335="",$H335="",$J335=""),0,IF(ROUND(($J335-$H335)*1440,0)&gt;設定!$C$42,ROUND(($J335-$H335)*1440,0),0))</f>
        <v/>
      </c>
      <c r="P335" s="81">
        <f>IF(OR($C335="",$I335="",$K335=""),0,IF(ROUND(($I335-$K335)*1440,0)&gt;設定!$C$42,ROUND(($I335-$K335)*1440,0),0))</f>
        <v/>
      </c>
      <c r="Q335" s="82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79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0">
        <f>IF($G336="","",IFERROR(INDEX(設定!$D$6:$D$18,MATCH($G336,設定!$B$6:$B$18,0)),""))</f>
        <v/>
      </c>
      <c r="I336" s="80">
        <f>IF($G336="","",IFERROR(INDEX(設定!$E$6:$E$18,MATCH($G336,設定!$B$6:$B$18,0)),""))</f>
        <v/>
      </c>
      <c r="J336" s="80">
        <f>IFERROR(INDEX(打卡匯入!$C$3:$C$2002,MATCH($C336&amp;"|"&amp;DAY($A336),打卡匯入!$E$3:$E$2002,0)),"")</f>
        <v/>
      </c>
      <c r="K336" s="80">
        <f>IFERROR(INDEX(打卡匯入!$D$3:$D$2002,MATCH($C336&amp;"|"&amp;DAY($A336),打卡匯入!$E$3:$E$2002,0)),"")</f>
        <v/>
      </c>
      <c r="L336" s="81">
        <f>IF(OR($J336="",$K336=""),"",IFERROR(INDEX(設定!$F$6:$F$18,MATCH($G336,設定!$B$6:$B$18,0)),0))</f>
        <v/>
      </c>
      <c r="M336" s="82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1">
        <f>IF(OR($C336="",$H336="",$J336=""),0,IF(ROUND(($J336-$H336)*1440,0)&gt;設定!$C$42,ROUND(($J336-$H336)*1440,0),0))</f>
        <v/>
      </c>
      <c r="P336" s="81">
        <f>IF(OR($C336="",$I336="",$K336=""),0,IF(ROUND(($I336-$K336)*1440,0)&gt;設定!$C$42,ROUND(($I336-$K336)*1440,0),0))</f>
        <v/>
      </c>
      <c r="Q336" s="82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79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0">
        <f>IF($G337="","",IFERROR(INDEX(設定!$D$6:$D$18,MATCH($G337,設定!$B$6:$B$18,0)),""))</f>
        <v/>
      </c>
      <c r="I337" s="80">
        <f>IF($G337="","",IFERROR(INDEX(設定!$E$6:$E$18,MATCH($G337,設定!$B$6:$B$18,0)),""))</f>
        <v/>
      </c>
      <c r="J337" s="80">
        <f>IFERROR(INDEX(打卡匯入!$C$3:$C$2002,MATCH($C337&amp;"|"&amp;DAY($A337),打卡匯入!$E$3:$E$2002,0)),"")</f>
        <v/>
      </c>
      <c r="K337" s="80">
        <f>IFERROR(INDEX(打卡匯入!$D$3:$D$2002,MATCH($C337&amp;"|"&amp;DAY($A337),打卡匯入!$E$3:$E$2002,0)),"")</f>
        <v/>
      </c>
      <c r="L337" s="81">
        <f>IF(OR($J337="",$K337=""),"",IFERROR(INDEX(設定!$F$6:$F$18,MATCH($G337,設定!$B$6:$B$18,0)),0))</f>
        <v/>
      </c>
      <c r="M337" s="82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1">
        <f>IF(OR($C337="",$H337="",$J337=""),0,IF(ROUND(($J337-$H337)*1440,0)&gt;設定!$C$42,ROUND(($J337-$H337)*1440,0),0))</f>
        <v/>
      </c>
      <c r="P337" s="81">
        <f>IF(OR($C337="",$I337="",$K337=""),0,IF(ROUND(($I337-$K337)*1440,0)&gt;設定!$C$42,ROUND(($I337-$K337)*1440,0),0))</f>
        <v/>
      </c>
      <c r="Q337" s="82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79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0">
        <f>IF($G338="","",IFERROR(INDEX(設定!$D$6:$D$18,MATCH($G338,設定!$B$6:$B$18,0)),""))</f>
        <v/>
      </c>
      <c r="I338" s="80">
        <f>IF($G338="","",IFERROR(INDEX(設定!$E$6:$E$18,MATCH($G338,設定!$B$6:$B$18,0)),""))</f>
        <v/>
      </c>
      <c r="J338" s="80">
        <f>IFERROR(INDEX(打卡匯入!$C$3:$C$2002,MATCH($C338&amp;"|"&amp;DAY($A338),打卡匯入!$E$3:$E$2002,0)),"")</f>
        <v/>
      </c>
      <c r="K338" s="80">
        <f>IFERROR(INDEX(打卡匯入!$D$3:$D$2002,MATCH($C338&amp;"|"&amp;DAY($A338),打卡匯入!$E$3:$E$2002,0)),"")</f>
        <v/>
      </c>
      <c r="L338" s="81">
        <f>IF(OR($J338="",$K338=""),"",IFERROR(INDEX(設定!$F$6:$F$18,MATCH($G338,設定!$B$6:$B$18,0)),0))</f>
        <v/>
      </c>
      <c r="M338" s="82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1">
        <f>IF(OR($C338="",$H338="",$J338=""),0,IF(ROUND(($J338-$H338)*1440,0)&gt;設定!$C$42,ROUND(($J338-$H338)*1440,0),0))</f>
        <v/>
      </c>
      <c r="P338" s="81">
        <f>IF(OR($C338="",$I338="",$K338=""),0,IF(ROUND(($I338-$K338)*1440,0)&gt;設定!$C$42,ROUND(($I338-$K338)*1440,0),0))</f>
        <v/>
      </c>
      <c r="Q338" s="82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79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0">
        <f>IF($G339="","",IFERROR(INDEX(設定!$D$6:$D$18,MATCH($G339,設定!$B$6:$B$18,0)),""))</f>
        <v/>
      </c>
      <c r="I339" s="80">
        <f>IF($G339="","",IFERROR(INDEX(設定!$E$6:$E$18,MATCH($G339,設定!$B$6:$B$18,0)),""))</f>
        <v/>
      </c>
      <c r="J339" s="80">
        <f>IFERROR(INDEX(打卡匯入!$C$3:$C$2002,MATCH($C339&amp;"|"&amp;DAY($A339),打卡匯入!$E$3:$E$2002,0)),"")</f>
        <v/>
      </c>
      <c r="K339" s="80">
        <f>IFERROR(INDEX(打卡匯入!$D$3:$D$2002,MATCH($C339&amp;"|"&amp;DAY($A339),打卡匯入!$E$3:$E$2002,0)),"")</f>
        <v/>
      </c>
      <c r="L339" s="81">
        <f>IF(OR($J339="",$K339=""),"",IFERROR(INDEX(設定!$F$6:$F$18,MATCH($G339,設定!$B$6:$B$18,0)),0))</f>
        <v/>
      </c>
      <c r="M339" s="82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1">
        <f>IF(OR($C339="",$H339="",$J339=""),0,IF(ROUND(($J339-$H339)*1440,0)&gt;設定!$C$42,ROUND(($J339-$H339)*1440,0),0))</f>
        <v/>
      </c>
      <c r="P339" s="81">
        <f>IF(OR($C339="",$I339="",$K339=""),0,IF(ROUND(($I339-$K339)*1440,0)&gt;設定!$C$42,ROUND(($I339-$K339)*1440,0),0))</f>
        <v/>
      </c>
      <c r="Q339" s="82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79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0">
        <f>IF($G340="","",IFERROR(INDEX(設定!$D$6:$D$18,MATCH($G340,設定!$B$6:$B$18,0)),""))</f>
        <v/>
      </c>
      <c r="I340" s="80">
        <f>IF($G340="","",IFERROR(INDEX(設定!$E$6:$E$18,MATCH($G340,設定!$B$6:$B$18,0)),""))</f>
        <v/>
      </c>
      <c r="J340" s="80">
        <f>IFERROR(INDEX(打卡匯入!$C$3:$C$2002,MATCH($C340&amp;"|"&amp;DAY($A340),打卡匯入!$E$3:$E$2002,0)),"")</f>
        <v/>
      </c>
      <c r="K340" s="80">
        <f>IFERROR(INDEX(打卡匯入!$D$3:$D$2002,MATCH($C340&amp;"|"&amp;DAY($A340),打卡匯入!$E$3:$E$2002,0)),"")</f>
        <v/>
      </c>
      <c r="L340" s="81">
        <f>IF(OR($J340="",$K340=""),"",IFERROR(INDEX(設定!$F$6:$F$18,MATCH($G340,設定!$B$6:$B$18,0)),0))</f>
        <v/>
      </c>
      <c r="M340" s="82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1">
        <f>IF(OR($C340="",$H340="",$J340=""),0,IF(ROUND(($J340-$H340)*1440,0)&gt;設定!$C$42,ROUND(($J340-$H340)*1440,0),0))</f>
        <v/>
      </c>
      <c r="P340" s="81">
        <f>IF(OR($C340="",$I340="",$K340=""),0,IF(ROUND(($I340-$K340)*1440,0)&gt;設定!$C$42,ROUND(($I340-$K340)*1440,0),0))</f>
        <v/>
      </c>
      <c r="Q340" s="82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79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0">
        <f>IF($G341="","",IFERROR(INDEX(設定!$D$6:$D$18,MATCH($G341,設定!$B$6:$B$18,0)),""))</f>
        <v/>
      </c>
      <c r="I341" s="80">
        <f>IF($G341="","",IFERROR(INDEX(設定!$E$6:$E$18,MATCH($G341,設定!$B$6:$B$18,0)),""))</f>
        <v/>
      </c>
      <c r="J341" s="80">
        <f>IFERROR(INDEX(打卡匯入!$C$3:$C$2002,MATCH($C341&amp;"|"&amp;DAY($A341),打卡匯入!$E$3:$E$2002,0)),"")</f>
        <v/>
      </c>
      <c r="K341" s="80">
        <f>IFERROR(INDEX(打卡匯入!$D$3:$D$2002,MATCH($C341&amp;"|"&amp;DAY($A341),打卡匯入!$E$3:$E$2002,0)),"")</f>
        <v/>
      </c>
      <c r="L341" s="81">
        <f>IF(OR($J341="",$K341=""),"",IFERROR(INDEX(設定!$F$6:$F$18,MATCH($G341,設定!$B$6:$B$18,0)),0))</f>
        <v/>
      </c>
      <c r="M341" s="82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1">
        <f>IF(OR($C341="",$H341="",$J341=""),0,IF(ROUND(($J341-$H341)*1440,0)&gt;設定!$C$42,ROUND(($J341-$H341)*1440,0),0))</f>
        <v/>
      </c>
      <c r="P341" s="81">
        <f>IF(OR($C341="",$I341="",$K341=""),0,IF(ROUND(($I341-$K341)*1440,0)&gt;設定!$C$42,ROUND(($I341-$K341)*1440,0),0))</f>
        <v/>
      </c>
      <c r="Q341" s="82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79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0">
        <f>IF($G342="","",IFERROR(INDEX(設定!$D$6:$D$18,MATCH($G342,設定!$B$6:$B$18,0)),""))</f>
        <v/>
      </c>
      <c r="I342" s="80">
        <f>IF($G342="","",IFERROR(INDEX(設定!$E$6:$E$18,MATCH($G342,設定!$B$6:$B$18,0)),""))</f>
        <v/>
      </c>
      <c r="J342" s="80">
        <f>IFERROR(INDEX(打卡匯入!$C$3:$C$2002,MATCH($C342&amp;"|"&amp;DAY($A342),打卡匯入!$E$3:$E$2002,0)),"")</f>
        <v/>
      </c>
      <c r="K342" s="80">
        <f>IFERROR(INDEX(打卡匯入!$D$3:$D$2002,MATCH($C342&amp;"|"&amp;DAY($A342),打卡匯入!$E$3:$E$2002,0)),"")</f>
        <v/>
      </c>
      <c r="L342" s="81">
        <f>IF(OR($J342="",$K342=""),"",IFERROR(INDEX(設定!$F$6:$F$18,MATCH($G342,設定!$B$6:$B$18,0)),0))</f>
        <v/>
      </c>
      <c r="M342" s="82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1">
        <f>IF(OR($C342="",$H342="",$J342=""),0,IF(ROUND(($J342-$H342)*1440,0)&gt;設定!$C$42,ROUND(($J342-$H342)*1440,0),0))</f>
        <v/>
      </c>
      <c r="P342" s="81">
        <f>IF(OR($C342="",$I342="",$K342=""),0,IF(ROUND(($I342-$K342)*1440,0)&gt;設定!$C$42,ROUND(($I342-$K342)*1440,0),0))</f>
        <v/>
      </c>
      <c r="Q342" s="82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79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0">
        <f>IF($G343="","",IFERROR(INDEX(設定!$D$6:$D$18,MATCH($G343,設定!$B$6:$B$18,0)),""))</f>
        <v/>
      </c>
      <c r="I343" s="80">
        <f>IF($G343="","",IFERROR(INDEX(設定!$E$6:$E$18,MATCH($G343,設定!$B$6:$B$18,0)),""))</f>
        <v/>
      </c>
      <c r="J343" s="80">
        <f>IFERROR(INDEX(打卡匯入!$C$3:$C$2002,MATCH($C343&amp;"|"&amp;DAY($A343),打卡匯入!$E$3:$E$2002,0)),"")</f>
        <v/>
      </c>
      <c r="K343" s="80">
        <f>IFERROR(INDEX(打卡匯入!$D$3:$D$2002,MATCH($C343&amp;"|"&amp;DAY($A343),打卡匯入!$E$3:$E$2002,0)),"")</f>
        <v/>
      </c>
      <c r="L343" s="81">
        <f>IF(OR($J343="",$K343=""),"",IFERROR(INDEX(設定!$F$6:$F$18,MATCH($G343,設定!$B$6:$B$18,0)),0))</f>
        <v/>
      </c>
      <c r="M343" s="82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1">
        <f>IF(OR($C343="",$H343="",$J343=""),0,IF(ROUND(($J343-$H343)*1440,0)&gt;設定!$C$42,ROUND(($J343-$H343)*1440,0),0))</f>
        <v/>
      </c>
      <c r="P343" s="81">
        <f>IF(OR($C343="",$I343="",$K343=""),0,IF(ROUND(($I343-$K343)*1440,0)&gt;設定!$C$42,ROUND(($I343-$K343)*1440,0),0))</f>
        <v/>
      </c>
      <c r="Q343" s="82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79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0">
        <f>IF($G344="","",IFERROR(INDEX(設定!$D$6:$D$18,MATCH($G344,設定!$B$6:$B$18,0)),""))</f>
        <v/>
      </c>
      <c r="I344" s="80">
        <f>IF($G344="","",IFERROR(INDEX(設定!$E$6:$E$18,MATCH($G344,設定!$B$6:$B$18,0)),""))</f>
        <v/>
      </c>
      <c r="J344" s="80">
        <f>IFERROR(INDEX(打卡匯入!$C$3:$C$2002,MATCH($C344&amp;"|"&amp;DAY($A344),打卡匯入!$E$3:$E$2002,0)),"")</f>
        <v/>
      </c>
      <c r="K344" s="80">
        <f>IFERROR(INDEX(打卡匯入!$D$3:$D$2002,MATCH($C344&amp;"|"&amp;DAY($A344),打卡匯入!$E$3:$E$2002,0)),"")</f>
        <v/>
      </c>
      <c r="L344" s="81">
        <f>IF(OR($J344="",$K344=""),"",IFERROR(INDEX(設定!$F$6:$F$18,MATCH($G344,設定!$B$6:$B$18,0)),0))</f>
        <v/>
      </c>
      <c r="M344" s="82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1">
        <f>IF(OR($C344="",$H344="",$J344=""),0,IF(ROUND(($J344-$H344)*1440,0)&gt;設定!$C$42,ROUND(($J344-$H344)*1440,0),0))</f>
        <v/>
      </c>
      <c r="P344" s="81">
        <f>IF(OR($C344="",$I344="",$K344=""),0,IF(ROUND(($I344-$K344)*1440,0)&gt;設定!$C$42,ROUND(($I344-$K344)*1440,0),0))</f>
        <v/>
      </c>
      <c r="Q344" s="82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79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0">
        <f>IF($G345="","",IFERROR(INDEX(設定!$D$6:$D$18,MATCH($G345,設定!$B$6:$B$18,0)),""))</f>
        <v/>
      </c>
      <c r="I345" s="80">
        <f>IF($G345="","",IFERROR(INDEX(設定!$E$6:$E$18,MATCH($G345,設定!$B$6:$B$18,0)),""))</f>
        <v/>
      </c>
      <c r="J345" s="80">
        <f>IFERROR(INDEX(打卡匯入!$C$3:$C$2002,MATCH($C345&amp;"|"&amp;DAY($A345),打卡匯入!$E$3:$E$2002,0)),"")</f>
        <v/>
      </c>
      <c r="K345" s="80">
        <f>IFERROR(INDEX(打卡匯入!$D$3:$D$2002,MATCH($C345&amp;"|"&amp;DAY($A345),打卡匯入!$E$3:$E$2002,0)),"")</f>
        <v/>
      </c>
      <c r="L345" s="81">
        <f>IF(OR($J345="",$K345=""),"",IFERROR(INDEX(設定!$F$6:$F$18,MATCH($G345,設定!$B$6:$B$18,0)),0))</f>
        <v/>
      </c>
      <c r="M345" s="82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1">
        <f>IF(OR($C345="",$H345="",$J345=""),0,IF(ROUND(($J345-$H345)*1440,0)&gt;設定!$C$42,ROUND(($J345-$H345)*1440,0),0))</f>
        <v/>
      </c>
      <c r="P345" s="81">
        <f>IF(OR($C345="",$I345="",$K345=""),0,IF(ROUND(($I345-$K345)*1440,0)&gt;設定!$C$42,ROUND(($I345-$K345)*1440,0),0))</f>
        <v/>
      </c>
      <c r="Q345" s="82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79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0">
        <f>IF($G346="","",IFERROR(INDEX(設定!$D$6:$D$18,MATCH($G346,設定!$B$6:$B$18,0)),""))</f>
        <v/>
      </c>
      <c r="I346" s="80">
        <f>IF($G346="","",IFERROR(INDEX(設定!$E$6:$E$18,MATCH($G346,設定!$B$6:$B$18,0)),""))</f>
        <v/>
      </c>
      <c r="J346" s="80">
        <f>IFERROR(INDEX(打卡匯入!$C$3:$C$2002,MATCH($C346&amp;"|"&amp;DAY($A346),打卡匯入!$E$3:$E$2002,0)),"")</f>
        <v/>
      </c>
      <c r="K346" s="80">
        <f>IFERROR(INDEX(打卡匯入!$D$3:$D$2002,MATCH($C346&amp;"|"&amp;DAY($A346),打卡匯入!$E$3:$E$2002,0)),"")</f>
        <v/>
      </c>
      <c r="L346" s="81">
        <f>IF(OR($J346="",$K346=""),"",IFERROR(INDEX(設定!$F$6:$F$18,MATCH($G346,設定!$B$6:$B$18,0)),0))</f>
        <v/>
      </c>
      <c r="M346" s="82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1">
        <f>IF(OR($C346="",$H346="",$J346=""),0,IF(ROUND(($J346-$H346)*1440,0)&gt;設定!$C$42,ROUND(($J346-$H346)*1440,0),0))</f>
        <v/>
      </c>
      <c r="P346" s="81">
        <f>IF(OR($C346="",$I346="",$K346=""),0,IF(ROUND(($I346-$K346)*1440,0)&gt;設定!$C$42,ROUND(($I346-$K346)*1440,0),0))</f>
        <v/>
      </c>
      <c r="Q346" s="82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79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0">
        <f>IF($G347="","",IFERROR(INDEX(設定!$D$6:$D$18,MATCH($G347,設定!$B$6:$B$18,0)),""))</f>
        <v/>
      </c>
      <c r="I347" s="80">
        <f>IF($G347="","",IFERROR(INDEX(設定!$E$6:$E$18,MATCH($G347,設定!$B$6:$B$18,0)),""))</f>
        <v/>
      </c>
      <c r="J347" s="80">
        <f>IFERROR(INDEX(打卡匯入!$C$3:$C$2002,MATCH($C347&amp;"|"&amp;DAY($A347),打卡匯入!$E$3:$E$2002,0)),"")</f>
        <v/>
      </c>
      <c r="K347" s="80">
        <f>IFERROR(INDEX(打卡匯入!$D$3:$D$2002,MATCH($C347&amp;"|"&amp;DAY($A347),打卡匯入!$E$3:$E$2002,0)),"")</f>
        <v/>
      </c>
      <c r="L347" s="81">
        <f>IF(OR($J347="",$K347=""),"",IFERROR(INDEX(設定!$F$6:$F$18,MATCH($G347,設定!$B$6:$B$18,0)),0))</f>
        <v/>
      </c>
      <c r="M347" s="82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1">
        <f>IF(OR($C347="",$H347="",$J347=""),0,IF(ROUND(($J347-$H347)*1440,0)&gt;設定!$C$42,ROUND(($J347-$H347)*1440,0),0))</f>
        <v/>
      </c>
      <c r="P347" s="81">
        <f>IF(OR($C347="",$I347="",$K347=""),0,IF(ROUND(($I347-$K347)*1440,0)&gt;設定!$C$42,ROUND(($I347-$K347)*1440,0),0))</f>
        <v/>
      </c>
      <c r="Q347" s="82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79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0">
        <f>IF($G348="","",IFERROR(INDEX(設定!$D$6:$D$18,MATCH($G348,設定!$B$6:$B$18,0)),""))</f>
        <v/>
      </c>
      <c r="I348" s="80">
        <f>IF($G348="","",IFERROR(INDEX(設定!$E$6:$E$18,MATCH($G348,設定!$B$6:$B$18,0)),""))</f>
        <v/>
      </c>
      <c r="J348" s="80">
        <f>IFERROR(INDEX(打卡匯入!$C$3:$C$2002,MATCH($C348&amp;"|"&amp;DAY($A348),打卡匯入!$E$3:$E$2002,0)),"")</f>
        <v/>
      </c>
      <c r="K348" s="80">
        <f>IFERROR(INDEX(打卡匯入!$D$3:$D$2002,MATCH($C348&amp;"|"&amp;DAY($A348),打卡匯入!$E$3:$E$2002,0)),"")</f>
        <v/>
      </c>
      <c r="L348" s="81">
        <f>IF(OR($J348="",$K348=""),"",IFERROR(INDEX(設定!$F$6:$F$18,MATCH($G348,設定!$B$6:$B$18,0)),0))</f>
        <v/>
      </c>
      <c r="M348" s="82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1">
        <f>IF(OR($C348="",$H348="",$J348=""),0,IF(ROUND(($J348-$H348)*1440,0)&gt;設定!$C$42,ROUND(($J348-$H348)*1440,0),0))</f>
        <v/>
      </c>
      <c r="P348" s="81">
        <f>IF(OR($C348="",$I348="",$K348=""),0,IF(ROUND(($I348-$K348)*1440,0)&gt;設定!$C$42,ROUND(($I348-$K348)*1440,0),0))</f>
        <v/>
      </c>
      <c r="Q348" s="82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79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0">
        <f>IF($G349="","",IFERROR(INDEX(設定!$D$6:$D$18,MATCH($G349,設定!$B$6:$B$18,0)),""))</f>
        <v/>
      </c>
      <c r="I349" s="80">
        <f>IF($G349="","",IFERROR(INDEX(設定!$E$6:$E$18,MATCH($G349,設定!$B$6:$B$18,0)),""))</f>
        <v/>
      </c>
      <c r="J349" s="80">
        <f>IFERROR(INDEX(打卡匯入!$C$3:$C$2002,MATCH($C349&amp;"|"&amp;DAY($A349),打卡匯入!$E$3:$E$2002,0)),"")</f>
        <v/>
      </c>
      <c r="K349" s="80">
        <f>IFERROR(INDEX(打卡匯入!$D$3:$D$2002,MATCH($C349&amp;"|"&amp;DAY($A349),打卡匯入!$E$3:$E$2002,0)),"")</f>
        <v/>
      </c>
      <c r="L349" s="81">
        <f>IF(OR($J349="",$K349=""),"",IFERROR(INDEX(設定!$F$6:$F$18,MATCH($G349,設定!$B$6:$B$18,0)),0))</f>
        <v/>
      </c>
      <c r="M349" s="82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1">
        <f>IF(OR($C349="",$H349="",$J349=""),0,IF(ROUND(($J349-$H349)*1440,0)&gt;設定!$C$42,ROUND(($J349-$H349)*1440,0),0))</f>
        <v/>
      </c>
      <c r="P349" s="81">
        <f>IF(OR($C349="",$I349="",$K349=""),0,IF(ROUND(($I349-$K349)*1440,0)&gt;設定!$C$42,ROUND(($I349-$K349)*1440,0),0))</f>
        <v/>
      </c>
      <c r="Q349" s="82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79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0">
        <f>IF($G350="","",IFERROR(INDEX(設定!$D$6:$D$18,MATCH($G350,設定!$B$6:$B$18,0)),""))</f>
        <v/>
      </c>
      <c r="I350" s="80">
        <f>IF($G350="","",IFERROR(INDEX(設定!$E$6:$E$18,MATCH($G350,設定!$B$6:$B$18,0)),""))</f>
        <v/>
      </c>
      <c r="J350" s="80">
        <f>IFERROR(INDEX(打卡匯入!$C$3:$C$2002,MATCH($C350&amp;"|"&amp;DAY($A350),打卡匯入!$E$3:$E$2002,0)),"")</f>
        <v/>
      </c>
      <c r="K350" s="80">
        <f>IFERROR(INDEX(打卡匯入!$D$3:$D$2002,MATCH($C350&amp;"|"&amp;DAY($A350),打卡匯入!$E$3:$E$2002,0)),"")</f>
        <v/>
      </c>
      <c r="L350" s="81">
        <f>IF(OR($J350="",$K350=""),"",IFERROR(INDEX(設定!$F$6:$F$18,MATCH($G350,設定!$B$6:$B$18,0)),0))</f>
        <v/>
      </c>
      <c r="M350" s="82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1">
        <f>IF(OR($C350="",$H350="",$J350=""),0,IF(ROUND(($J350-$H350)*1440,0)&gt;設定!$C$42,ROUND(($J350-$H350)*1440,0),0))</f>
        <v/>
      </c>
      <c r="P350" s="81">
        <f>IF(OR($C350="",$I350="",$K350=""),0,IF(ROUND(($I350-$K350)*1440,0)&gt;設定!$C$42,ROUND(($I350-$K350)*1440,0),0))</f>
        <v/>
      </c>
      <c r="Q350" s="82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79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0">
        <f>IF($G351="","",IFERROR(INDEX(設定!$D$6:$D$18,MATCH($G351,設定!$B$6:$B$18,0)),""))</f>
        <v/>
      </c>
      <c r="I351" s="80">
        <f>IF($G351="","",IFERROR(INDEX(設定!$E$6:$E$18,MATCH($G351,設定!$B$6:$B$18,0)),""))</f>
        <v/>
      </c>
      <c r="J351" s="80">
        <f>IFERROR(INDEX(打卡匯入!$C$3:$C$2002,MATCH($C351&amp;"|"&amp;DAY($A351),打卡匯入!$E$3:$E$2002,0)),"")</f>
        <v/>
      </c>
      <c r="K351" s="80">
        <f>IFERROR(INDEX(打卡匯入!$D$3:$D$2002,MATCH($C351&amp;"|"&amp;DAY($A351),打卡匯入!$E$3:$E$2002,0)),"")</f>
        <v/>
      </c>
      <c r="L351" s="81">
        <f>IF(OR($J351="",$K351=""),"",IFERROR(INDEX(設定!$F$6:$F$18,MATCH($G351,設定!$B$6:$B$18,0)),0))</f>
        <v/>
      </c>
      <c r="M351" s="82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1">
        <f>IF(OR($C351="",$H351="",$J351=""),0,IF(ROUND(($J351-$H351)*1440,0)&gt;設定!$C$42,ROUND(($J351-$H351)*1440,0),0))</f>
        <v/>
      </c>
      <c r="P351" s="81">
        <f>IF(OR($C351="",$I351="",$K351=""),0,IF(ROUND(($I351-$K351)*1440,0)&gt;設定!$C$42,ROUND(($I351-$K351)*1440,0),0))</f>
        <v/>
      </c>
      <c r="Q351" s="82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79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0">
        <f>IF($G352="","",IFERROR(INDEX(設定!$D$6:$D$18,MATCH($G352,設定!$B$6:$B$18,0)),""))</f>
        <v/>
      </c>
      <c r="I352" s="80">
        <f>IF($G352="","",IFERROR(INDEX(設定!$E$6:$E$18,MATCH($G352,設定!$B$6:$B$18,0)),""))</f>
        <v/>
      </c>
      <c r="J352" s="80">
        <f>IFERROR(INDEX(打卡匯入!$C$3:$C$2002,MATCH($C352&amp;"|"&amp;DAY($A352),打卡匯入!$E$3:$E$2002,0)),"")</f>
        <v/>
      </c>
      <c r="K352" s="80">
        <f>IFERROR(INDEX(打卡匯入!$D$3:$D$2002,MATCH($C352&amp;"|"&amp;DAY($A352),打卡匯入!$E$3:$E$2002,0)),"")</f>
        <v/>
      </c>
      <c r="L352" s="81">
        <f>IF(OR($J352="",$K352=""),"",IFERROR(INDEX(設定!$F$6:$F$18,MATCH($G352,設定!$B$6:$B$18,0)),0))</f>
        <v/>
      </c>
      <c r="M352" s="82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1">
        <f>IF(OR($C352="",$H352="",$J352=""),0,IF(ROUND(($J352-$H352)*1440,0)&gt;設定!$C$42,ROUND(($J352-$H352)*1440,0),0))</f>
        <v/>
      </c>
      <c r="P352" s="81">
        <f>IF(OR($C352="",$I352="",$K352=""),0,IF(ROUND(($I352-$K352)*1440,0)&gt;設定!$C$42,ROUND(($I352-$K352)*1440,0),0))</f>
        <v/>
      </c>
      <c r="Q352" s="82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79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0">
        <f>IF($G353="","",IFERROR(INDEX(設定!$D$6:$D$18,MATCH($G353,設定!$B$6:$B$18,0)),""))</f>
        <v/>
      </c>
      <c r="I353" s="80">
        <f>IF($G353="","",IFERROR(INDEX(設定!$E$6:$E$18,MATCH($G353,設定!$B$6:$B$18,0)),""))</f>
        <v/>
      </c>
      <c r="J353" s="80">
        <f>IFERROR(INDEX(打卡匯入!$C$3:$C$2002,MATCH($C353&amp;"|"&amp;DAY($A353),打卡匯入!$E$3:$E$2002,0)),"")</f>
        <v/>
      </c>
      <c r="K353" s="80">
        <f>IFERROR(INDEX(打卡匯入!$D$3:$D$2002,MATCH($C353&amp;"|"&amp;DAY($A353),打卡匯入!$E$3:$E$2002,0)),"")</f>
        <v/>
      </c>
      <c r="L353" s="81">
        <f>IF(OR($J353="",$K353=""),"",IFERROR(INDEX(設定!$F$6:$F$18,MATCH($G353,設定!$B$6:$B$18,0)),0))</f>
        <v/>
      </c>
      <c r="M353" s="82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1">
        <f>IF(OR($C353="",$H353="",$J353=""),0,IF(ROUND(($J353-$H353)*1440,0)&gt;設定!$C$42,ROUND(($J353-$H353)*1440,0),0))</f>
        <v/>
      </c>
      <c r="P353" s="81">
        <f>IF(OR($C353="",$I353="",$K353=""),0,IF(ROUND(($I353-$K353)*1440,0)&gt;設定!$C$42,ROUND(($I353-$K353)*1440,0),0))</f>
        <v/>
      </c>
      <c r="Q353" s="82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79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0">
        <f>IF($G354="","",IFERROR(INDEX(設定!$D$6:$D$18,MATCH($G354,設定!$B$6:$B$18,0)),""))</f>
        <v/>
      </c>
      <c r="I354" s="80">
        <f>IF($G354="","",IFERROR(INDEX(設定!$E$6:$E$18,MATCH($G354,設定!$B$6:$B$18,0)),""))</f>
        <v/>
      </c>
      <c r="J354" s="80">
        <f>IFERROR(INDEX(打卡匯入!$C$3:$C$2002,MATCH($C354&amp;"|"&amp;DAY($A354),打卡匯入!$E$3:$E$2002,0)),"")</f>
        <v/>
      </c>
      <c r="K354" s="80">
        <f>IFERROR(INDEX(打卡匯入!$D$3:$D$2002,MATCH($C354&amp;"|"&amp;DAY($A354),打卡匯入!$E$3:$E$2002,0)),"")</f>
        <v/>
      </c>
      <c r="L354" s="81">
        <f>IF(OR($J354="",$K354=""),"",IFERROR(INDEX(設定!$F$6:$F$18,MATCH($G354,設定!$B$6:$B$18,0)),0))</f>
        <v/>
      </c>
      <c r="M354" s="82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1">
        <f>IF(OR($C354="",$H354="",$J354=""),0,IF(ROUND(($J354-$H354)*1440,0)&gt;設定!$C$42,ROUND(($J354-$H354)*1440,0),0))</f>
        <v/>
      </c>
      <c r="P354" s="81">
        <f>IF(OR($C354="",$I354="",$K354=""),0,IF(ROUND(($I354-$K354)*1440,0)&gt;設定!$C$42,ROUND(($I354-$K354)*1440,0),0))</f>
        <v/>
      </c>
      <c r="Q354" s="82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79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0">
        <f>IF($G355="","",IFERROR(INDEX(設定!$D$6:$D$18,MATCH($G355,設定!$B$6:$B$18,0)),""))</f>
        <v/>
      </c>
      <c r="I355" s="80">
        <f>IF($G355="","",IFERROR(INDEX(設定!$E$6:$E$18,MATCH($G355,設定!$B$6:$B$18,0)),""))</f>
        <v/>
      </c>
      <c r="J355" s="80">
        <f>IFERROR(INDEX(打卡匯入!$C$3:$C$2002,MATCH($C355&amp;"|"&amp;DAY($A355),打卡匯入!$E$3:$E$2002,0)),"")</f>
        <v/>
      </c>
      <c r="K355" s="80">
        <f>IFERROR(INDEX(打卡匯入!$D$3:$D$2002,MATCH($C355&amp;"|"&amp;DAY($A355),打卡匯入!$E$3:$E$2002,0)),"")</f>
        <v/>
      </c>
      <c r="L355" s="81">
        <f>IF(OR($J355="",$K355=""),"",IFERROR(INDEX(設定!$F$6:$F$18,MATCH($G355,設定!$B$6:$B$18,0)),0))</f>
        <v/>
      </c>
      <c r="M355" s="82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1">
        <f>IF(OR($C355="",$H355="",$J355=""),0,IF(ROUND(($J355-$H355)*1440,0)&gt;設定!$C$42,ROUND(($J355-$H355)*1440,0),0))</f>
        <v/>
      </c>
      <c r="P355" s="81">
        <f>IF(OR($C355="",$I355="",$K355=""),0,IF(ROUND(($I355-$K355)*1440,0)&gt;設定!$C$42,ROUND(($I355-$K355)*1440,0),0))</f>
        <v/>
      </c>
      <c r="Q355" s="82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79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0">
        <f>IF($G356="","",IFERROR(INDEX(設定!$D$6:$D$18,MATCH($G356,設定!$B$6:$B$18,0)),""))</f>
        <v/>
      </c>
      <c r="I356" s="80">
        <f>IF($G356="","",IFERROR(INDEX(設定!$E$6:$E$18,MATCH($G356,設定!$B$6:$B$18,0)),""))</f>
        <v/>
      </c>
      <c r="J356" s="80">
        <f>IFERROR(INDEX(打卡匯入!$C$3:$C$2002,MATCH($C356&amp;"|"&amp;DAY($A356),打卡匯入!$E$3:$E$2002,0)),"")</f>
        <v/>
      </c>
      <c r="K356" s="80">
        <f>IFERROR(INDEX(打卡匯入!$D$3:$D$2002,MATCH($C356&amp;"|"&amp;DAY($A356),打卡匯入!$E$3:$E$2002,0)),"")</f>
        <v/>
      </c>
      <c r="L356" s="81">
        <f>IF(OR($J356="",$K356=""),"",IFERROR(INDEX(設定!$F$6:$F$18,MATCH($G356,設定!$B$6:$B$18,0)),0))</f>
        <v/>
      </c>
      <c r="M356" s="82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1">
        <f>IF(OR($C356="",$H356="",$J356=""),0,IF(ROUND(($J356-$H356)*1440,0)&gt;設定!$C$42,ROUND(($J356-$H356)*1440,0),0))</f>
        <v/>
      </c>
      <c r="P356" s="81">
        <f>IF(OR($C356="",$I356="",$K356=""),0,IF(ROUND(($I356-$K356)*1440,0)&gt;設定!$C$42,ROUND(($I356-$K356)*1440,0),0))</f>
        <v/>
      </c>
      <c r="Q356" s="82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79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0">
        <f>IF($G357="","",IFERROR(INDEX(設定!$D$6:$D$18,MATCH($G357,設定!$B$6:$B$18,0)),""))</f>
        <v/>
      </c>
      <c r="I357" s="80">
        <f>IF($G357="","",IFERROR(INDEX(設定!$E$6:$E$18,MATCH($G357,設定!$B$6:$B$18,0)),""))</f>
        <v/>
      </c>
      <c r="J357" s="80">
        <f>IFERROR(INDEX(打卡匯入!$C$3:$C$2002,MATCH($C357&amp;"|"&amp;DAY($A357),打卡匯入!$E$3:$E$2002,0)),"")</f>
        <v/>
      </c>
      <c r="K357" s="80">
        <f>IFERROR(INDEX(打卡匯入!$D$3:$D$2002,MATCH($C357&amp;"|"&amp;DAY($A357),打卡匯入!$E$3:$E$2002,0)),"")</f>
        <v/>
      </c>
      <c r="L357" s="81">
        <f>IF(OR($J357="",$K357=""),"",IFERROR(INDEX(設定!$F$6:$F$18,MATCH($G357,設定!$B$6:$B$18,0)),0))</f>
        <v/>
      </c>
      <c r="M357" s="82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1">
        <f>IF(OR($C357="",$H357="",$J357=""),0,IF(ROUND(($J357-$H357)*1440,0)&gt;設定!$C$42,ROUND(($J357-$H357)*1440,0),0))</f>
        <v/>
      </c>
      <c r="P357" s="81">
        <f>IF(OR($C357="",$I357="",$K357=""),0,IF(ROUND(($I357-$K357)*1440,0)&gt;設定!$C$42,ROUND(($I357-$K357)*1440,0),0))</f>
        <v/>
      </c>
      <c r="Q357" s="82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79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0">
        <f>IF($G358="","",IFERROR(INDEX(設定!$D$6:$D$18,MATCH($G358,設定!$B$6:$B$18,0)),""))</f>
        <v/>
      </c>
      <c r="I358" s="80">
        <f>IF($G358="","",IFERROR(INDEX(設定!$E$6:$E$18,MATCH($G358,設定!$B$6:$B$18,0)),""))</f>
        <v/>
      </c>
      <c r="J358" s="80">
        <f>IFERROR(INDEX(打卡匯入!$C$3:$C$2002,MATCH($C358&amp;"|"&amp;DAY($A358),打卡匯入!$E$3:$E$2002,0)),"")</f>
        <v/>
      </c>
      <c r="K358" s="80">
        <f>IFERROR(INDEX(打卡匯入!$D$3:$D$2002,MATCH($C358&amp;"|"&amp;DAY($A358),打卡匯入!$E$3:$E$2002,0)),"")</f>
        <v/>
      </c>
      <c r="L358" s="81">
        <f>IF(OR($J358="",$K358=""),"",IFERROR(INDEX(設定!$F$6:$F$18,MATCH($G358,設定!$B$6:$B$18,0)),0))</f>
        <v/>
      </c>
      <c r="M358" s="82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1">
        <f>IF(OR($C358="",$H358="",$J358=""),0,IF(ROUND(($J358-$H358)*1440,0)&gt;設定!$C$42,ROUND(($J358-$H358)*1440,0),0))</f>
        <v/>
      </c>
      <c r="P358" s="81">
        <f>IF(OR($C358="",$I358="",$K358=""),0,IF(ROUND(($I358-$K358)*1440,0)&gt;設定!$C$42,ROUND(($I358-$K358)*1440,0),0))</f>
        <v/>
      </c>
      <c r="Q358" s="82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79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0">
        <f>IF($G359="","",IFERROR(INDEX(設定!$D$6:$D$18,MATCH($G359,設定!$B$6:$B$18,0)),""))</f>
        <v/>
      </c>
      <c r="I359" s="80">
        <f>IF($G359="","",IFERROR(INDEX(設定!$E$6:$E$18,MATCH($G359,設定!$B$6:$B$18,0)),""))</f>
        <v/>
      </c>
      <c r="J359" s="80">
        <f>IFERROR(INDEX(打卡匯入!$C$3:$C$2002,MATCH($C359&amp;"|"&amp;DAY($A359),打卡匯入!$E$3:$E$2002,0)),"")</f>
        <v/>
      </c>
      <c r="K359" s="80">
        <f>IFERROR(INDEX(打卡匯入!$D$3:$D$2002,MATCH($C359&amp;"|"&amp;DAY($A359),打卡匯入!$E$3:$E$2002,0)),"")</f>
        <v/>
      </c>
      <c r="L359" s="81">
        <f>IF(OR($J359="",$K359=""),"",IFERROR(INDEX(設定!$F$6:$F$18,MATCH($G359,設定!$B$6:$B$18,0)),0))</f>
        <v/>
      </c>
      <c r="M359" s="82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1">
        <f>IF(OR($C359="",$H359="",$J359=""),0,IF(ROUND(($J359-$H359)*1440,0)&gt;設定!$C$42,ROUND(($J359-$H359)*1440,0),0))</f>
        <v/>
      </c>
      <c r="P359" s="81">
        <f>IF(OR($C359="",$I359="",$K359=""),0,IF(ROUND(($I359-$K359)*1440,0)&gt;設定!$C$42,ROUND(($I359-$K359)*1440,0),0))</f>
        <v/>
      </c>
      <c r="Q359" s="82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79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0">
        <f>IF($G360="","",IFERROR(INDEX(設定!$D$6:$D$18,MATCH($G360,設定!$B$6:$B$18,0)),""))</f>
        <v/>
      </c>
      <c r="I360" s="80">
        <f>IF($G360="","",IFERROR(INDEX(設定!$E$6:$E$18,MATCH($G360,設定!$B$6:$B$18,0)),""))</f>
        <v/>
      </c>
      <c r="J360" s="80">
        <f>IFERROR(INDEX(打卡匯入!$C$3:$C$2002,MATCH($C360&amp;"|"&amp;DAY($A360),打卡匯入!$E$3:$E$2002,0)),"")</f>
        <v/>
      </c>
      <c r="K360" s="80">
        <f>IFERROR(INDEX(打卡匯入!$D$3:$D$2002,MATCH($C360&amp;"|"&amp;DAY($A360),打卡匯入!$E$3:$E$2002,0)),"")</f>
        <v/>
      </c>
      <c r="L360" s="81">
        <f>IF(OR($J360="",$K360=""),"",IFERROR(INDEX(設定!$F$6:$F$18,MATCH($G360,設定!$B$6:$B$18,0)),0))</f>
        <v/>
      </c>
      <c r="M360" s="82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1">
        <f>IF(OR($C360="",$H360="",$J360=""),0,IF(ROUND(($J360-$H360)*1440,0)&gt;設定!$C$42,ROUND(($J360-$H360)*1440,0),0))</f>
        <v/>
      </c>
      <c r="P360" s="81">
        <f>IF(OR($C360="",$I360="",$K360=""),0,IF(ROUND(($I360-$K360)*1440,0)&gt;設定!$C$42,ROUND(($I360-$K360)*1440,0),0))</f>
        <v/>
      </c>
      <c r="Q360" s="82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79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0">
        <f>IF($G361="","",IFERROR(INDEX(設定!$D$6:$D$18,MATCH($G361,設定!$B$6:$B$18,0)),""))</f>
        <v/>
      </c>
      <c r="I361" s="80">
        <f>IF($G361="","",IFERROR(INDEX(設定!$E$6:$E$18,MATCH($G361,設定!$B$6:$B$18,0)),""))</f>
        <v/>
      </c>
      <c r="J361" s="80">
        <f>IFERROR(INDEX(打卡匯入!$C$3:$C$2002,MATCH($C361&amp;"|"&amp;DAY($A361),打卡匯入!$E$3:$E$2002,0)),"")</f>
        <v/>
      </c>
      <c r="K361" s="80">
        <f>IFERROR(INDEX(打卡匯入!$D$3:$D$2002,MATCH($C361&amp;"|"&amp;DAY($A361),打卡匯入!$E$3:$E$2002,0)),"")</f>
        <v/>
      </c>
      <c r="L361" s="81">
        <f>IF(OR($J361="",$K361=""),"",IFERROR(INDEX(設定!$F$6:$F$18,MATCH($G361,設定!$B$6:$B$18,0)),0))</f>
        <v/>
      </c>
      <c r="M361" s="82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1">
        <f>IF(OR($C361="",$H361="",$J361=""),0,IF(ROUND(($J361-$H361)*1440,0)&gt;設定!$C$42,ROUND(($J361-$H361)*1440,0),0))</f>
        <v/>
      </c>
      <c r="P361" s="81">
        <f>IF(OR($C361="",$I361="",$K361=""),0,IF(ROUND(($I361-$K361)*1440,0)&gt;設定!$C$42,ROUND(($I361-$K361)*1440,0),0))</f>
        <v/>
      </c>
      <c r="Q361" s="82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79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0">
        <f>IF($G362="","",IFERROR(INDEX(設定!$D$6:$D$18,MATCH($G362,設定!$B$6:$B$18,0)),""))</f>
        <v/>
      </c>
      <c r="I362" s="80">
        <f>IF($G362="","",IFERROR(INDEX(設定!$E$6:$E$18,MATCH($G362,設定!$B$6:$B$18,0)),""))</f>
        <v/>
      </c>
      <c r="J362" s="80">
        <f>IFERROR(INDEX(打卡匯入!$C$3:$C$2002,MATCH($C362&amp;"|"&amp;DAY($A362),打卡匯入!$E$3:$E$2002,0)),"")</f>
        <v/>
      </c>
      <c r="K362" s="80">
        <f>IFERROR(INDEX(打卡匯入!$D$3:$D$2002,MATCH($C362&amp;"|"&amp;DAY($A362),打卡匯入!$E$3:$E$2002,0)),"")</f>
        <v/>
      </c>
      <c r="L362" s="81">
        <f>IF(OR($J362="",$K362=""),"",IFERROR(INDEX(設定!$F$6:$F$18,MATCH($G362,設定!$B$6:$B$18,0)),0))</f>
        <v/>
      </c>
      <c r="M362" s="82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1">
        <f>IF(OR($C362="",$H362="",$J362=""),0,IF(ROUND(($J362-$H362)*1440,0)&gt;設定!$C$42,ROUND(($J362-$H362)*1440,0),0))</f>
        <v/>
      </c>
      <c r="P362" s="81">
        <f>IF(OR($C362="",$I362="",$K362=""),0,IF(ROUND(($I362-$K362)*1440,0)&gt;設定!$C$42,ROUND(($I362-$K362)*1440,0),0))</f>
        <v/>
      </c>
      <c r="Q362" s="82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79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0">
        <f>IF($G363="","",IFERROR(INDEX(設定!$D$6:$D$18,MATCH($G363,設定!$B$6:$B$18,0)),""))</f>
        <v/>
      </c>
      <c r="I363" s="80">
        <f>IF($G363="","",IFERROR(INDEX(設定!$E$6:$E$18,MATCH($G363,設定!$B$6:$B$18,0)),""))</f>
        <v/>
      </c>
      <c r="J363" s="80">
        <f>IFERROR(INDEX(打卡匯入!$C$3:$C$2002,MATCH($C363&amp;"|"&amp;DAY($A363),打卡匯入!$E$3:$E$2002,0)),"")</f>
        <v/>
      </c>
      <c r="K363" s="80">
        <f>IFERROR(INDEX(打卡匯入!$D$3:$D$2002,MATCH($C363&amp;"|"&amp;DAY($A363),打卡匯入!$E$3:$E$2002,0)),"")</f>
        <v/>
      </c>
      <c r="L363" s="81">
        <f>IF(OR($J363="",$K363=""),"",IFERROR(INDEX(設定!$F$6:$F$18,MATCH($G363,設定!$B$6:$B$18,0)),0))</f>
        <v/>
      </c>
      <c r="M363" s="82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1">
        <f>IF(OR($C363="",$H363="",$J363=""),0,IF(ROUND(($J363-$H363)*1440,0)&gt;設定!$C$42,ROUND(($J363-$H363)*1440,0),0))</f>
        <v/>
      </c>
      <c r="P363" s="81">
        <f>IF(OR($C363="",$I363="",$K363=""),0,IF(ROUND(($I363-$K363)*1440,0)&gt;設定!$C$42,ROUND(($I363-$K363)*1440,0),0))</f>
        <v/>
      </c>
      <c r="Q363" s="82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79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0">
        <f>IF($G364="","",IFERROR(INDEX(設定!$D$6:$D$18,MATCH($G364,設定!$B$6:$B$18,0)),""))</f>
        <v/>
      </c>
      <c r="I364" s="80">
        <f>IF($G364="","",IFERROR(INDEX(設定!$E$6:$E$18,MATCH($G364,設定!$B$6:$B$18,0)),""))</f>
        <v/>
      </c>
      <c r="J364" s="80">
        <f>IFERROR(INDEX(打卡匯入!$C$3:$C$2002,MATCH($C364&amp;"|"&amp;DAY($A364),打卡匯入!$E$3:$E$2002,0)),"")</f>
        <v/>
      </c>
      <c r="K364" s="80">
        <f>IFERROR(INDEX(打卡匯入!$D$3:$D$2002,MATCH($C364&amp;"|"&amp;DAY($A364),打卡匯入!$E$3:$E$2002,0)),"")</f>
        <v/>
      </c>
      <c r="L364" s="81">
        <f>IF(OR($J364="",$K364=""),"",IFERROR(INDEX(設定!$F$6:$F$18,MATCH($G364,設定!$B$6:$B$18,0)),0))</f>
        <v/>
      </c>
      <c r="M364" s="82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1">
        <f>IF(OR($C364="",$H364="",$J364=""),0,IF(ROUND(($J364-$H364)*1440,0)&gt;設定!$C$42,ROUND(($J364-$H364)*1440,0),0))</f>
        <v/>
      </c>
      <c r="P364" s="81">
        <f>IF(OR($C364="",$I364="",$K364=""),0,IF(ROUND(($I364-$K364)*1440,0)&gt;設定!$C$42,ROUND(($I364-$K364)*1440,0),0))</f>
        <v/>
      </c>
      <c r="Q364" s="82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79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0">
        <f>IF($G365="","",IFERROR(INDEX(設定!$D$6:$D$18,MATCH($G365,設定!$B$6:$B$18,0)),""))</f>
        <v/>
      </c>
      <c r="I365" s="80">
        <f>IF($G365="","",IFERROR(INDEX(設定!$E$6:$E$18,MATCH($G365,設定!$B$6:$B$18,0)),""))</f>
        <v/>
      </c>
      <c r="J365" s="80">
        <f>IFERROR(INDEX(打卡匯入!$C$3:$C$2002,MATCH($C365&amp;"|"&amp;DAY($A365),打卡匯入!$E$3:$E$2002,0)),"")</f>
        <v/>
      </c>
      <c r="K365" s="80">
        <f>IFERROR(INDEX(打卡匯入!$D$3:$D$2002,MATCH($C365&amp;"|"&amp;DAY($A365),打卡匯入!$E$3:$E$2002,0)),"")</f>
        <v/>
      </c>
      <c r="L365" s="81">
        <f>IF(OR($J365="",$K365=""),"",IFERROR(INDEX(設定!$F$6:$F$18,MATCH($G365,設定!$B$6:$B$18,0)),0))</f>
        <v/>
      </c>
      <c r="M365" s="82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1">
        <f>IF(OR($C365="",$H365="",$J365=""),0,IF(ROUND(($J365-$H365)*1440,0)&gt;設定!$C$42,ROUND(($J365-$H365)*1440,0),0))</f>
        <v/>
      </c>
      <c r="P365" s="81">
        <f>IF(OR($C365="",$I365="",$K365=""),0,IF(ROUND(($I365-$K365)*1440,0)&gt;設定!$C$42,ROUND(($I365-$K365)*1440,0),0))</f>
        <v/>
      </c>
      <c r="Q365" s="82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79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0">
        <f>IF($G366="","",IFERROR(INDEX(設定!$D$6:$D$18,MATCH($G366,設定!$B$6:$B$18,0)),""))</f>
        <v/>
      </c>
      <c r="I366" s="80">
        <f>IF($G366="","",IFERROR(INDEX(設定!$E$6:$E$18,MATCH($G366,設定!$B$6:$B$18,0)),""))</f>
        <v/>
      </c>
      <c r="J366" s="80">
        <f>IFERROR(INDEX(打卡匯入!$C$3:$C$2002,MATCH($C366&amp;"|"&amp;DAY($A366),打卡匯入!$E$3:$E$2002,0)),"")</f>
        <v/>
      </c>
      <c r="K366" s="80">
        <f>IFERROR(INDEX(打卡匯入!$D$3:$D$2002,MATCH($C366&amp;"|"&amp;DAY($A366),打卡匯入!$E$3:$E$2002,0)),"")</f>
        <v/>
      </c>
      <c r="L366" s="81">
        <f>IF(OR($J366="",$K366=""),"",IFERROR(INDEX(設定!$F$6:$F$18,MATCH($G366,設定!$B$6:$B$18,0)),0))</f>
        <v/>
      </c>
      <c r="M366" s="82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1">
        <f>IF(OR($C366="",$H366="",$J366=""),0,IF(ROUND(($J366-$H366)*1440,0)&gt;設定!$C$42,ROUND(($J366-$H366)*1440,0),0))</f>
        <v/>
      </c>
      <c r="P366" s="81">
        <f>IF(OR($C366="",$I366="",$K366=""),0,IF(ROUND(($I366-$K366)*1440,0)&gt;設定!$C$42,ROUND(($I366-$K366)*1440,0),0))</f>
        <v/>
      </c>
      <c r="Q366" s="82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79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0">
        <f>IF($G367="","",IFERROR(INDEX(設定!$D$6:$D$18,MATCH($G367,設定!$B$6:$B$18,0)),""))</f>
        <v/>
      </c>
      <c r="I367" s="80">
        <f>IF($G367="","",IFERROR(INDEX(設定!$E$6:$E$18,MATCH($G367,設定!$B$6:$B$18,0)),""))</f>
        <v/>
      </c>
      <c r="J367" s="80">
        <f>IFERROR(INDEX(打卡匯入!$C$3:$C$2002,MATCH($C367&amp;"|"&amp;DAY($A367),打卡匯入!$E$3:$E$2002,0)),"")</f>
        <v/>
      </c>
      <c r="K367" s="80">
        <f>IFERROR(INDEX(打卡匯入!$D$3:$D$2002,MATCH($C367&amp;"|"&amp;DAY($A367),打卡匯入!$E$3:$E$2002,0)),"")</f>
        <v/>
      </c>
      <c r="L367" s="81">
        <f>IF(OR($J367="",$K367=""),"",IFERROR(INDEX(設定!$F$6:$F$18,MATCH($G367,設定!$B$6:$B$18,0)),0))</f>
        <v/>
      </c>
      <c r="M367" s="82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1">
        <f>IF(OR($C367="",$H367="",$J367=""),0,IF(ROUND(($J367-$H367)*1440,0)&gt;設定!$C$42,ROUND(($J367-$H367)*1440,0),0))</f>
        <v/>
      </c>
      <c r="P367" s="81">
        <f>IF(OR($C367="",$I367="",$K367=""),0,IF(ROUND(($I367-$K367)*1440,0)&gt;設定!$C$42,ROUND(($I367-$K367)*1440,0),0))</f>
        <v/>
      </c>
      <c r="Q367" s="82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79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0">
        <f>IF($G368="","",IFERROR(INDEX(設定!$D$6:$D$18,MATCH($G368,設定!$B$6:$B$18,0)),""))</f>
        <v/>
      </c>
      <c r="I368" s="80">
        <f>IF($G368="","",IFERROR(INDEX(設定!$E$6:$E$18,MATCH($G368,設定!$B$6:$B$18,0)),""))</f>
        <v/>
      </c>
      <c r="J368" s="80">
        <f>IFERROR(INDEX(打卡匯入!$C$3:$C$2002,MATCH($C368&amp;"|"&amp;DAY($A368),打卡匯入!$E$3:$E$2002,0)),"")</f>
        <v/>
      </c>
      <c r="K368" s="80">
        <f>IFERROR(INDEX(打卡匯入!$D$3:$D$2002,MATCH($C368&amp;"|"&amp;DAY($A368),打卡匯入!$E$3:$E$2002,0)),"")</f>
        <v/>
      </c>
      <c r="L368" s="81">
        <f>IF(OR($J368="",$K368=""),"",IFERROR(INDEX(設定!$F$6:$F$18,MATCH($G368,設定!$B$6:$B$18,0)),0))</f>
        <v/>
      </c>
      <c r="M368" s="82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1">
        <f>IF(OR($C368="",$H368="",$J368=""),0,IF(ROUND(($J368-$H368)*1440,0)&gt;設定!$C$42,ROUND(($J368-$H368)*1440,0),0))</f>
        <v/>
      </c>
      <c r="P368" s="81">
        <f>IF(OR($C368="",$I368="",$K368=""),0,IF(ROUND(($I368-$K368)*1440,0)&gt;設定!$C$42,ROUND(($I368-$K368)*1440,0),0))</f>
        <v/>
      </c>
      <c r="Q368" s="82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79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0">
        <f>IF($G369="","",IFERROR(INDEX(設定!$D$6:$D$18,MATCH($G369,設定!$B$6:$B$18,0)),""))</f>
        <v/>
      </c>
      <c r="I369" s="80">
        <f>IF($G369="","",IFERROR(INDEX(設定!$E$6:$E$18,MATCH($G369,設定!$B$6:$B$18,0)),""))</f>
        <v/>
      </c>
      <c r="J369" s="80">
        <f>IFERROR(INDEX(打卡匯入!$C$3:$C$2002,MATCH($C369&amp;"|"&amp;DAY($A369),打卡匯入!$E$3:$E$2002,0)),"")</f>
        <v/>
      </c>
      <c r="K369" s="80">
        <f>IFERROR(INDEX(打卡匯入!$D$3:$D$2002,MATCH($C369&amp;"|"&amp;DAY($A369),打卡匯入!$E$3:$E$2002,0)),"")</f>
        <v/>
      </c>
      <c r="L369" s="81">
        <f>IF(OR($J369="",$K369=""),"",IFERROR(INDEX(設定!$F$6:$F$18,MATCH($G369,設定!$B$6:$B$18,0)),0))</f>
        <v/>
      </c>
      <c r="M369" s="82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1">
        <f>IF(OR($C369="",$H369="",$J369=""),0,IF(ROUND(($J369-$H369)*1440,0)&gt;設定!$C$42,ROUND(($J369-$H369)*1440,0),0))</f>
        <v/>
      </c>
      <c r="P369" s="81">
        <f>IF(OR($C369="",$I369="",$K369=""),0,IF(ROUND(($I369-$K369)*1440,0)&gt;設定!$C$42,ROUND(($I369-$K369)*1440,0),0))</f>
        <v/>
      </c>
      <c r="Q369" s="82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79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0">
        <f>IF($G370="","",IFERROR(INDEX(設定!$D$6:$D$18,MATCH($G370,設定!$B$6:$B$18,0)),""))</f>
        <v/>
      </c>
      <c r="I370" s="80">
        <f>IF($G370="","",IFERROR(INDEX(設定!$E$6:$E$18,MATCH($G370,設定!$B$6:$B$18,0)),""))</f>
        <v/>
      </c>
      <c r="J370" s="80">
        <f>IFERROR(INDEX(打卡匯入!$C$3:$C$2002,MATCH($C370&amp;"|"&amp;DAY($A370),打卡匯入!$E$3:$E$2002,0)),"")</f>
        <v/>
      </c>
      <c r="K370" s="80">
        <f>IFERROR(INDEX(打卡匯入!$D$3:$D$2002,MATCH($C370&amp;"|"&amp;DAY($A370),打卡匯入!$E$3:$E$2002,0)),"")</f>
        <v/>
      </c>
      <c r="L370" s="81">
        <f>IF(OR($J370="",$K370=""),"",IFERROR(INDEX(設定!$F$6:$F$18,MATCH($G370,設定!$B$6:$B$18,0)),0))</f>
        <v/>
      </c>
      <c r="M370" s="82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1">
        <f>IF(OR($C370="",$H370="",$J370=""),0,IF(ROUND(($J370-$H370)*1440,0)&gt;設定!$C$42,ROUND(($J370-$H370)*1440,0),0))</f>
        <v/>
      </c>
      <c r="P370" s="81">
        <f>IF(OR($C370="",$I370="",$K370=""),0,IF(ROUND(($I370-$K370)*1440,0)&gt;設定!$C$42,ROUND(($I370-$K370)*1440,0),0))</f>
        <v/>
      </c>
      <c r="Q370" s="82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79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0">
        <f>IF($G371="","",IFERROR(INDEX(設定!$D$6:$D$18,MATCH($G371,設定!$B$6:$B$18,0)),""))</f>
        <v/>
      </c>
      <c r="I371" s="80">
        <f>IF($G371="","",IFERROR(INDEX(設定!$E$6:$E$18,MATCH($G371,設定!$B$6:$B$18,0)),""))</f>
        <v/>
      </c>
      <c r="J371" s="80">
        <f>IFERROR(INDEX(打卡匯入!$C$3:$C$2002,MATCH($C371&amp;"|"&amp;DAY($A371),打卡匯入!$E$3:$E$2002,0)),"")</f>
        <v/>
      </c>
      <c r="K371" s="80">
        <f>IFERROR(INDEX(打卡匯入!$D$3:$D$2002,MATCH($C371&amp;"|"&amp;DAY($A371),打卡匯入!$E$3:$E$2002,0)),"")</f>
        <v/>
      </c>
      <c r="L371" s="81">
        <f>IF(OR($J371="",$K371=""),"",IFERROR(INDEX(設定!$F$6:$F$18,MATCH($G371,設定!$B$6:$B$18,0)),0))</f>
        <v/>
      </c>
      <c r="M371" s="82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1">
        <f>IF(OR($C371="",$H371="",$J371=""),0,IF(ROUND(($J371-$H371)*1440,0)&gt;設定!$C$42,ROUND(($J371-$H371)*1440,0),0))</f>
        <v/>
      </c>
      <c r="P371" s="81">
        <f>IF(OR($C371="",$I371="",$K371=""),0,IF(ROUND(($I371-$K371)*1440,0)&gt;設定!$C$42,ROUND(($I371-$K371)*1440,0),0))</f>
        <v/>
      </c>
      <c r="Q371" s="82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79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0">
        <f>IF($G372="","",IFERROR(INDEX(設定!$D$6:$D$18,MATCH($G372,設定!$B$6:$B$18,0)),""))</f>
        <v/>
      </c>
      <c r="I372" s="80">
        <f>IF($G372="","",IFERROR(INDEX(設定!$E$6:$E$18,MATCH($G372,設定!$B$6:$B$18,0)),""))</f>
        <v/>
      </c>
      <c r="J372" s="80">
        <f>IFERROR(INDEX(打卡匯入!$C$3:$C$2002,MATCH($C372&amp;"|"&amp;DAY($A372),打卡匯入!$E$3:$E$2002,0)),"")</f>
        <v/>
      </c>
      <c r="K372" s="80">
        <f>IFERROR(INDEX(打卡匯入!$D$3:$D$2002,MATCH($C372&amp;"|"&amp;DAY($A372),打卡匯入!$E$3:$E$2002,0)),"")</f>
        <v/>
      </c>
      <c r="L372" s="81">
        <f>IF(OR($J372="",$K372=""),"",IFERROR(INDEX(設定!$F$6:$F$18,MATCH($G372,設定!$B$6:$B$18,0)),0))</f>
        <v/>
      </c>
      <c r="M372" s="82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1">
        <f>IF(OR($C372="",$H372="",$J372=""),0,IF(ROUND(($J372-$H372)*1440,0)&gt;設定!$C$42,ROUND(($J372-$H372)*1440,0),0))</f>
        <v/>
      </c>
      <c r="P372" s="81">
        <f>IF(OR($C372="",$I372="",$K372=""),0,IF(ROUND(($I372-$K372)*1440,0)&gt;設定!$C$42,ROUND(($I372-$K372)*1440,0),0))</f>
        <v/>
      </c>
      <c r="Q372" s="82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79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0">
        <f>IF($G373="","",IFERROR(INDEX(設定!$D$6:$D$18,MATCH($G373,設定!$B$6:$B$18,0)),""))</f>
        <v/>
      </c>
      <c r="I373" s="80">
        <f>IF($G373="","",IFERROR(INDEX(設定!$E$6:$E$18,MATCH($G373,設定!$B$6:$B$18,0)),""))</f>
        <v/>
      </c>
      <c r="J373" s="80">
        <f>IFERROR(INDEX(打卡匯入!$C$3:$C$2002,MATCH($C373&amp;"|"&amp;DAY($A373),打卡匯入!$E$3:$E$2002,0)),"")</f>
        <v/>
      </c>
      <c r="K373" s="80">
        <f>IFERROR(INDEX(打卡匯入!$D$3:$D$2002,MATCH($C373&amp;"|"&amp;DAY($A373),打卡匯入!$E$3:$E$2002,0)),"")</f>
        <v/>
      </c>
      <c r="L373" s="81">
        <f>IF(OR($J373="",$K373=""),"",IFERROR(INDEX(設定!$F$6:$F$18,MATCH($G373,設定!$B$6:$B$18,0)),0))</f>
        <v/>
      </c>
      <c r="M373" s="82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1">
        <f>IF(OR($C373="",$H373="",$J373=""),0,IF(ROUND(($J373-$H373)*1440,0)&gt;設定!$C$42,ROUND(($J373-$H373)*1440,0),0))</f>
        <v/>
      </c>
      <c r="P373" s="81">
        <f>IF(OR($C373="",$I373="",$K373=""),0,IF(ROUND(($I373-$K373)*1440,0)&gt;設定!$C$42,ROUND(($I373-$K373)*1440,0),0))</f>
        <v/>
      </c>
      <c r="Q373" s="82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79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0">
        <f>IF($G374="","",IFERROR(INDEX(設定!$D$6:$D$18,MATCH($G374,設定!$B$6:$B$18,0)),""))</f>
        <v/>
      </c>
      <c r="I374" s="80">
        <f>IF($G374="","",IFERROR(INDEX(設定!$E$6:$E$18,MATCH($G374,設定!$B$6:$B$18,0)),""))</f>
        <v/>
      </c>
      <c r="J374" s="80">
        <f>IFERROR(INDEX(打卡匯入!$C$3:$C$2002,MATCH($C374&amp;"|"&amp;DAY($A374),打卡匯入!$E$3:$E$2002,0)),"")</f>
        <v/>
      </c>
      <c r="K374" s="80">
        <f>IFERROR(INDEX(打卡匯入!$D$3:$D$2002,MATCH($C374&amp;"|"&amp;DAY($A374),打卡匯入!$E$3:$E$2002,0)),"")</f>
        <v/>
      </c>
      <c r="L374" s="81">
        <f>IF(OR($J374="",$K374=""),"",IFERROR(INDEX(設定!$F$6:$F$18,MATCH($G374,設定!$B$6:$B$18,0)),0))</f>
        <v/>
      </c>
      <c r="M374" s="82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1">
        <f>IF(OR($C374="",$H374="",$J374=""),0,IF(ROUND(($J374-$H374)*1440,0)&gt;設定!$C$42,ROUND(($J374-$H374)*1440,0),0))</f>
        <v/>
      </c>
      <c r="P374" s="81">
        <f>IF(OR($C374="",$I374="",$K374=""),0,IF(ROUND(($I374-$K374)*1440,0)&gt;設定!$C$42,ROUND(($I374-$K374)*1440,0),0))</f>
        <v/>
      </c>
      <c r="Q374" s="82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79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0">
        <f>IF($G375="","",IFERROR(INDEX(設定!$D$6:$D$18,MATCH($G375,設定!$B$6:$B$18,0)),""))</f>
        <v/>
      </c>
      <c r="I375" s="80">
        <f>IF($G375="","",IFERROR(INDEX(設定!$E$6:$E$18,MATCH($G375,設定!$B$6:$B$18,0)),""))</f>
        <v/>
      </c>
      <c r="J375" s="80">
        <f>IFERROR(INDEX(打卡匯入!$C$3:$C$2002,MATCH($C375&amp;"|"&amp;DAY($A375),打卡匯入!$E$3:$E$2002,0)),"")</f>
        <v/>
      </c>
      <c r="K375" s="80">
        <f>IFERROR(INDEX(打卡匯入!$D$3:$D$2002,MATCH($C375&amp;"|"&amp;DAY($A375),打卡匯入!$E$3:$E$2002,0)),"")</f>
        <v/>
      </c>
      <c r="L375" s="81">
        <f>IF(OR($J375="",$K375=""),"",IFERROR(INDEX(設定!$F$6:$F$18,MATCH($G375,設定!$B$6:$B$18,0)),0))</f>
        <v/>
      </c>
      <c r="M375" s="82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1">
        <f>IF(OR($C375="",$H375="",$J375=""),0,IF(ROUND(($J375-$H375)*1440,0)&gt;設定!$C$42,ROUND(($J375-$H375)*1440,0),0))</f>
        <v/>
      </c>
      <c r="P375" s="81">
        <f>IF(OR($C375="",$I375="",$K375=""),0,IF(ROUND(($I375-$K375)*1440,0)&gt;設定!$C$42,ROUND(($I375-$K375)*1440,0),0))</f>
        <v/>
      </c>
      <c r="Q375" s="82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79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0">
        <f>IF($G376="","",IFERROR(INDEX(設定!$D$6:$D$18,MATCH($G376,設定!$B$6:$B$18,0)),""))</f>
        <v/>
      </c>
      <c r="I376" s="80">
        <f>IF($G376="","",IFERROR(INDEX(設定!$E$6:$E$18,MATCH($G376,設定!$B$6:$B$18,0)),""))</f>
        <v/>
      </c>
      <c r="J376" s="80">
        <f>IFERROR(INDEX(打卡匯入!$C$3:$C$2002,MATCH($C376&amp;"|"&amp;DAY($A376),打卡匯入!$E$3:$E$2002,0)),"")</f>
        <v/>
      </c>
      <c r="K376" s="80">
        <f>IFERROR(INDEX(打卡匯入!$D$3:$D$2002,MATCH($C376&amp;"|"&amp;DAY($A376),打卡匯入!$E$3:$E$2002,0)),"")</f>
        <v/>
      </c>
      <c r="L376" s="81">
        <f>IF(OR($J376="",$K376=""),"",IFERROR(INDEX(設定!$F$6:$F$18,MATCH($G376,設定!$B$6:$B$18,0)),0))</f>
        <v/>
      </c>
      <c r="M376" s="82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1">
        <f>IF(OR($C376="",$H376="",$J376=""),0,IF(ROUND(($J376-$H376)*1440,0)&gt;設定!$C$42,ROUND(($J376-$H376)*1440,0),0))</f>
        <v/>
      </c>
      <c r="P376" s="81">
        <f>IF(OR($C376="",$I376="",$K376=""),0,IF(ROUND(($I376-$K376)*1440,0)&gt;設定!$C$42,ROUND(($I376-$K376)*1440,0),0))</f>
        <v/>
      </c>
      <c r="Q376" s="82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79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0">
        <f>IF($G377="","",IFERROR(INDEX(設定!$D$6:$D$18,MATCH($G377,設定!$B$6:$B$18,0)),""))</f>
        <v/>
      </c>
      <c r="I377" s="80">
        <f>IF($G377="","",IFERROR(INDEX(設定!$E$6:$E$18,MATCH($G377,設定!$B$6:$B$18,0)),""))</f>
        <v/>
      </c>
      <c r="J377" s="80">
        <f>IFERROR(INDEX(打卡匯入!$C$3:$C$2002,MATCH($C377&amp;"|"&amp;DAY($A377),打卡匯入!$E$3:$E$2002,0)),"")</f>
        <v/>
      </c>
      <c r="K377" s="80">
        <f>IFERROR(INDEX(打卡匯入!$D$3:$D$2002,MATCH($C377&amp;"|"&amp;DAY($A377),打卡匯入!$E$3:$E$2002,0)),"")</f>
        <v/>
      </c>
      <c r="L377" s="81">
        <f>IF(OR($J377="",$K377=""),"",IFERROR(INDEX(設定!$F$6:$F$18,MATCH($G377,設定!$B$6:$B$18,0)),0))</f>
        <v/>
      </c>
      <c r="M377" s="82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1">
        <f>IF(OR($C377="",$H377="",$J377=""),0,IF(ROUND(($J377-$H377)*1440,0)&gt;設定!$C$42,ROUND(($J377-$H377)*1440,0),0))</f>
        <v/>
      </c>
      <c r="P377" s="81">
        <f>IF(OR($C377="",$I377="",$K377=""),0,IF(ROUND(($I377-$K377)*1440,0)&gt;設定!$C$42,ROUND(($I377-$K377)*1440,0),0))</f>
        <v/>
      </c>
      <c r="Q377" s="82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79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0">
        <f>IF($G378="","",IFERROR(INDEX(設定!$D$6:$D$18,MATCH($G378,設定!$B$6:$B$18,0)),""))</f>
        <v/>
      </c>
      <c r="I378" s="80">
        <f>IF($G378="","",IFERROR(INDEX(設定!$E$6:$E$18,MATCH($G378,設定!$B$6:$B$18,0)),""))</f>
        <v/>
      </c>
      <c r="J378" s="80">
        <f>IFERROR(INDEX(打卡匯入!$C$3:$C$2002,MATCH($C378&amp;"|"&amp;DAY($A378),打卡匯入!$E$3:$E$2002,0)),"")</f>
        <v/>
      </c>
      <c r="K378" s="80">
        <f>IFERROR(INDEX(打卡匯入!$D$3:$D$2002,MATCH($C378&amp;"|"&amp;DAY($A378),打卡匯入!$E$3:$E$2002,0)),"")</f>
        <v/>
      </c>
      <c r="L378" s="81">
        <f>IF(OR($J378="",$K378=""),"",IFERROR(INDEX(設定!$F$6:$F$18,MATCH($G378,設定!$B$6:$B$18,0)),0))</f>
        <v/>
      </c>
      <c r="M378" s="82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1">
        <f>IF(OR($C378="",$H378="",$J378=""),0,IF(ROUND(($J378-$H378)*1440,0)&gt;設定!$C$42,ROUND(($J378-$H378)*1440,0),0))</f>
        <v/>
      </c>
      <c r="P378" s="81">
        <f>IF(OR($C378="",$I378="",$K378=""),0,IF(ROUND(($I378-$K378)*1440,0)&gt;設定!$C$42,ROUND(($I378-$K378)*1440,0),0))</f>
        <v/>
      </c>
      <c r="Q378" s="82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79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0">
        <f>IF($G379="","",IFERROR(INDEX(設定!$D$6:$D$18,MATCH($G379,設定!$B$6:$B$18,0)),""))</f>
        <v/>
      </c>
      <c r="I379" s="80">
        <f>IF($G379="","",IFERROR(INDEX(設定!$E$6:$E$18,MATCH($G379,設定!$B$6:$B$18,0)),""))</f>
        <v/>
      </c>
      <c r="J379" s="80">
        <f>IFERROR(INDEX(打卡匯入!$C$3:$C$2002,MATCH($C379&amp;"|"&amp;DAY($A379),打卡匯入!$E$3:$E$2002,0)),"")</f>
        <v/>
      </c>
      <c r="K379" s="80">
        <f>IFERROR(INDEX(打卡匯入!$D$3:$D$2002,MATCH($C379&amp;"|"&amp;DAY($A379),打卡匯入!$E$3:$E$2002,0)),"")</f>
        <v/>
      </c>
      <c r="L379" s="81">
        <f>IF(OR($J379="",$K379=""),"",IFERROR(INDEX(設定!$F$6:$F$18,MATCH($G379,設定!$B$6:$B$18,0)),0))</f>
        <v/>
      </c>
      <c r="M379" s="82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1">
        <f>IF(OR($C379="",$H379="",$J379=""),0,IF(ROUND(($J379-$H379)*1440,0)&gt;設定!$C$42,ROUND(($J379-$H379)*1440,0),0))</f>
        <v/>
      </c>
      <c r="P379" s="81">
        <f>IF(OR($C379="",$I379="",$K379=""),0,IF(ROUND(($I379-$K379)*1440,0)&gt;設定!$C$42,ROUND(($I379-$K379)*1440,0),0))</f>
        <v/>
      </c>
      <c r="Q379" s="82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79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0">
        <f>IF($G380="","",IFERROR(INDEX(設定!$D$6:$D$18,MATCH($G380,設定!$B$6:$B$18,0)),""))</f>
        <v/>
      </c>
      <c r="I380" s="80">
        <f>IF($G380="","",IFERROR(INDEX(設定!$E$6:$E$18,MATCH($G380,設定!$B$6:$B$18,0)),""))</f>
        <v/>
      </c>
      <c r="J380" s="80">
        <f>IFERROR(INDEX(打卡匯入!$C$3:$C$2002,MATCH($C380&amp;"|"&amp;DAY($A380),打卡匯入!$E$3:$E$2002,0)),"")</f>
        <v/>
      </c>
      <c r="K380" s="80">
        <f>IFERROR(INDEX(打卡匯入!$D$3:$D$2002,MATCH($C380&amp;"|"&amp;DAY($A380),打卡匯入!$E$3:$E$2002,0)),"")</f>
        <v/>
      </c>
      <c r="L380" s="81">
        <f>IF(OR($J380="",$K380=""),"",IFERROR(INDEX(設定!$F$6:$F$18,MATCH($G380,設定!$B$6:$B$18,0)),0))</f>
        <v/>
      </c>
      <c r="M380" s="82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1">
        <f>IF(OR($C380="",$H380="",$J380=""),0,IF(ROUND(($J380-$H380)*1440,0)&gt;設定!$C$42,ROUND(($J380-$H380)*1440,0),0))</f>
        <v/>
      </c>
      <c r="P380" s="81">
        <f>IF(OR($C380="",$I380="",$K380=""),0,IF(ROUND(($I380-$K380)*1440,0)&gt;設定!$C$42,ROUND(($I380-$K380)*1440,0),0))</f>
        <v/>
      </c>
      <c r="Q380" s="82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79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0">
        <f>IF($G381="","",IFERROR(INDEX(設定!$D$6:$D$18,MATCH($G381,設定!$B$6:$B$18,0)),""))</f>
        <v/>
      </c>
      <c r="I381" s="80">
        <f>IF($G381="","",IFERROR(INDEX(設定!$E$6:$E$18,MATCH($G381,設定!$B$6:$B$18,0)),""))</f>
        <v/>
      </c>
      <c r="J381" s="80">
        <f>IFERROR(INDEX(打卡匯入!$C$3:$C$2002,MATCH($C381&amp;"|"&amp;DAY($A381),打卡匯入!$E$3:$E$2002,0)),"")</f>
        <v/>
      </c>
      <c r="K381" s="80">
        <f>IFERROR(INDEX(打卡匯入!$D$3:$D$2002,MATCH($C381&amp;"|"&amp;DAY($A381),打卡匯入!$E$3:$E$2002,0)),"")</f>
        <v/>
      </c>
      <c r="L381" s="81">
        <f>IF(OR($J381="",$K381=""),"",IFERROR(INDEX(設定!$F$6:$F$18,MATCH($G381,設定!$B$6:$B$18,0)),0))</f>
        <v/>
      </c>
      <c r="M381" s="82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1">
        <f>IF(OR($C381="",$H381="",$J381=""),0,IF(ROUND(($J381-$H381)*1440,0)&gt;設定!$C$42,ROUND(($J381-$H381)*1440,0),0))</f>
        <v/>
      </c>
      <c r="P381" s="81">
        <f>IF(OR($C381="",$I381="",$K381=""),0,IF(ROUND(($I381-$K381)*1440,0)&gt;設定!$C$42,ROUND(($I381-$K381)*1440,0),0))</f>
        <v/>
      </c>
      <c r="Q381" s="82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79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0">
        <f>IF($G382="","",IFERROR(INDEX(設定!$D$6:$D$18,MATCH($G382,設定!$B$6:$B$18,0)),""))</f>
        <v/>
      </c>
      <c r="I382" s="80">
        <f>IF($G382="","",IFERROR(INDEX(設定!$E$6:$E$18,MATCH($G382,設定!$B$6:$B$18,0)),""))</f>
        <v/>
      </c>
      <c r="J382" s="80">
        <f>IFERROR(INDEX(打卡匯入!$C$3:$C$2002,MATCH($C382&amp;"|"&amp;DAY($A382),打卡匯入!$E$3:$E$2002,0)),"")</f>
        <v/>
      </c>
      <c r="K382" s="80">
        <f>IFERROR(INDEX(打卡匯入!$D$3:$D$2002,MATCH($C382&amp;"|"&amp;DAY($A382),打卡匯入!$E$3:$E$2002,0)),"")</f>
        <v/>
      </c>
      <c r="L382" s="81">
        <f>IF(OR($J382="",$K382=""),"",IFERROR(INDEX(設定!$F$6:$F$18,MATCH($G382,設定!$B$6:$B$18,0)),0))</f>
        <v/>
      </c>
      <c r="M382" s="82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1">
        <f>IF(OR($C382="",$H382="",$J382=""),0,IF(ROUND(($J382-$H382)*1440,0)&gt;設定!$C$42,ROUND(($J382-$H382)*1440,0),0))</f>
        <v/>
      </c>
      <c r="P382" s="81">
        <f>IF(OR($C382="",$I382="",$K382=""),0,IF(ROUND(($I382-$K382)*1440,0)&gt;設定!$C$42,ROUND(($I382-$K382)*1440,0),0))</f>
        <v/>
      </c>
      <c r="Q382" s="82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79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0">
        <f>IF($G383="","",IFERROR(INDEX(設定!$D$6:$D$18,MATCH($G383,設定!$B$6:$B$18,0)),""))</f>
        <v/>
      </c>
      <c r="I383" s="80">
        <f>IF($G383="","",IFERROR(INDEX(設定!$E$6:$E$18,MATCH($G383,設定!$B$6:$B$18,0)),""))</f>
        <v/>
      </c>
      <c r="J383" s="80">
        <f>IFERROR(INDEX(打卡匯入!$C$3:$C$2002,MATCH($C383&amp;"|"&amp;DAY($A383),打卡匯入!$E$3:$E$2002,0)),"")</f>
        <v/>
      </c>
      <c r="K383" s="80">
        <f>IFERROR(INDEX(打卡匯入!$D$3:$D$2002,MATCH($C383&amp;"|"&amp;DAY($A383),打卡匯入!$E$3:$E$2002,0)),"")</f>
        <v/>
      </c>
      <c r="L383" s="81">
        <f>IF(OR($J383="",$K383=""),"",IFERROR(INDEX(設定!$F$6:$F$18,MATCH($G383,設定!$B$6:$B$18,0)),0))</f>
        <v/>
      </c>
      <c r="M383" s="82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1">
        <f>IF(OR($C383="",$H383="",$J383=""),0,IF(ROUND(($J383-$H383)*1440,0)&gt;設定!$C$42,ROUND(($J383-$H383)*1440,0),0))</f>
        <v/>
      </c>
      <c r="P383" s="81">
        <f>IF(OR($C383="",$I383="",$K383=""),0,IF(ROUND(($I383-$K383)*1440,0)&gt;設定!$C$42,ROUND(($I383-$K383)*1440,0),0))</f>
        <v/>
      </c>
      <c r="Q383" s="82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79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0">
        <f>IF($G384="","",IFERROR(INDEX(設定!$D$6:$D$18,MATCH($G384,設定!$B$6:$B$18,0)),""))</f>
        <v/>
      </c>
      <c r="I384" s="80">
        <f>IF($G384="","",IFERROR(INDEX(設定!$E$6:$E$18,MATCH($G384,設定!$B$6:$B$18,0)),""))</f>
        <v/>
      </c>
      <c r="J384" s="80">
        <f>IFERROR(INDEX(打卡匯入!$C$3:$C$2002,MATCH($C384&amp;"|"&amp;DAY($A384),打卡匯入!$E$3:$E$2002,0)),"")</f>
        <v/>
      </c>
      <c r="K384" s="80">
        <f>IFERROR(INDEX(打卡匯入!$D$3:$D$2002,MATCH($C384&amp;"|"&amp;DAY($A384),打卡匯入!$E$3:$E$2002,0)),"")</f>
        <v/>
      </c>
      <c r="L384" s="81">
        <f>IF(OR($J384="",$K384=""),"",IFERROR(INDEX(設定!$F$6:$F$18,MATCH($G384,設定!$B$6:$B$18,0)),0))</f>
        <v/>
      </c>
      <c r="M384" s="82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1">
        <f>IF(OR($C384="",$H384="",$J384=""),0,IF(ROUND(($J384-$H384)*1440,0)&gt;設定!$C$42,ROUND(($J384-$H384)*1440,0),0))</f>
        <v/>
      </c>
      <c r="P384" s="81">
        <f>IF(OR($C384="",$I384="",$K384=""),0,IF(ROUND(($I384-$K384)*1440,0)&gt;設定!$C$42,ROUND(($I384-$K384)*1440,0),0))</f>
        <v/>
      </c>
      <c r="Q384" s="82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79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0">
        <f>IF($G385="","",IFERROR(INDEX(設定!$D$6:$D$18,MATCH($G385,設定!$B$6:$B$18,0)),""))</f>
        <v/>
      </c>
      <c r="I385" s="80">
        <f>IF($G385="","",IFERROR(INDEX(設定!$E$6:$E$18,MATCH($G385,設定!$B$6:$B$18,0)),""))</f>
        <v/>
      </c>
      <c r="J385" s="80">
        <f>IFERROR(INDEX(打卡匯入!$C$3:$C$2002,MATCH($C385&amp;"|"&amp;DAY($A385),打卡匯入!$E$3:$E$2002,0)),"")</f>
        <v/>
      </c>
      <c r="K385" s="80">
        <f>IFERROR(INDEX(打卡匯入!$D$3:$D$2002,MATCH($C385&amp;"|"&amp;DAY($A385),打卡匯入!$E$3:$E$2002,0)),"")</f>
        <v/>
      </c>
      <c r="L385" s="81">
        <f>IF(OR($J385="",$K385=""),"",IFERROR(INDEX(設定!$F$6:$F$18,MATCH($G385,設定!$B$6:$B$18,0)),0))</f>
        <v/>
      </c>
      <c r="M385" s="82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1">
        <f>IF(OR($C385="",$H385="",$J385=""),0,IF(ROUND(($J385-$H385)*1440,0)&gt;設定!$C$42,ROUND(($J385-$H385)*1440,0),0))</f>
        <v/>
      </c>
      <c r="P385" s="81">
        <f>IF(OR($C385="",$I385="",$K385=""),0,IF(ROUND(($I385-$K385)*1440,0)&gt;設定!$C$42,ROUND(($I385-$K385)*1440,0),0))</f>
        <v/>
      </c>
      <c r="Q385" s="82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79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0">
        <f>IF($G386="","",IFERROR(INDEX(設定!$D$6:$D$18,MATCH($G386,設定!$B$6:$B$18,0)),""))</f>
        <v/>
      </c>
      <c r="I386" s="80">
        <f>IF($G386="","",IFERROR(INDEX(設定!$E$6:$E$18,MATCH($G386,設定!$B$6:$B$18,0)),""))</f>
        <v/>
      </c>
      <c r="J386" s="80">
        <f>IFERROR(INDEX(打卡匯入!$C$3:$C$2002,MATCH($C386&amp;"|"&amp;DAY($A386),打卡匯入!$E$3:$E$2002,0)),"")</f>
        <v/>
      </c>
      <c r="K386" s="80">
        <f>IFERROR(INDEX(打卡匯入!$D$3:$D$2002,MATCH($C386&amp;"|"&amp;DAY($A386),打卡匯入!$E$3:$E$2002,0)),"")</f>
        <v/>
      </c>
      <c r="L386" s="81">
        <f>IF(OR($J386="",$K386=""),"",IFERROR(INDEX(設定!$F$6:$F$18,MATCH($G386,設定!$B$6:$B$18,0)),0))</f>
        <v/>
      </c>
      <c r="M386" s="82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1">
        <f>IF(OR($C386="",$H386="",$J386=""),0,IF(ROUND(($J386-$H386)*1440,0)&gt;設定!$C$42,ROUND(($J386-$H386)*1440,0),0))</f>
        <v/>
      </c>
      <c r="P386" s="81">
        <f>IF(OR($C386="",$I386="",$K386=""),0,IF(ROUND(($I386-$K386)*1440,0)&gt;設定!$C$42,ROUND(($I386-$K386)*1440,0),0))</f>
        <v/>
      </c>
      <c r="Q386" s="82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79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0">
        <f>IF($G387="","",IFERROR(INDEX(設定!$D$6:$D$18,MATCH($G387,設定!$B$6:$B$18,0)),""))</f>
        <v/>
      </c>
      <c r="I387" s="80">
        <f>IF($G387="","",IFERROR(INDEX(設定!$E$6:$E$18,MATCH($G387,設定!$B$6:$B$18,0)),""))</f>
        <v/>
      </c>
      <c r="J387" s="80">
        <f>IFERROR(INDEX(打卡匯入!$C$3:$C$2002,MATCH($C387&amp;"|"&amp;DAY($A387),打卡匯入!$E$3:$E$2002,0)),"")</f>
        <v/>
      </c>
      <c r="K387" s="80">
        <f>IFERROR(INDEX(打卡匯入!$D$3:$D$2002,MATCH($C387&amp;"|"&amp;DAY($A387),打卡匯入!$E$3:$E$2002,0)),"")</f>
        <v/>
      </c>
      <c r="L387" s="81">
        <f>IF(OR($J387="",$K387=""),"",IFERROR(INDEX(設定!$F$6:$F$18,MATCH($G387,設定!$B$6:$B$18,0)),0))</f>
        <v/>
      </c>
      <c r="M387" s="82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1">
        <f>IF(OR($C387="",$H387="",$J387=""),0,IF(ROUND(($J387-$H387)*1440,0)&gt;設定!$C$42,ROUND(($J387-$H387)*1440,0),0))</f>
        <v/>
      </c>
      <c r="P387" s="81">
        <f>IF(OR($C387="",$I387="",$K387=""),0,IF(ROUND(($I387-$K387)*1440,0)&gt;設定!$C$42,ROUND(($I387-$K387)*1440,0),0))</f>
        <v/>
      </c>
      <c r="Q387" s="82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79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0">
        <f>IF($G388="","",IFERROR(INDEX(設定!$D$6:$D$18,MATCH($G388,設定!$B$6:$B$18,0)),""))</f>
        <v/>
      </c>
      <c r="I388" s="80">
        <f>IF($G388="","",IFERROR(INDEX(設定!$E$6:$E$18,MATCH($G388,設定!$B$6:$B$18,0)),""))</f>
        <v/>
      </c>
      <c r="J388" s="80">
        <f>IFERROR(INDEX(打卡匯入!$C$3:$C$2002,MATCH($C388&amp;"|"&amp;DAY($A388),打卡匯入!$E$3:$E$2002,0)),"")</f>
        <v/>
      </c>
      <c r="K388" s="80">
        <f>IFERROR(INDEX(打卡匯入!$D$3:$D$2002,MATCH($C388&amp;"|"&amp;DAY($A388),打卡匯入!$E$3:$E$2002,0)),"")</f>
        <v/>
      </c>
      <c r="L388" s="81">
        <f>IF(OR($J388="",$K388=""),"",IFERROR(INDEX(設定!$F$6:$F$18,MATCH($G388,設定!$B$6:$B$18,0)),0))</f>
        <v/>
      </c>
      <c r="M388" s="82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1">
        <f>IF(OR($C388="",$H388="",$J388=""),0,IF(ROUND(($J388-$H388)*1440,0)&gt;設定!$C$42,ROUND(($J388-$H388)*1440,0),0))</f>
        <v/>
      </c>
      <c r="P388" s="81">
        <f>IF(OR($C388="",$I388="",$K388=""),0,IF(ROUND(($I388-$K388)*1440,0)&gt;設定!$C$42,ROUND(($I388-$K388)*1440,0),0))</f>
        <v/>
      </c>
      <c r="Q388" s="82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79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0">
        <f>IF($G389="","",IFERROR(INDEX(設定!$D$6:$D$18,MATCH($G389,設定!$B$6:$B$18,0)),""))</f>
        <v/>
      </c>
      <c r="I389" s="80">
        <f>IF($G389="","",IFERROR(INDEX(設定!$E$6:$E$18,MATCH($G389,設定!$B$6:$B$18,0)),""))</f>
        <v/>
      </c>
      <c r="J389" s="80">
        <f>IFERROR(INDEX(打卡匯入!$C$3:$C$2002,MATCH($C389&amp;"|"&amp;DAY($A389),打卡匯入!$E$3:$E$2002,0)),"")</f>
        <v/>
      </c>
      <c r="K389" s="80">
        <f>IFERROR(INDEX(打卡匯入!$D$3:$D$2002,MATCH($C389&amp;"|"&amp;DAY($A389),打卡匯入!$E$3:$E$2002,0)),"")</f>
        <v/>
      </c>
      <c r="L389" s="81">
        <f>IF(OR($J389="",$K389=""),"",IFERROR(INDEX(設定!$F$6:$F$18,MATCH($G389,設定!$B$6:$B$18,0)),0))</f>
        <v/>
      </c>
      <c r="M389" s="82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1">
        <f>IF(OR($C389="",$H389="",$J389=""),0,IF(ROUND(($J389-$H389)*1440,0)&gt;設定!$C$42,ROUND(($J389-$H389)*1440,0),0))</f>
        <v/>
      </c>
      <c r="P389" s="81">
        <f>IF(OR($C389="",$I389="",$K389=""),0,IF(ROUND(($I389-$K389)*1440,0)&gt;設定!$C$42,ROUND(($I389-$K389)*1440,0),0))</f>
        <v/>
      </c>
      <c r="Q389" s="82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79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0">
        <f>IF($G390="","",IFERROR(INDEX(設定!$D$6:$D$18,MATCH($G390,設定!$B$6:$B$18,0)),""))</f>
        <v/>
      </c>
      <c r="I390" s="80">
        <f>IF($G390="","",IFERROR(INDEX(設定!$E$6:$E$18,MATCH($G390,設定!$B$6:$B$18,0)),""))</f>
        <v/>
      </c>
      <c r="J390" s="80">
        <f>IFERROR(INDEX(打卡匯入!$C$3:$C$2002,MATCH($C390&amp;"|"&amp;DAY($A390),打卡匯入!$E$3:$E$2002,0)),"")</f>
        <v/>
      </c>
      <c r="K390" s="80">
        <f>IFERROR(INDEX(打卡匯入!$D$3:$D$2002,MATCH($C390&amp;"|"&amp;DAY($A390),打卡匯入!$E$3:$E$2002,0)),"")</f>
        <v/>
      </c>
      <c r="L390" s="81">
        <f>IF(OR($J390="",$K390=""),"",IFERROR(INDEX(設定!$F$6:$F$18,MATCH($G390,設定!$B$6:$B$18,0)),0))</f>
        <v/>
      </c>
      <c r="M390" s="82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1">
        <f>IF(OR($C390="",$H390="",$J390=""),0,IF(ROUND(($J390-$H390)*1440,0)&gt;設定!$C$42,ROUND(($J390-$H390)*1440,0),0))</f>
        <v/>
      </c>
      <c r="P390" s="81">
        <f>IF(OR($C390="",$I390="",$K390=""),0,IF(ROUND(($I390-$K390)*1440,0)&gt;設定!$C$42,ROUND(($I390-$K390)*1440,0),0))</f>
        <v/>
      </c>
      <c r="Q390" s="82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79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0">
        <f>IF($G391="","",IFERROR(INDEX(設定!$D$6:$D$18,MATCH($G391,設定!$B$6:$B$18,0)),""))</f>
        <v/>
      </c>
      <c r="I391" s="80">
        <f>IF($G391="","",IFERROR(INDEX(設定!$E$6:$E$18,MATCH($G391,設定!$B$6:$B$18,0)),""))</f>
        <v/>
      </c>
      <c r="J391" s="80">
        <f>IFERROR(INDEX(打卡匯入!$C$3:$C$2002,MATCH($C391&amp;"|"&amp;DAY($A391),打卡匯入!$E$3:$E$2002,0)),"")</f>
        <v/>
      </c>
      <c r="K391" s="80">
        <f>IFERROR(INDEX(打卡匯入!$D$3:$D$2002,MATCH($C391&amp;"|"&amp;DAY($A391),打卡匯入!$E$3:$E$2002,0)),"")</f>
        <v/>
      </c>
      <c r="L391" s="81">
        <f>IF(OR($J391="",$K391=""),"",IFERROR(INDEX(設定!$F$6:$F$18,MATCH($G391,設定!$B$6:$B$18,0)),0))</f>
        <v/>
      </c>
      <c r="M391" s="82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1">
        <f>IF(OR($C391="",$H391="",$J391=""),0,IF(ROUND(($J391-$H391)*1440,0)&gt;設定!$C$42,ROUND(($J391-$H391)*1440,0),0))</f>
        <v/>
      </c>
      <c r="P391" s="81">
        <f>IF(OR($C391="",$I391="",$K391=""),0,IF(ROUND(($I391-$K391)*1440,0)&gt;設定!$C$42,ROUND(($I391-$K391)*1440,0),0))</f>
        <v/>
      </c>
      <c r="Q391" s="82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79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0">
        <f>IF($G392="","",IFERROR(INDEX(設定!$D$6:$D$18,MATCH($G392,設定!$B$6:$B$18,0)),""))</f>
        <v/>
      </c>
      <c r="I392" s="80">
        <f>IF($G392="","",IFERROR(INDEX(設定!$E$6:$E$18,MATCH($G392,設定!$B$6:$B$18,0)),""))</f>
        <v/>
      </c>
      <c r="J392" s="80">
        <f>IFERROR(INDEX(打卡匯入!$C$3:$C$2002,MATCH($C392&amp;"|"&amp;DAY($A392),打卡匯入!$E$3:$E$2002,0)),"")</f>
        <v/>
      </c>
      <c r="K392" s="80">
        <f>IFERROR(INDEX(打卡匯入!$D$3:$D$2002,MATCH($C392&amp;"|"&amp;DAY($A392),打卡匯入!$E$3:$E$2002,0)),"")</f>
        <v/>
      </c>
      <c r="L392" s="81">
        <f>IF(OR($J392="",$K392=""),"",IFERROR(INDEX(設定!$F$6:$F$18,MATCH($G392,設定!$B$6:$B$18,0)),0))</f>
        <v/>
      </c>
      <c r="M392" s="82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1">
        <f>IF(OR($C392="",$H392="",$J392=""),0,IF(ROUND(($J392-$H392)*1440,0)&gt;設定!$C$42,ROUND(($J392-$H392)*1440,0),0))</f>
        <v/>
      </c>
      <c r="P392" s="81">
        <f>IF(OR($C392="",$I392="",$K392=""),0,IF(ROUND(($I392-$K392)*1440,0)&gt;設定!$C$42,ROUND(($I392-$K392)*1440,0),0))</f>
        <v/>
      </c>
      <c r="Q392" s="82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79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0">
        <f>IF($G393="","",IFERROR(INDEX(設定!$D$6:$D$18,MATCH($G393,設定!$B$6:$B$18,0)),""))</f>
        <v/>
      </c>
      <c r="I393" s="80">
        <f>IF($G393="","",IFERROR(INDEX(設定!$E$6:$E$18,MATCH($G393,設定!$B$6:$B$18,0)),""))</f>
        <v/>
      </c>
      <c r="J393" s="80">
        <f>IFERROR(INDEX(打卡匯入!$C$3:$C$2002,MATCH($C393&amp;"|"&amp;DAY($A393),打卡匯入!$E$3:$E$2002,0)),"")</f>
        <v/>
      </c>
      <c r="K393" s="80">
        <f>IFERROR(INDEX(打卡匯入!$D$3:$D$2002,MATCH($C393&amp;"|"&amp;DAY($A393),打卡匯入!$E$3:$E$2002,0)),"")</f>
        <v/>
      </c>
      <c r="L393" s="81">
        <f>IF(OR($J393="",$K393=""),"",IFERROR(INDEX(設定!$F$6:$F$18,MATCH($G393,設定!$B$6:$B$18,0)),0))</f>
        <v/>
      </c>
      <c r="M393" s="82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1">
        <f>IF(OR($C393="",$H393="",$J393=""),0,IF(ROUND(($J393-$H393)*1440,0)&gt;設定!$C$42,ROUND(($J393-$H393)*1440,0),0))</f>
        <v/>
      </c>
      <c r="P393" s="81">
        <f>IF(OR($C393="",$I393="",$K393=""),0,IF(ROUND(($I393-$K393)*1440,0)&gt;設定!$C$42,ROUND(($I393-$K393)*1440,0),0))</f>
        <v/>
      </c>
      <c r="Q393" s="82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79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0">
        <f>IF($G394="","",IFERROR(INDEX(設定!$D$6:$D$18,MATCH($G394,設定!$B$6:$B$18,0)),""))</f>
        <v/>
      </c>
      <c r="I394" s="80">
        <f>IF($G394="","",IFERROR(INDEX(設定!$E$6:$E$18,MATCH($G394,設定!$B$6:$B$18,0)),""))</f>
        <v/>
      </c>
      <c r="J394" s="80">
        <f>IFERROR(INDEX(打卡匯入!$C$3:$C$2002,MATCH($C394&amp;"|"&amp;DAY($A394),打卡匯入!$E$3:$E$2002,0)),"")</f>
        <v/>
      </c>
      <c r="K394" s="80">
        <f>IFERROR(INDEX(打卡匯入!$D$3:$D$2002,MATCH($C394&amp;"|"&amp;DAY($A394),打卡匯入!$E$3:$E$2002,0)),"")</f>
        <v/>
      </c>
      <c r="L394" s="81">
        <f>IF(OR($J394="",$K394=""),"",IFERROR(INDEX(設定!$F$6:$F$18,MATCH($G394,設定!$B$6:$B$18,0)),0))</f>
        <v/>
      </c>
      <c r="M394" s="82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1">
        <f>IF(OR($C394="",$H394="",$J394=""),0,IF(ROUND(($J394-$H394)*1440,0)&gt;設定!$C$42,ROUND(($J394-$H394)*1440,0),0))</f>
        <v/>
      </c>
      <c r="P394" s="81">
        <f>IF(OR($C394="",$I394="",$K394=""),0,IF(ROUND(($I394-$K394)*1440,0)&gt;設定!$C$42,ROUND(($I394-$K394)*1440,0),0))</f>
        <v/>
      </c>
      <c r="Q394" s="82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79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0">
        <f>IF($G395="","",IFERROR(INDEX(設定!$D$6:$D$18,MATCH($G395,設定!$B$6:$B$18,0)),""))</f>
        <v/>
      </c>
      <c r="I395" s="80">
        <f>IF($G395="","",IFERROR(INDEX(設定!$E$6:$E$18,MATCH($G395,設定!$B$6:$B$18,0)),""))</f>
        <v/>
      </c>
      <c r="J395" s="80">
        <f>IFERROR(INDEX(打卡匯入!$C$3:$C$2002,MATCH($C395&amp;"|"&amp;DAY($A395),打卡匯入!$E$3:$E$2002,0)),"")</f>
        <v/>
      </c>
      <c r="K395" s="80">
        <f>IFERROR(INDEX(打卡匯入!$D$3:$D$2002,MATCH($C395&amp;"|"&amp;DAY($A395),打卡匯入!$E$3:$E$2002,0)),"")</f>
        <v/>
      </c>
      <c r="L395" s="81">
        <f>IF(OR($J395="",$K395=""),"",IFERROR(INDEX(設定!$F$6:$F$18,MATCH($G395,設定!$B$6:$B$18,0)),0))</f>
        <v/>
      </c>
      <c r="M395" s="82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1">
        <f>IF(OR($C395="",$H395="",$J395=""),0,IF(ROUND(($J395-$H395)*1440,0)&gt;設定!$C$42,ROUND(($J395-$H395)*1440,0),0))</f>
        <v/>
      </c>
      <c r="P395" s="81">
        <f>IF(OR($C395="",$I395="",$K395=""),0,IF(ROUND(($I395-$K395)*1440,0)&gt;設定!$C$42,ROUND(($I395-$K395)*1440,0),0))</f>
        <v/>
      </c>
      <c r="Q395" s="82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79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0">
        <f>IF($G396="","",IFERROR(INDEX(設定!$D$6:$D$18,MATCH($G396,設定!$B$6:$B$18,0)),""))</f>
        <v/>
      </c>
      <c r="I396" s="80">
        <f>IF($G396="","",IFERROR(INDEX(設定!$E$6:$E$18,MATCH($G396,設定!$B$6:$B$18,0)),""))</f>
        <v/>
      </c>
      <c r="J396" s="80">
        <f>IFERROR(INDEX(打卡匯入!$C$3:$C$2002,MATCH($C396&amp;"|"&amp;DAY($A396),打卡匯入!$E$3:$E$2002,0)),"")</f>
        <v/>
      </c>
      <c r="K396" s="80">
        <f>IFERROR(INDEX(打卡匯入!$D$3:$D$2002,MATCH($C396&amp;"|"&amp;DAY($A396),打卡匯入!$E$3:$E$2002,0)),"")</f>
        <v/>
      </c>
      <c r="L396" s="81">
        <f>IF(OR($J396="",$K396=""),"",IFERROR(INDEX(設定!$F$6:$F$18,MATCH($G396,設定!$B$6:$B$18,0)),0))</f>
        <v/>
      </c>
      <c r="M396" s="82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1">
        <f>IF(OR($C396="",$H396="",$J396=""),0,IF(ROUND(($J396-$H396)*1440,0)&gt;設定!$C$42,ROUND(($J396-$H396)*1440,0),0))</f>
        <v/>
      </c>
      <c r="P396" s="81">
        <f>IF(OR($C396="",$I396="",$K396=""),0,IF(ROUND(($I396-$K396)*1440,0)&gt;設定!$C$42,ROUND(($I396-$K396)*1440,0),0))</f>
        <v/>
      </c>
      <c r="Q396" s="82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79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0">
        <f>IF($G397="","",IFERROR(INDEX(設定!$D$6:$D$18,MATCH($G397,設定!$B$6:$B$18,0)),""))</f>
        <v/>
      </c>
      <c r="I397" s="80">
        <f>IF($G397="","",IFERROR(INDEX(設定!$E$6:$E$18,MATCH($G397,設定!$B$6:$B$18,0)),""))</f>
        <v/>
      </c>
      <c r="J397" s="80">
        <f>IFERROR(INDEX(打卡匯入!$C$3:$C$2002,MATCH($C397&amp;"|"&amp;DAY($A397),打卡匯入!$E$3:$E$2002,0)),"")</f>
        <v/>
      </c>
      <c r="K397" s="80">
        <f>IFERROR(INDEX(打卡匯入!$D$3:$D$2002,MATCH($C397&amp;"|"&amp;DAY($A397),打卡匯入!$E$3:$E$2002,0)),"")</f>
        <v/>
      </c>
      <c r="L397" s="81">
        <f>IF(OR($J397="",$K397=""),"",IFERROR(INDEX(設定!$F$6:$F$18,MATCH($G397,設定!$B$6:$B$18,0)),0))</f>
        <v/>
      </c>
      <c r="M397" s="82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1">
        <f>IF(OR($C397="",$H397="",$J397=""),0,IF(ROUND(($J397-$H397)*1440,0)&gt;設定!$C$42,ROUND(($J397-$H397)*1440,0),0))</f>
        <v/>
      </c>
      <c r="P397" s="81">
        <f>IF(OR($C397="",$I397="",$K397=""),0,IF(ROUND(($I397-$K397)*1440,0)&gt;設定!$C$42,ROUND(($I397-$K397)*1440,0),0))</f>
        <v/>
      </c>
      <c r="Q397" s="82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79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0">
        <f>IF($G398="","",IFERROR(INDEX(設定!$D$6:$D$18,MATCH($G398,設定!$B$6:$B$18,0)),""))</f>
        <v/>
      </c>
      <c r="I398" s="80">
        <f>IF($G398="","",IFERROR(INDEX(設定!$E$6:$E$18,MATCH($G398,設定!$B$6:$B$18,0)),""))</f>
        <v/>
      </c>
      <c r="J398" s="80">
        <f>IFERROR(INDEX(打卡匯入!$C$3:$C$2002,MATCH($C398&amp;"|"&amp;DAY($A398),打卡匯入!$E$3:$E$2002,0)),"")</f>
        <v/>
      </c>
      <c r="K398" s="80">
        <f>IFERROR(INDEX(打卡匯入!$D$3:$D$2002,MATCH($C398&amp;"|"&amp;DAY($A398),打卡匯入!$E$3:$E$2002,0)),"")</f>
        <v/>
      </c>
      <c r="L398" s="81">
        <f>IF(OR($J398="",$K398=""),"",IFERROR(INDEX(設定!$F$6:$F$18,MATCH($G398,設定!$B$6:$B$18,0)),0))</f>
        <v/>
      </c>
      <c r="M398" s="82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1">
        <f>IF(OR($C398="",$H398="",$J398=""),0,IF(ROUND(($J398-$H398)*1440,0)&gt;設定!$C$42,ROUND(($J398-$H398)*1440,0),0))</f>
        <v/>
      </c>
      <c r="P398" s="81">
        <f>IF(OR($C398="",$I398="",$K398=""),0,IF(ROUND(($I398-$K398)*1440,0)&gt;設定!$C$42,ROUND(($I398-$K398)*1440,0),0))</f>
        <v/>
      </c>
      <c r="Q398" s="82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79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0">
        <f>IF($G399="","",IFERROR(INDEX(設定!$D$6:$D$18,MATCH($G399,設定!$B$6:$B$18,0)),""))</f>
        <v/>
      </c>
      <c r="I399" s="80">
        <f>IF($G399="","",IFERROR(INDEX(設定!$E$6:$E$18,MATCH($G399,設定!$B$6:$B$18,0)),""))</f>
        <v/>
      </c>
      <c r="J399" s="80">
        <f>IFERROR(INDEX(打卡匯入!$C$3:$C$2002,MATCH($C399&amp;"|"&amp;DAY($A399),打卡匯入!$E$3:$E$2002,0)),"")</f>
        <v/>
      </c>
      <c r="K399" s="80">
        <f>IFERROR(INDEX(打卡匯入!$D$3:$D$2002,MATCH($C399&amp;"|"&amp;DAY($A399),打卡匯入!$E$3:$E$2002,0)),"")</f>
        <v/>
      </c>
      <c r="L399" s="81">
        <f>IF(OR($J399="",$K399=""),"",IFERROR(INDEX(設定!$F$6:$F$18,MATCH($G399,設定!$B$6:$B$18,0)),0))</f>
        <v/>
      </c>
      <c r="M399" s="82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1">
        <f>IF(OR($C399="",$H399="",$J399=""),0,IF(ROUND(($J399-$H399)*1440,0)&gt;設定!$C$42,ROUND(($J399-$H399)*1440,0),0))</f>
        <v/>
      </c>
      <c r="P399" s="81">
        <f>IF(OR($C399="",$I399="",$K399=""),0,IF(ROUND(($I399-$K399)*1440,0)&gt;設定!$C$42,ROUND(($I399-$K399)*1440,0),0))</f>
        <v/>
      </c>
      <c r="Q399" s="82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79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0">
        <f>IF($G400="","",IFERROR(INDEX(設定!$D$6:$D$18,MATCH($G400,設定!$B$6:$B$18,0)),""))</f>
        <v/>
      </c>
      <c r="I400" s="80">
        <f>IF($G400="","",IFERROR(INDEX(設定!$E$6:$E$18,MATCH($G400,設定!$B$6:$B$18,0)),""))</f>
        <v/>
      </c>
      <c r="J400" s="80">
        <f>IFERROR(INDEX(打卡匯入!$C$3:$C$2002,MATCH($C400&amp;"|"&amp;DAY($A400),打卡匯入!$E$3:$E$2002,0)),"")</f>
        <v/>
      </c>
      <c r="K400" s="80">
        <f>IFERROR(INDEX(打卡匯入!$D$3:$D$2002,MATCH($C400&amp;"|"&amp;DAY($A400),打卡匯入!$E$3:$E$2002,0)),"")</f>
        <v/>
      </c>
      <c r="L400" s="81">
        <f>IF(OR($J400="",$K400=""),"",IFERROR(INDEX(設定!$F$6:$F$18,MATCH($G400,設定!$B$6:$B$18,0)),0))</f>
        <v/>
      </c>
      <c r="M400" s="82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1">
        <f>IF(OR($C400="",$H400="",$J400=""),0,IF(ROUND(($J400-$H400)*1440,0)&gt;設定!$C$42,ROUND(($J400-$H400)*1440,0),0))</f>
        <v/>
      </c>
      <c r="P400" s="81">
        <f>IF(OR($C400="",$I400="",$K400=""),0,IF(ROUND(($I400-$K400)*1440,0)&gt;設定!$C$42,ROUND(($I400-$K400)*1440,0),0))</f>
        <v/>
      </c>
      <c r="Q400" s="82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79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0">
        <f>IF($G401="","",IFERROR(INDEX(設定!$D$6:$D$18,MATCH($G401,設定!$B$6:$B$18,0)),""))</f>
        <v/>
      </c>
      <c r="I401" s="80">
        <f>IF($G401="","",IFERROR(INDEX(設定!$E$6:$E$18,MATCH($G401,設定!$B$6:$B$18,0)),""))</f>
        <v/>
      </c>
      <c r="J401" s="80">
        <f>IFERROR(INDEX(打卡匯入!$C$3:$C$2002,MATCH($C401&amp;"|"&amp;DAY($A401),打卡匯入!$E$3:$E$2002,0)),"")</f>
        <v/>
      </c>
      <c r="K401" s="80">
        <f>IFERROR(INDEX(打卡匯入!$D$3:$D$2002,MATCH($C401&amp;"|"&amp;DAY($A401),打卡匯入!$E$3:$E$2002,0)),"")</f>
        <v/>
      </c>
      <c r="L401" s="81">
        <f>IF(OR($J401="",$K401=""),"",IFERROR(INDEX(設定!$F$6:$F$18,MATCH($G401,設定!$B$6:$B$18,0)),0))</f>
        <v/>
      </c>
      <c r="M401" s="82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1">
        <f>IF(OR($C401="",$H401="",$J401=""),0,IF(ROUND(($J401-$H401)*1440,0)&gt;設定!$C$42,ROUND(($J401-$H401)*1440,0),0))</f>
        <v/>
      </c>
      <c r="P401" s="81">
        <f>IF(OR($C401="",$I401="",$K401=""),0,IF(ROUND(($I401-$K401)*1440,0)&gt;設定!$C$42,ROUND(($I401-$K401)*1440,0),0))</f>
        <v/>
      </c>
      <c r="Q401" s="82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79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0">
        <f>IF($G402="","",IFERROR(INDEX(設定!$D$6:$D$18,MATCH($G402,設定!$B$6:$B$18,0)),""))</f>
        <v/>
      </c>
      <c r="I402" s="80">
        <f>IF($G402="","",IFERROR(INDEX(設定!$E$6:$E$18,MATCH($G402,設定!$B$6:$B$18,0)),""))</f>
        <v/>
      </c>
      <c r="J402" s="80">
        <f>IFERROR(INDEX(打卡匯入!$C$3:$C$2002,MATCH($C402&amp;"|"&amp;DAY($A402),打卡匯入!$E$3:$E$2002,0)),"")</f>
        <v/>
      </c>
      <c r="K402" s="80">
        <f>IFERROR(INDEX(打卡匯入!$D$3:$D$2002,MATCH($C402&amp;"|"&amp;DAY($A402),打卡匯入!$E$3:$E$2002,0)),"")</f>
        <v/>
      </c>
      <c r="L402" s="81">
        <f>IF(OR($J402="",$K402=""),"",IFERROR(INDEX(設定!$F$6:$F$18,MATCH($G402,設定!$B$6:$B$18,0)),0))</f>
        <v/>
      </c>
      <c r="M402" s="82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1">
        <f>IF(OR($C402="",$H402="",$J402=""),0,IF(ROUND(($J402-$H402)*1440,0)&gt;設定!$C$42,ROUND(($J402-$H402)*1440,0),0))</f>
        <v/>
      </c>
      <c r="P402" s="81">
        <f>IF(OR($C402="",$I402="",$K402=""),0,IF(ROUND(($I402-$K402)*1440,0)&gt;設定!$C$42,ROUND(($I402-$K402)*1440,0),0))</f>
        <v/>
      </c>
      <c r="Q402" s="82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79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0">
        <f>IF($G403="","",IFERROR(INDEX(設定!$D$6:$D$18,MATCH($G403,設定!$B$6:$B$18,0)),""))</f>
        <v/>
      </c>
      <c r="I403" s="80">
        <f>IF($G403="","",IFERROR(INDEX(設定!$E$6:$E$18,MATCH($G403,設定!$B$6:$B$18,0)),""))</f>
        <v/>
      </c>
      <c r="J403" s="80">
        <f>IFERROR(INDEX(打卡匯入!$C$3:$C$2002,MATCH($C403&amp;"|"&amp;DAY($A403),打卡匯入!$E$3:$E$2002,0)),"")</f>
        <v/>
      </c>
      <c r="K403" s="80">
        <f>IFERROR(INDEX(打卡匯入!$D$3:$D$2002,MATCH($C403&amp;"|"&amp;DAY($A403),打卡匯入!$E$3:$E$2002,0)),"")</f>
        <v/>
      </c>
      <c r="L403" s="81">
        <f>IF(OR($J403="",$K403=""),"",IFERROR(INDEX(設定!$F$6:$F$18,MATCH($G403,設定!$B$6:$B$18,0)),0))</f>
        <v/>
      </c>
      <c r="M403" s="82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1">
        <f>IF(OR($C403="",$H403="",$J403=""),0,IF(ROUND(($J403-$H403)*1440,0)&gt;設定!$C$42,ROUND(($J403-$H403)*1440,0),0))</f>
        <v/>
      </c>
      <c r="P403" s="81">
        <f>IF(OR($C403="",$I403="",$K403=""),0,IF(ROUND(($I403-$K403)*1440,0)&gt;設定!$C$42,ROUND(($I403-$K403)*1440,0),0))</f>
        <v/>
      </c>
      <c r="Q403" s="82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79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0">
        <f>IF($G404="","",IFERROR(INDEX(設定!$D$6:$D$18,MATCH($G404,設定!$B$6:$B$18,0)),""))</f>
        <v/>
      </c>
      <c r="I404" s="80">
        <f>IF($G404="","",IFERROR(INDEX(設定!$E$6:$E$18,MATCH($G404,設定!$B$6:$B$18,0)),""))</f>
        <v/>
      </c>
      <c r="J404" s="80">
        <f>IFERROR(INDEX(打卡匯入!$C$3:$C$2002,MATCH($C404&amp;"|"&amp;DAY($A404),打卡匯入!$E$3:$E$2002,0)),"")</f>
        <v/>
      </c>
      <c r="K404" s="80">
        <f>IFERROR(INDEX(打卡匯入!$D$3:$D$2002,MATCH($C404&amp;"|"&amp;DAY($A404),打卡匯入!$E$3:$E$2002,0)),"")</f>
        <v/>
      </c>
      <c r="L404" s="81">
        <f>IF(OR($J404="",$K404=""),"",IFERROR(INDEX(設定!$F$6:$F$18,MATCH($G404,設定!$B$6:$B$18,0)),0))</f>
        <v/>
      </c>
      <c r="M404" s="82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1">
        <f>IF(OR($C404="",$H404="",$J404=""),0,IF(ROUND(($J404-$H404)*1440,0)&gt;設定!$C$42,ROUND(($J404-$H404)*1440,0),0))</f>
        <v/>
      </c>
      <c r="P404" s="81">
        <f>IF(OR($C404="",$I404="",$K404=""),0,IF(ROUND(($I404-$K404)*1440,0)&gt;設定!$C$42,ROUND(($I404-$K404)*1440,0),0))</f>
        <v/>
      </c>
      <c r="Q404" s="82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79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0">
        <f>IF($G405="","",IFERROR(INDEX(設定!$D$6:$D$18,MATCH($G405,設定!$B$6:$B$18,0)),""))</f>
        <v/>
      </c>
      <c r="I405" s="80">
        <f>IF($G405="","",IFERROR(INDEX(設定!$E$6:$E$18,MATCH($G405,設定!$B$6:$B$18,0)),""))</f>
        <v/>
      </c>
      <c r="J405" s="80">
        <f>IFERROR(INDEX(打卡匯入!$C$3:$C$2002,MATCH($C405&amp;"|"&amp;DAY($A405),打卡匯入!$E$3:$E$2002,0)),"")</f>
        <v/>
      </c>
      <c r="K405" s="80">
        <f>IFERROR(INDEX(打卡匯入!$D$3:$D$2002,MATCH($C405&amp;"|"&amp;DAY($A405),打卡匯入!$E$3:$E$2002,0)),"")</f>
        <v/>
      </c>
      <c r="L405" s="81">
        <f>IF(OR($J405="",$K405=""),"",IFERROR(INDEX(設定!$F$6:$F$18,MATCH($G405,設定!$B$6:$B$18,0)),0))</f>
        <v/>
      </c>
      <c r="M405" s="82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1">
        <f>IF(OR($C405="",$H405="",$J405=""),0,IF(ROUND(($J405-$H405)*1440,0)&gt;設定!$C$42,ROUND(($J405-$H405)*1440,0),0))</f>
        <v/>
      </c>
      <c r="P405" s="81">
        <f>IF(OR($C405="",$I405="",$K405=""),0,IF(ROUND(($I405-$K405)*1440,0)&gt;設定!$C$42,ROUND(($I405-$K405)*1440,0),0))</f>
        <v/>
      </c>
      <c r="Q405" s="82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79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0">
        <f>IF($G406="","",IFERROR(INDEX(設定!$D$6:$D$18,MATCH($G406,設定!$B$6:$B$18,0)),""))</f>
        <v/>
      </c>
      <c r="I406" s="80">
        <f>IF($G406="","",IFERROR(INDEX(設定!$E$6:$E$18,MATCH($G406,設定!$B$6:$B$18,0)),""))</f>
        <v/>
      </c>
      <c r="J406" s="80">
        <f>IFERROR(INDEX(打卡匯入!$C$3:$C$2002,MATCH($C406&amp;"|"&amp;DAY($A406),打卡匯入!$E$3:$E$2002,0)),"")</f>
        <v/>
      </c>
      <c r="K406" s="80">
        <f>IFERROR(INDEX(打卡匯入!$D$3:$D$2002,MATCH($C406&amp;"|"&amp;DAY($A406),打卡匯入!$E$3:$E$2002,0)),"")</f>
        <v/>
      </c>
      <c r="L406" s="81">
        <f>IF(OR($J406="",$K406=""),"",IFERROR(INDEX(設定!$F$6:$F$18,MATCH($G406,設定!$B$6:$B$18,0)),0))</f>
        <v/>
      </c>
      <c r="M406" s="82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1">
        <f>IF(OR($C406="",$H406="",$J406=""),0,IF(ROUND(($J406-$H406)*1440,0)&gt;設定!$C$42,ROUND(($J406-$H406)*1440,0),0))</f>
        <v/>
      </c>
      <c r="P406" s="81">
        <f>IF(OR($C406="",$I406="",$K406=""),0,IF(ROUND(($I406-$K406)*1440,0)&gt;設定!$C$42,ROUND(($I406-$K406)*1440,0),0))</f>
        <v/>
      </c>
      <c r="Q406" s="82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79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0">
        <f>IF($G407="","",IFERROR(INDEX(設定!$D$6:$D$18,MATCH($G407,設定!$B$6:$B$18,0)),""))</f>
        <v/>
      </c>
      <c r="I407" s="80">
        <f>IF($G407="","",IFERROR(INDEX(設定!$E$6:$E$18,MATCH($G407,設定!$B$6:$B$18,0)),""))</f>
        <v/>
      </c>
      <c r="J407" s="80">
        <f>IFERROR(INDEX(打卡匯入!$C$3:$C$2002,MATCH($C407&amp;"|"&amp;DAY($A407),打卡匯入!$E$3:$E$2002,0)),"")</f>
        <v/>
      </c>
      <c r="K407" s="80">
        <f>IFERROR(INDEX(打卡匯入!$D$3:$D$2002,MATCH($C407&amp;"|"&amp;DAY($A407),打卡匯入!$E$3:$E$2002,0)),"")</f>
        <v/>
      </c>
      <c r="L407" s="81">
        <f>IF(OR($J407="",$K407=""),"",IFERROR(INDEX(設定!$F$6:$F$18,MATCH($G407,設定!$B$6:$B$18,0)),0))</f>
        <v/>
      </c>
      <c r="M407" s="82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1">
        <f>IF(OR($C407="",$H407="",$J407=""),0,IF(ROUND(($J407-$H407)*1440,0)&gt;設定!$C$42,ROUND(($J407-$H407)*1440,0),0))</f>
        <v/>
      </c>
      <c r="P407" s="81">
        <f>IF(OR($C407="",$I407="",$K407=""),0,IF(ROUND(($I407-$K407)*1440,0)&gt;設定!$C$42,ROUND(($I407-$K407)*1440,0),0))</f>
        <v/>
      </c>
      <c r="Q407" s="82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79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0">
        <f>IF($G408="","",IFERROR(INDEX(設定!$D$6:$D$18,MATCH($G408,設定!$B$6:$B$18,0)),""))</f>
        <v/>
      </c>
      <c r="I408" s="80">
        <f>IF($G408="","",IFERROR(INDEX(設定!$E$6:$E$18,MATCH($G408,設定!$B$6:$B$18,0)),""))</f>
        <v/>
      </c>
      <c r="J408" s="80">
        <f>IFERROR(INDEX(打卡匯入!$C$3:$C$2002,MATCH($C408&amp;"|"&amp;DAY($A408),打卡匯入!$E$3:$E$2002,0)),"")</f>
        <v/>
      </c>
      <c r="K408" s="80">
        <f>IFERROR(INDEX(打卡匯入!$D$3:$D$2002,MATCH($C408&amp;"|"&amp;DAY($A408),打卡匯入!$E$3:$E$2002,0)),"")</f>
        <v/>
      </c>
      <c r="L408" s="81">
        <f>IF(OR($J408="",$K408=""),"",IFERROR(INDEX(設定!$F$6:$F$18,MATCH($G408,設定!$B$6:$B$18,0)),0))</f>
        <v/>
      </c>
      <c r="M408" s="82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1">
        <f>IF(OR($C408="",$H408="",$J408=""),0,IF(ROUND(($J408-$H408)*1440,0)&gt;設定!$C$42,ROUND(($J408-$H408)*1440,0),0))</f>
        <v/>
      </c>
      <c r="P408" s="81">
        <f>IF(OR($C408="",$I408="",$K408=""),0,IF(ROUND(($I408-$K408)*1440,0)&gt;設定!$C$42,ROUND(($I408-$K408)*1440,0),0))</f>
        <v/>
      </c>
      <c r="Q408" s="82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79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0">
        <f>IF($G409="","",IFERROR(INDEX(設定!$D$6:$D$18,MATCH($G409,設定!$B$6:$B$18,0)),""))</f>
        <v/>
      </c>
      <c r="I409" s="80">
        <f>IF($G409="","",IFERROR(INDEX(設定!$E$6:$E$18,MATCH($G409,設定!$B$6:$B$18,0)),""))</f>
        <v/>
      </c>
      <c r="J409" s="80">
        <f>IFERROR(INDEX(打卡匯入!$C$3:$C$2002,MATCH($C409&amp;"|"&amp;DAY($A409),打卡匯入!$E$3:$E$2002,0)),"")</f>
        <v/>
      </c>
      <c r="K409" s="80">
        <f>IFERROR(INDEX(打卡匯入!$D$3:$D$2002,MATCH($C409&amp;"|"&amp;DAY($A409),打卡匯入!$E$3:$E$2002,0)),"")</f>
        <v/>
      </c>
      <c r="L409" s="81">
        <f>IF(OR($J409="",$K409=""),"",IFERROR(INDEX(設定!$F$6:$F$18,MATCH($G409,設定!$B$6:$B$18,0)),0))</f>
        <v/>
      </c>
      <c r="M409" s="82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1">
        <f>IF(OR($C409="",$H409="",$J409=""),0,IF(ROUND(($J409-$H409)*1440,0)&gt;設定!$C$42,ROUND(($J409-$H409)*1440,0),0))</f>
        <v/>
      </c>
      <c r="P409" s="81">
        <f>IF(OR($C409="",$I409="",$K409=""),0,IF(ROUND(($I409-$K409)*1440,0)&gt;設定!$C$42,ROUND(($I409-$K409)*1440,0),0))</f>
        <v/>
      </c>
      <c r="Q409" s="82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79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0">
        <f>IF($G410="","",IFERROR(INDEX(設定!$D$6:$D$18,MATCH($G410,設定!$B$6:$B$18,0)),""))</f>
        <v/>
      </c>
      <c r="I410" s="80">
        <f>IF($G410="","",IFERROR(INDEX(設定!$E$6:$E$18,MATCH($G410,設定!$B$6:$B$18,0)),""))</f>
        <v/>
      </c>
      <c r="J410" s="80">
        <f>IFERROR(INDEX(打卡匯入!$C$3:$C$2002,MATCH($C410&amp;"|"&amp;DAY($A410),打卡匯入!$E$3:$E$2002,0)),"")</f>
        <v/>
      </c>
      <c r="K410" s="80">
        <f>IFERROR(INDEX(打卡匯入!$D$3:$D$2002,MATCH($C410&amp;"|"&amp;DAY($A410),打卡匯入!$E$3:$E$2002,0)),"")</f>
        <v/>
      </c>
      <c r="L410" s="81">
        <f>IF(OR($J410="",$K410=""),"",IFERROR(INDEX(設定!$F$6:$F$18,MATCH($G410,設定!$B$6:$B$18,0)),0))</f>
        <v/>
      </c>
      <c r="M410" s="82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1">
        <f>IF(OR($C410="",$H410="",$J410=""),0,IF(ROUND(($J410-$H410)*1440,0)&gt;設定!$C$42,ROUND(($J410-$H410)*1440,0),0))</f>
        <v/>
      </c>
      <c r="P410" s="81">
        <f>IF(OR($C410="",$I410="",$K410=""),0,IF(ROUND(($I410-$K410)*1440,0)&gt;設定!$C$42,ROUND(($I410-$K410)*1440,0),0))</f>
        <v/>
      </c>
      <c r="Q410" s="82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79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0">
        <f>IF($G411="","",IFERROR(INDEX(設定!$D$6:$D$18,MATCH($G411,設定!$B$6:$B$18,0)),""))</f>
        <v/>
      </c>
      <c r="I411" s="80">
        <f>IF($G411="","",IFERROR(INDEX(設定!$E$6:$E$18,MATCH($G411,設定!$B$6:$B$18,0)),""))</f>
        <v/>
      </c>
      <c r="J411" s="80">
        <f>IFERROR(INDEX(打卡匯入!$C$3:$C$2002,MATCH($C411&amp;"|"&amp;DAY($A411),打卡匯入!$E$3:$E$2002,0)),"")</f>
        <v/>
      </c>
      <c r="K411" s="80">
        <f>IFERROR(INDEX(打卡匯入!$D$3:$D$2002,MATCH($C411&amp;"|"&amp;DAY($A411),打卡匯入!$E$3:$E$2002,0)),"")</f>
        <v/>
      </c>
      <c r="L411" s="81">
        <f>IF(OR($J411="",$K411=""),"",IFERROR(INDEX(設定!$F$6:$F$18,MATCH($G411,設定!$B$6:$B$18,0)),0))</f>
        <v/>
      </c>
      <c r="M411" s="82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1">
        <f>IF(OR($C411="",$H411="",$J411=""),0,IF(ROUND(($J411-$H411)*1440,0)&gt;設定!$C$42,ROUND(($J411-$H411)*1440,0),0))</f>
        <v/>
      </c>
      <c r="P411" s="81">
        <f>IF(OR($C411="",$I411="",$K411=""),0,IF(ROUND(($I411-$K411)*1440,0)&gt;設定!$C$42,ROUND(($I411-$K411)*1440,0),0))</f>
        <v/>
      </c>
      <c r="Q411" s="82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79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0">
        <f>IF($G412="","",IFERROR(INDEX(設定!$D$6:$D$18,MATCH($G412,設定!$B$6:$B$18,0)),""))</f>
        <v/>
      </c>
      <c r="I412" s="80">
        <f>IF($G412="","",IFERROR(INDEX(設定!$E$6:$E$18,MATCH($G412,設定!$B$6:$B$18,0)),""))</f>
        <v/>
      </c>
      <c r="J412" s="80">
        <f>IFERROR(INDEX(打卡匯入!$C$3:$C$2002,MATCH($C412&amp;"|"&amp;DAY($A412),打卡匯入!$E$3:$E$2002,0)),"")</f>
        <v/>
      </c>
      <c r="K412" s="80">
        <f>IFERROR(INDEX(打卡匯入!$D$3:$D$2002,MATCH($C412&amp;"|"&amp;DAY($A412),打卡匯入!$E$3:$E$2002,0)),"")</f>
        <v/>
      </c>
      <c r="L412" s="81">
        <f>IF(OR($J412="",$K412=""),"",IFERROR(INDEX(設定!$F$6:$F$18,MATCH($G412,設定!$B$6:$B$18,0)),0))</f>
        <v/>
      </c>
      <c r="M412" s="82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1">
        <f>IF(OR($C412="",$H412="",$J412=""),0,IF(ROUND(($J412-$H412)*1440,0)&gt;設定!$C$42,ROUND(($J412-$H412)*1440,0),0))</f>
        <v/>
      </c>
      <c r="P412" s="81">
        <f>IF(OR($C412="",$I412="",$K412=""),0,IF(ROUND(($I412-$K412)*1440,0)&gt;設定!$C$42,ROUND(($I412-$K412)*1440,0),0))</f>
        <v/>
      </c>
      <c r="Q412" s="82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79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0">
        <f>IF($G413="","",IFERROR(INDEX(設定!$D$6:$D$18,MATCH($G413,設定!$B$6:$B$18,0)),""))</f>
        <v/>
      </c>
      <c r="I413" s="80">
        <f>IF($G413="","",IFERROR(INDEX(設定!$E$6:$E$18,MATCH($G413,設定!$B$6:$B$18,0)),""))</f>
        <v/>
      </c>
      <c r="J413" s="80">
        <f>IFERROR(INDEX(打卡匯入!$C$3:$C$2002,MATCH($C413&amp;"|"&amp;DAY($A413),打卡匯入!$E$3:$E$2002,0)),"")</f>
        <v/>
      </c>
      <c r="K413" s="80">
        <f>IFERROR(INDEX(打卡匯入!$D$3:$D$2002,MATCH($C413&amp;"|"&amp;DAY($A413),打卡匯入!$E$3:$E$2002,0)),"")</f>
        <v/>
      </c>
      <c r="L413" s="81">
        <f>IF(OR($J413="",$K413=""),"",IFERROR(INDEX(設定!$F$6:$F$18,MATCH($G413,設定!$B$6:$B$18,0)),0))</f>
        <v/>
      </c>
      <c r="M413" s="82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1">
        <f>IF(OR($C413="",$H413="",$J413=""),0,IF(ROUND(($J413-$H413)*1440,0)&gt;設定!$C$42,ROUND(($J413-$H413)*1440,0),0))</f>
        <v/>
      </c>
      <c r="P413" s="81">
        <f>IF(OR($C413="",$I413="",$K413=""),0,IF(ROUND(($I413-$K413)*1440,0)&gt;設定!$C$42,ROUND(($I413-$K413)*1440,0),0))</f>
        <v/>
      </c>
      <c r="Q413" s="82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79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0">
        <f>IF($G414="","",IFERROR(INDEX(設定!$D$6:$D$18,MATCH($G414,設定!$B$6:$B$18,0)),""))</f>
        <v/>
      </c>
      <c r="I414" s="80">
        <f>IF($G414="","",IFERROR(INDEX(設定!$E$6:$E$18,MATCH($G414,設定!$B$6:$B$18,0)),""))</f>
        <v/>
      </c>
      <c r="J414" s="80">
        <f>IFERROR(INDEX(打卡匯入!$C$3:$C$2002,MATCH($C414&amp;"|"&amp;DAY($A414),打卡匯入!$E$3:$E$2002,0)),"")</f>
        <v/>
      </c>
      <c r="K414" s="80">
        <f>IFERROR(INDEX(打卡匯入!$D$3:$D$2002,MATCH($C414&amp;"|"&amp;DAY($A414),打卡匯入!$E$3:$E$2002,0)),"")</f>
        <v/>
      </c>
      <c r="L414" s="81">
        <f>IF(OR($J414="",$K414=""),"",IFERROR(INDEX(設定!$F$6:$F$18,MATCH($G414,設定!$B$6:$B$18,0)),0))</f>
        <v/>
      </c>
      <c r="M414" s="82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1">
        <f>IF(OR($C414="",$H414="",$J414=""),0,IF(ROUND(($J414-$H414)*1440,0)&gt;設定!$C$42,ROUND(($J414-$H414)*1440,0),0))</f>
        <v/>
      </c>
      <c r="P414" s="81">
        <f>IF(OR($C414="",$I414="",$K414=""),0,IF(ROUND(($I414-$K414)*1440,0)&gt;設定!$C$42,ROUND(($I414-$K414)*1440,0),0))</f>
        <v/>
      </c>
      <c r="Q414" s="82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79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0">
        <f>IF($G415="","",IFERROR(INDEX(設定!$D$6:$D$18,MATCH($G415,設定!$B$6:$B$18,0)),""))</f>
        <v/>
      </c>
      <c r="I415" s="80">
        <f>IF($G415="","",IFERROR(INDEX(設定!$E$6:$E$18,MATCH($G415,設定!$B$6:$B$18,0)),""))</f>
        <v/>
      </c>
      <c r="J415" s="80">
        <f>IFERROR(INDEX(打卡匯入!$C$3:$C$2002,MATCH($C415&amp;"|"&amp;DAY($A415),打卡匯入!$E$3:$E$2002,0)),"")</f>
        <v/>
      </c>
      <c r="K415" s="80">
        <f>IFERROR(INDEX(打卡匯入!$D$3:$D$2002,MATCH($C415&amp;"|"&amp;DAY($A415),打卡匯入!$E$3:$E$2002,0)),"")</f>
        <v/>
      </c>
      <c r="L415" s="81">
        <f>IF(OR($J415="",$K415=""),"",IFERROR(INDEX(設定!$F$6:$F$18,MATCH($G415,設定!$B$6:$B$18,0)),0))</f>
        <v/>
      </c>
      <c r="M415" s="82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1">
        <f>IF(OR($C415="",$H415="",$J415=""),0,IF(ROUND(($J415-$H415)*1440,0)&gt;設定!$C$42,ROUND(($J415-$H415)*1440,0),0))</f>
        <v/>
      </c>
      <c r="P415" s="81">
        <f>IF(OR($C415="",$I415="",$K415=""),0,IF(ROUND(($I415-$K415)*1440,0)&gt;設定!$C$42,ROUND(($I415-$K415)*1440,0),0))</f>
        <v/>
      </c>
      <c r="Q415" s="82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79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0">
        <f>IF($G416="","",IFERROR(INDEX(設定!$D$6:$D$18,MATCH($G416,設定!$B$6:$B$18,0)),""))</f>
        <v/>
      </c>
      <c r="I416" s="80">
        <f>IF($G416="","",IFERROR(INDEX(設定!$E$6:$E$18,MATCH($G416,設定!$B$6:$B$18,0)),""))</f>
        <v/>
      </c>
      <c r="J416" s="80">
        <f>IFERROR(INDEX(打卡匯入!$C$3:$C$2002,MATCH($C416&amp;"|"&amp;DAY($A416),打卡匯入!$E$3:$E$2002,0)),"")</f>
        <v/>
      </c>
      <c r="K416" s="80">
        <f>IFERROR(INDEX(打卡匯入!$D$3:$D$2002,MATCH($C416&amp;"|"&amp;DAY($A416),打卡匯入!$E$3:$E$2002,0)),"")</f>
        <v/>
      </c>
      <c r="L416" s="81">
        <f>IF(OR($J416="",$K416=""),"",IFERROR(INDEX(設定!$F$6:$F$18,MATCH($G416,設定!$B$6:$B$18,0)),0))</f>
        <v/>
      </c>
      <c r="M416" s="82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1">
        <f>IF(OR($C416="",$H416="",$J416=""),0,IF(ROUND(($J416-$H416)*1440,0)&gt;設定!$C$42,ROUND(($J416-$H416)*1440,0),0))</f>
        <v/>
      </c>
      <c r="P416" s="81">
        <f>IF(OR($C416="",$I416="",$K416=""),0,IF(ROUND(($I416-$K416)*1440,0)&gt;設定!$C$42,ROUND(($I416-$K416)*1440,0),0))</f>
        <v/>
      </c>
      <c r="Q416" s="82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79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0">
        <f>IF($G417="","",IFERROR(INDEX(設定!$D$6:$D$18,MATCH($G417,設定!$B$6:$B$18,0)),""))</f>
        <v/>
      </c>
      <c r="I417" s="80">
        <f>IF($G417="","",IFERROR(INDEX(設定!$E$6:$E$18,MATCH($G417,設定!$B$6:$B$18,0)),""))</f>
        <v/>
      </c>
      <c r="J417" s="80">
        <f>IFERROR(INDEX(打卡匯入!$C$3:$C$2002,MATCH($C417&amp;"|"&amp;DAY($A417),打卡匯入!$E$3:$E$2002,0)),"")</f>
        <v/>
      </c>
      <c r="K417" s="80">
        <f>IFERROR(INDEX(打卡匯入!$D$3:$D$2002,MATCH($C417&amp;"|"&amp;DAY($A417),打卡匯入!$E$3:$E$2002,0)),"")</f>
        <v/>
      </c>
      <c r="L417" s="81">
        <f>IF(OR($J417="",$K417=""),"",IFERROR(INDEX(設定!$F$6:$F$18,MATCH($G417,設定!$B$6:$B$18,0)),0))</f>
        <v/>
      </c>
      <c r="M417" s="82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1">
        <f>IF(OR($C417="",$H417="",$J417=""),0,IF(ROUND(($J417-$H417)*1440,0)&gt;設定!$C$42,ROUND(($J417-$H417)*1440,0),0))</f>
        <v/>
      </c>
      <c r="P417" s="81">
        <f>IF(OR($C417="",$I417="",$K417=""),0,IF(ROUND(($I417-$K417)*1440,0)&gt;設定!$C$42,ROUND(($I417-$K417)*1440,0),0))</f>
        <v/>
      </c>
      <c r="Q417" s="82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79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0">
        <f>IF($G418="","",IFERROR(INDEX(設定!$D$6:$D$18,MATCH($G418,設定!$B$6:$B$18,0)),""))</f>
        <v/>
      </c>
      <c r="I418" s="80">
        <f>IF($G418="","",IFERROR(INDEX(設定!$E$6:$E$18,MATCH($G418,設定!$B$6:$B$18,0)),""))</f>
        <v/>
      </c>
      <c r="J418" s="80">
        <f>IFERROR(INDEX(打卡匯入!$C$3:$C$2002,MATCH($C418&amp;"|"&amp;DAY($A418),打卡匯入!$E$3:$E$2002,0)),"")</f>
        <v/>
      </c>
      <c r="K418" s="80">
        <f>IFERROR(INDEX(打卡匯入!$D$3:$D$2002,MATCH($C418&amp;"|"&amp;DAY($A418),打卡匯入!$E$3:$E$2002,0)),"")</f>
        <v/>
      </c>
      <c r="L418" s="81">
        <f>IF(OR($J418="",$K418=""),"",IFERROR(INDEX(設定!$F$6:$F$18,MATCH($G418,設定!$B$6:$B$18,0)),0))</f>
        <v/>
      </c>
      <c r="M418" s="82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1">
        <f>IF(OR($C418="",$H418="",$J418=""),0,IF(ROUND(($J418-$H418)*1440,0)&gt;設定!$C$42,ROUND(($J418-$H418)*1440,0),0))</f>
        <v/>
      </c>
      <c r="P418" s="81">
        <f>IF(OR($C418="",$I418="",$K418=""),0,IF(ROUND(($I418-$K418)*1440,0)&gt;設定!$C$42,ROUND(($I418-$K418)*1440,0),0))</f>
        <v/>
      </c>
      <c r="Q418" s="82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79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0">
        <f>IF($G419="","",IFERROR(INDEX(設定!$D$6:$D$18,MATCH($G419,設定!$B$6:$B$18,0)),""))</f>
        <v/>
      </c>
      <c r="I419" s="80">
        <f>IF($G419="","",IFERROR(INDEX(設定!$E$6:$E$18,MATCH($G419,設定!$B$6:$B$18,0)),""))</f>
        <v/>
      </c>
      <c r="J419" s="80">
        <f>IFERROR(INDEX(打卡匯入!$C$3:$C$2002,MATCH($C419&amp;"|"&amp;DAY($A419),打卡匯入!$E$3:$E$2002,0)),"")</f>
        <v/>
      </c>
      <c r="K419" s="80">
        <f>IFERROR(INDEX(打卡匯入!$D$3:$D$2002,MATCH($C419&amp;"|"&amp;DAY($A419),打卡匯入!$E$3:$E$2002,0)),"")</f>
        <v/>
      </c>
      <c r="L419" s="81">
        <f>IF(OR($J419="",$K419=""),"",IFERROR(INDEX(設定!$F$6:$F$18,MATCH($G419,設定!$B$6:$B$18,0)),0))</f>
        <v/>
      </c>
      <c r="M419" s="82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1">
        <f>IF(OR($C419="",$H419="",$J419=""),0,IF(ROUND(($J419-$H419)*1440,0)&gt;設定!$C$42,ROUND(($J419-$H419)*1440,0),0))</f>
        <v/>
      </c>
      <c r="P419" s="81">
        <f>IF(OR($C419="",$I419="",$K419=""),0,IF(ROUND(($I419-$K419)*1440,0)&gt;設定!$C$42,ROUND(($I419-$K419)*1440,0),0))</f>
        <v/>
      </c>
      <c r="Q419" s="82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79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0">
        <f>IF($G420="","",IFERROR(INDEX(設定!$D$6:$D$18,MATCH($G420,設定!$B$6:$B$18,0)),""))</f>
        <v/>
      </c>
      <c r="I420" s="80">
        <f>IF($G420="","",IFERROR(INDEX(設定!$E$6:$E$18,MATCH($G420,設定!$B$6:$B$18,0)),""))</f>
        <v/>
      </c>
      <c r="J420" s="80">
        <f>IFERROR(INDEX(打卡匯入!$C$3:$C$2002,MATCH($C420&amp;"|"&amp;DAY($A420),打卡匯入!$E$3:$E$2002,0)),"")</f>
        <v/>
      </c>
      <c r="K420" s="80">
        <f>IFERROR(INDEX(打卡匯入!$D$3:$D$2002,MATCH($C420&amp;"|"&amp;DAY($A420),打卡匯入!$E$3:$E$2002,0)),"")</f>
        <v/>
      </c>
      <c r="L420" s="81">
        <f>IF(OR($J420="",$K420=""),"",IFERROR(INDEX(設定!$F$6:$F$18,MATCH($G420,設定!$B$6:$B$18,0)),0))</f>
        <v/>
      </c>
      <c r="M420" s="82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1">
        <f>IF(OR($C420="",$H420="",$J420=""),0,IF(ROUND(($J420-$H420)*1440,0)&gt;設定!$C$42,ROUND(($J420-$H420)*1440,0),0))</f>
        <v/>
      </c>
      <c r="P420" s="81">
        <f>IF(OR($C420="",$I420="",$K420=""),0,IF(ROUND(($I420-$K420)*1440,0)&gt;設定!$C$42,ROUND(($I420-$K420)*1440,0),0))</f>
        <v/>
      </c>
      <c r="Q420" s="82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79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0">
        <f>IF($G421="","",IFERROR(INDEX(設定!$D$6:$D$18,MATCH($G421,設定!$B$6:$B$18,0)),""))</f>
        <v/>
      </c>
      <c r="I421" s="80">
        <f>IF($G421="","",IFERROR(INDEX(設定!$E$6:$E$18,MATCH($G421,設定!$B$6:$B$18,0)),""))</f>
        <v/>
      </c>
      <c r="J421" s="80">
        <f>IFERROR(INDEX(打卡匯入!$C$3:$C$2002,MATCH($C421&amp;"|"&amp;DAY($A421),打卡匯入!$E$3:$E$2002,0)),"")</f>
        <v/>
      </c>
      <c r="K421" s="80">
        <f>IFERROR(INDEX(打卡匯入!$D$3:$D$2002,MATCH($C421&amp;"|"&amp;DAY($A421),打卡匯入!$E$3:$E$2002,0)),"")</f>
        <v/>
      </c>
      <c r="L421" s="81">
        <f>IF(OR($J421="",$K421=""),"",IFERROR(INDEX(設定!$F$6:$F$18,MATCH($G421,設定!$B$6:$B$18,0)),0))</f>
        <v/>
      </c>
      <c r="M421" s="82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1">
        <f>IF(OR($C421="",$H421="",$J421=""),0,IF(ROUND(($J421-$H421)*1440,0)&gt;設定!$C$42,ROUND(($J421-$H421)*1440,0),0))</f>
        <v/>
      </c>
      <c r="P421" s="81">
        <f>IF(OR($C421="",$I421="",$K421=""),0,IF(ROUND(($I421-$K421)*1440,0)&gt;設定!$C$42,ROUND(($I421-$K421)*1440,0),0))</f>
        <v/>
      </c>
      <c r="Q421" s="82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79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0">
        <f>IF($G422="","",IFERROR(INDEX(設定!$D$6:$D$18,MATCH($G422,設定!$B$6:$B$18,0)),""))</f>
        <v/>
      </c>
      <c r="I422" s="80">
        <f>IF($G422="","",IFERROR(INDEX(設定!$E$6:$E$18,MATCH($G422,設定!$B$6:$B$18,0)),""))</f>
        <v/>
      </c>
      <c r="J422" s="80">
        <f>IFERROR(INDEX(打卡匯入!$C$3:$C$2002,MATCH($C422&amp;"|"&amp;DAY($A422),打卡匯入!$E$3:$E$2002,0)),"")</f>
        <v/>
      </c>
      <c r="K422" s="80">
        <f>IFERROR(INDEX(打卡匯入!$D$3:$D$2002,MATCH($C422&amp;"|"&amp;DAY($A422),打卡匯入!$E$3:$E$2002,0)),"")</f>
        <v/>
      </c>
      <c r="L422" s="81">
        <f>IF(OR($J422="",$K422=""),"",IFERROR(INDEX(設定!$F$6:$F$18,MATCH($G422,設定!$B$6:$B$18,0)),0))</f>
        <v/>
      </c>
      <c r="M422" s="82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1">
        <f>IF(OR($C422="",$H422="",$J422=""),0,IF(ROUND(($J422-$H422)*1440,0)&gt;設定!$C$42,ROUND(($J422-$H422)*1440,0),0))</f>
        <v/>
      </c>
      <c r="P422" s="81">
        <f>IF(OR($C422="",$I422="",$K422=""),0,IF(ROUND(($I422-$K422)*1440,0)&gt;設定!$C$42,ROUND(($I422-$K422)*1440,0),0))</f>
        <v/>
      </c>
      <c r="Q422" s="82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79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0">
        <f>IF($G423="","",IFERROR(INDEX(設定!$D$6:$D$18,MATCH($G423,設定!$B$6:$B$18,0)),""))</f>
        <v/>
      </c>
      <c r="I423" s="80">
        <f>IF($G423="","",IFERROR(INDEX(設定!$E$6:$E$18,MATCH($G423,設定!$B$6:$B$18,0)),""))</f>
        <v/>
      </c>
      <c r="J423" s="80">
        <f>IFERROR(INDEX(打卡匯入!$C$3:$C$2002,MATCH($C423&amp;"|"&amp;DAY($A423),打卡匯入!$E$3:$E$2002,0)),"")</f>
        <v/>
      </c>
      <c r="K423" s="80">
        <f>IFERROR(INDEX(打卡匯入!$D$3:$D$2002,MATCH($C423&amp;"|"&amp;DAY($A423),打卡匯入!$E$3:$E$2002,0)),"")</f>
        <v/>
      </c>
      <c r="L423" s="81">
        <f>IF(OR($J423="",$K423=""),"",IFERROR(INDEX(設定!$F$6:$F$18,MATCH($G423,設定!$B$6:$B$18,0)),0))</f>
        <v/>
      </c>
      <c r="M423" s="82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1">
        <f>IF(OR($C423="",$H423="",$J423=""),0,IF(ROUND(($J423-$H423)*1440,0)&gt;設定!$C$42,ROUND(($J423-$H423)*1440,0),0))</f>
        <v/>
      </c>
      <c r="P423" s="81">
        <f>IF(OR($C423="",$I423="",$K423=""),0,IF(ROUND(($I423-$K423)*1440,0)&gt;設定!$C$42,ROUND(($I423-$K423)*1440,0),0))</f>
        <v/>
      </c>
      <c r="Q423" s="82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79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0">
        <f>IF($G424="","",IFERROR(INDEX(設定!$D$6:$D$18,MATCH($G424,設定!$B$6:$B$18,0)),""))</f>
        <v/>
      </c>
      <c r="I424" s="80">
        <f>IF($G424="","",IFERROR(INDEX(設定!$E$6:$E$18,MATCH($G424,設定!$B$6:$B$18,0)),""))</f>
        <v/>
      </c>
      <c r="J424" s="80">
        <f>IFERROR(INDEX(打卡匯入!$C$3:$C$2002,MATCH($C424&amp;"|"&amp;DAY($A424),打卡匯入!$E$3:$E$2002,0)),"")</f>
        <v/>
      </c>
      <c r="K424" s="80">
        <f>IFERROR(INDEX(打卡匯入!$D$3:$D$2002,MATCH($C424&amp;"|"&amp;DAY($A424),打卡匯入!$E$3:$E$2002,0)),"")</f>
        <v/>
      </c>
      <c r="L424" s="81">
        <f>IF(OR($J424="",$K424=""),"",IFERROR(INDEX(設定!$F$6:$F$18,MATCH($G424,設定!$B$6:$B$18,0)),0))</f>
        <v/>
      </c>
      <c r="M424" s="82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1">
        <f>IF(OR($C424="",$H424="",$J424=""),0,IF(ROUND(($J424-$H424)*1440,0)&gt;設定!$C$42,ROUND(($J424-$H424)*1440,0),0))</f>
        <v/>
      </c>
      <c r="P424" s="81">
        <f>IF(OR($C424="",$I424="",$K424=""),0,IF(ROUND(($I424-$K424)*1440,0)&gt;設定!$C$42,ROUND(($I424-$K424)*1440,0),0))</f>
        <v/>
      </c>
      <c r="Q424" s="82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79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0">
        <f>IF($G425="","",IFERROR(INDEX(設定!$D$6:$D$18,MATCH($G425,設定!$B$6:$B$18,0)),""))</f>
        <v/>
      </c>
      <c r="I425" s="80">
        <f>IF($G425="","",IFERROR(INDEX(設定!$E$6:$E$18,MATCH($G425,設定!$B$6:$B$18,0)),""))</f>
        <v/>
      </c>
      <c r="J425" s="80">
        <f>IFERROR(INDEX(打卡匯入!$C$3:$C$2002,MATCH($C425&amp;"|"&amp;DAY($A425),打卡匯入!$E$3:$E$2002,0)),"")</f>
        <v/>
      </c>
      <c r="K425" s="80">
        <f>IFERROR(INDEX(打卡匯入!$D$3:$D$2002,MATCH($C425&amp;"|"&amp;DAY($A425),打卡匯入!$E$3:$E$2002,0)),"")</f>
        <v/>
      </c>
      <c r="L425" s="81">
        <f>IF(OR($J425="",$K425=""),"",IFERROR(INDEX(設定!$F$6:$F$18,MATCH($G425,設定!$B$6:$B$18,0)),0))</f>
        <v/>
      </c>
      <c r="M425" s="82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1">
        <f>IF(OR($C425="",$H425="",$J425=""),0,IF(ROUND(($J425-$H425)*1440,0)&gt;設定!$C$42,ROUND(($J425-$H425)*1440,0),0))</f>
        <v/>
      </c>
      <c r="P425" s="81">
        <f>IF(OR($C425="",$I425="",$K425=""),0,IF(ROUND(($I425-$K425)*1440,0)&gt;設定!$C$42,ROUND(($I425-$K425)*1440,0),0))</f>
        <v/>
      </c>
      <c r="Q425" s="82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79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0">
        <f>IF($G426="","",IFERROR(INDEX(設定!$D$6:$D$18,MATCH($G426,設定!$B$6:$B$18,0)),""))</f>
        <v/>
      </c>
      <c r="I426" s="80">
        <f>IF($G426="","",IFERROR(INDEX(設定!$E$6:$E$18,MATCH($G426,設定!$B$6:$B$18,0)),""))</f>
        <v/>
      </c>
      <c r="J426" s="80">
        <f>IFERROR(INDEX(打卡匯入!$C$3:$C$2002,MATCH($C426&amp;"|"&amp;DAY($A426),打卡匯入!$E$3:$E$2002,0)),"")</f>
        <v/>
      </c>
      <c r="K426" s="80">
        <f>IFERROR(INDEX(打卡匯入!$D$3:$D$2002,MATCH($C426&amp;"|"&amp;DAY($A426),打卡匯入!$E$3:$E$2002,0)),"")</f>
        <v/>
      </c>
      <c r="L426" s="81">
        <f>IF(OR($J426="",$K426=""),"",IFERROR(INDEX(設定!$F$6:$F$18,MATCH($G426,設定!$B$6:$B$18,0)),0))</f>
        <v/>
      </c>
      <c r="M426" s="82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1">
        <f>IF(OR($C426="",$H426="",$J426=""),0,IF(ROUND(($J426-$H426)*1440,0)&gt;設定!$C$42,ROUND(($J426-$H426)*1440,0),0))</f>
        <v/>
      </c>
      <c r="P426" s="81">
        <f>IF(OR($C426="",$I426="",$K426=""),0,IF(ROUND(($I426-$K426)*1440,0)&gt;設定!$C$42,ROUND(($I426-$K426)*1440,0),0))</f>
        <v/>
      </c>
      <c r="Q426" s="82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79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0">
        <f>IF($G427="","",IFERROR(INDEX(設定!$D$6:$D$18,MATCH($G427,設定!$B$6:$B$18,0)),""))</f>
        <v/>
      </c>
      <c r="I427" s="80">
        <f>IF($G427="","",IFERROR(INDEX(設定!$E$6:$E$18,MATCH($G427,設定!$B$6:$B$18,0)),""))</f>
        <v/>
      </c>
      <c r="J427" s="80">
        <f>IFERROR(INDEX(打卡匯入!$C$3:$C$2002,MATCH($C427&amp;"|"&amp;DAY($A427),打卡匯入!$E$3:$E$2002,0)),"")</f>
        <v/>
      </c>
      <c r="K427" s="80">
        <f>IFERROR(INDEX(打卡匯入!$D$3:$D$2002,MATCH($C427&amp;"|"&amp;DAY($A427),打卡匯入!$E$3:$E$2002,0)),"")</f>
        <v/>
      </c>
      <c r="L427" s="81">
        <f>IF(OR($J427="",$K427=""),"",IFERROR(INDEX(設定!$F$6:$F$18,MATCH($G427,設定!$B$6:$B$18,0)),0))</f>
        <v/>
      </c>
      <c r="M427" s="82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1">
        <f>IF(OR($C427="",$H427="",$J427=""),0,IF(ROUND(($J427-$H427)*1440,0)&gt;設定!$C$42,ROUND(($J427-$H427)*1440,0),0))</f>
        <v/>
      </c>
      <c r="P427" s="81">
        <f>IF(OR($C427="",$I427="",$K427=""),0,IF(ROUND(($I427-$K427)*1440,0)&gt;設定!$C$42,ROUND(($I427-$K427)*1440,0),0))</f>
        <v/>
      </c>
      <c r="Q427" s="82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79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0">
        <f>IF($G428="","",IFERROR(INDEX(設定!$D$6:$D$18,MATCH($G428,設定!$B$6:$B$18,0)),""))</f>
        <v/>
      </c>
      <c r="I428" s="80">
        <f>IF($G428="","",IFERROR(INDEX(設定!$E$6:$E$18,MATCH($G428,設定!$B$6:$B$18,0)),""))</f>
        <v/>
      </c>
      <c r="J428" s="80">
        <f>IFERROR(INDEX(打卡匯入!$C$3:$C$2002,MATCH($C428&amp;"|"&amp;DAY($A428),打卡匯入!$E$3:$E$2002,0)),"")</f>
        <v/>
      </c>
      <c r="K428" s="80">
        <f>IFERROR(INDEX(打卡匯入!$D$3:$D$2002,MATCH($C428&amp;"|"&amp;DAY($A428),打卡匯入!$E$3:$E$2002,0)),"")</f>
        <v/>
      </c>
      <c r="L428" s="81">
        <f>IF(OR($J428="",$K428=""),"",IFERROR(INDEX(設定!$F$6:$F$18,MATCH($G428,設定!$B$6:$B$18,0)),0))</f>
        <v/>
      </c>
      <c r="M428" s="82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1">
        <f>IF(OR($C428="",$H428="",$J428=""),0,IF(ROUND(($J428-$H428)*1440,0)&gt;設定!$C$42,ROUND(($J428-$H428)*1440,0),0))</f>
        <v/>
      </c>
      <c r="P428" s="81">
        <f>IF(OR($C428="",$I428="",$K428=""),0,IF(ROUND(($I428-$K428)*1440,0)&gt;設定!$C$42,ROUND(($I428-$K428)*1440,0),0))</f>
        <v/>
      </c>
      <c r="Q428" s="82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79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0">
        <f>IF($G429="","",IFERROR(INDEX(設定!$D$6:$D$18,MATCH($G429,設定!$B$6:$B$18,0)),""))</f>
        <v/>
      </c>
      <c r="I429" s="80">
        <f>IF($G429="","",IFERROR(INDEX(設定!$E$6:$E$18,MATCH($G429,設定!$B$6:$B$18,0)),""))</f>
        <v/>
      </c>
      <c r="J429" s="80">
        <f>IFERROR(INDEX(打卡匯入!$C$3:$C$2002,MATCH($C429&amp;"|"&amp;DAY($A429),打卡匯入!$E$3:$E$2002,0)),"")</f>
        <v/>
      </c>
      <c r="K429" s="80">
        <f>IFERROR(INDEX(打卡匯入!$D$3:$D$2002,MATCH($C429&amp;"|"&amp;DAY($A429),打卡匯入!$E$3:$E$2002,0)),"")</f>
        <v/>
      </c>
      <c r="L429" s="81">
        <f>IF(OR($J429="",$K429=""),"",IFERROR(INDEX(設定!$F$6:$F$18,MATCH($G429,設定!$B$6:$B$18,0)),0))</f>
        <v/>
      </c>
      <c r="M429" s="82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1">
        <f>IF(OR($C429="",$H429="",$J429=""),0,IF(ROUND(($J429-$H429)*1440,0)&gt;設定!$C$42,ROUND(($J429-$H429)*1440,0),0))</f>
        <v/>
      </c>
      <c r="P429" s="81">
        <f>IF(OR($C429="",$I429="",$K429=""),0,IF(ROUND(($I429-$K429)*1440,0)&gt;設定!$C$42,ROUND(($I429-$K429)*1440,0),0))</f>
        <v/>
      </c>
      <c r="Q429" s="82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79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0">
        <f>IF($G430="","",IFERROR(INDEX(設定!$D$6:$D$18,MATCH($G430,設定!$B$6:$B$18,0)),""))</f>
        <v/>
      </c>
      <c r="I430" s="80">
        <f>IF($G430="","",IFERROR(INDEX(設定!$E$6:$E$18,MATCH($G430,設定!$B$6:$B$18,0)),""))</f>
        <v/>
      </c>
      <c r="J430" s="80">
        <f>IFERROR(INDEX(打卡匯入!$C$3:$C$2002,MATCH($C430&amp;"|"&amp;DAY($A430),打卡匯入!$E$3:$E$2002,0)),"")</f>
        <v/>
      </c>
      <c r="K430" s="80">
        <f>IFERROR(INDEX(打卡匯入!$D$3:$D$2002,MATCH($C430&amp;"|"&amp;DAY($A430),打卡匯入!$E$3:$E$2002,0)),"")</f>
        <v/>
      </c>
      <c r="L430" s="81">
        <f>IF(OR($J430="",$K430=""),"",IFERROR(INDEX(設定!$F$6:$F$18,MATCH($G430,設定!$B$6:$B$18,0)),0))</f>
        <v/>
      </c>
      <c r="M430" s="82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1">
        <f>IF(OR($C430="",$H430="",$J430=""),0,IF(ROUND(($J430-$H430)*1440,0)&gt;設定!$C$42,ROUND(($J430-$H430)*1440,0),0))</f>
        <v/>
      </c>
      <c r="P430" s="81">
        <f>IF(OR($C430="",$I430="",$K430=""),0,IF(ROUND(($I430-$K430)*1440,0)&gt;設定!$C$42,ROUND(($I430-$K430)*1440,0),0))</f>
        <v/>
      </c>
      <c r="Q430" s="82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79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0">
        <f>IF($G431="","",IFERROR(INDEX(設定!$D$6:$D$18,MATCH($G431,設定!$B$6:$B$18,0)),""))</f>
        <v/>
      </c>
      <c r="I431" s="80">
        <f>IF($G431="","",IFERROR(INDEX(設定!$E$6:$E$18,MATCH($G431,設定!$B$6:$B$18,0)),""))</f>
        <v/>
      </c>
      <c r="J431" s="80">
        <f>IFERROR(INDEX(打卡匯入!$C$3:$C$2002,MATCH($C431&amp;"|"&amp;DAY($A431),打卡匯入!$E$3:$E$2002,0)),"")</f>
        <v/>
      </c>
      <c r="K431" s="80">
        <f>IFERROR(INDEX(打卡匯入!$D$3:$D$2002,MATCH($C431&amp;"|"&amp;DAY($A431),打卡匯入!$E$3:$E$2002,0)),"")</f>
        <v/>
      </c>
      <c r="L431" s="81">
        <f>IF(OR($J431="",$K431=""),"",IFERROR(INDEX(設定!$F$6:$F$18,MATCH($G431,設定!$B$6:$B$18,0)),0))</f>
        <v/>
      </c>
      <c r="M431" s="82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1">
        <f>IF(OR($C431="",$H431="",$J431=""),0,IF(ROUND(($J431-$H431)*1440,0)&gt;設定!$C$42,ROUND(($J431-$H431)*1440,0),0))</f>
        <v/>
      </c>
      <c r="P431" s="81">
        <f>IF(OR($C431="",$I431="",$K431=""),0,IF(ROUND(($I431-$K431)*1440,0)&gt;設定!$C$42,ROUND(($I431-$K431)*1440,0),0))</f>
        <v/>
      </c>
      <c r="Q431" s="82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79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0">
        <f>IF($G432="","",IFERROR(INDEX(設定!$D$6:$D$18,MATCH($G432,設定!$B$6:$B$18,0)),""))</f>
        <v/>
      </c>
      <c r="I432" s="80">
        <f>IF($G432="","",IFERROR(INDEX(設定!$E$6:$E$18,MATCH($G432,設定!$B$6:$B$18,0)),""))</f>
        <v/>
      </c>
      <c r="J432" s="80">
        <f>IFERROR(INDEX(打卡匯入!$C$3:$C$2002,MATCH($C432&amp;"|"&amp;DAY($A432),打卡匯入!$E$3:$E$2002,0)),"")</f>
        <v/>
      </c>
      <c r="K432" s="80">
        <f>IFERROR(INDEX(打卡匯入!$D$3:$D$2002,MATCH($C432&amp;"|"&amp;DAY($A432),打卡匯入!$E$3:$E$2002,0)),"")</f>
        <v/>
      </c>
      <c r="L432" s="81">
        <f>IF(OR($J432="",$K432=""),"",IFERROR(INDEX(設定!$F$6:$F$18,MATCH($G432,設定!$B$6:$B$18,0)),0))</f>
        <v/>
      </c>
      <c r="M432" s="82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1">
        <f>IF(OR($C432="",$H432="",$J432=""),0,IF(ROUND(($J432-$H432)*1440,0)&gt;設定!$C$42,ROUND(($J432-$H432)*1440,0),0))</f>
        <v/>
      </c>
      <c r="P432" s="81">
        <f>IF(OR($C432="",$I432="",$K432=""),0,IF(ROUND(($I432-$K432)*1440,0)&gt;設定!$C$42,ROUND(($I432-$K432)*1440,0),0))</f>
        <v/>
      </c>
      <c r="Q432" s="82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79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0">
        <f>IF($G433="","",IFERROR(INDEX(設定!$D$6:$D$18,MATCH($G433,設定!$B$6:$B$18,0)),""))</f>
        <v/>
      </c>
      <c r="I433" s="80">
        <f>IF($G433="","",IFERROR(INDEX(設定!$E$6:$E$18,MATCH($G433,設定!$B$6:$B$18,0)),""))</f>
        <v/>
      </c>
      <c r="J433" s="80">
        <f>IFERROR(INDEX(打卡匯入!$C$3:$C$2002,MATCH($C433&amp;"|"&amp;DAY($A433),打卡匯入!$E$3:$E$2002,0)),"")</f>
        <v/>
      </c>
      <c r="K433" s="80">
        <f>IFERROR(INDEX(打卡匯入!$D$3:$D$2002,MATCH($C433&amp;"|"&amp;DAY($A433),打卡匯入!$E$3:$E$2002,0)),"")</f>
        <v/>
      </c>
      <c r="L433" s="81">
        <f>IF(OR($J433="",$K433=""),"",IFERROR(INDEX(設定!$F$6:$F$18,MATCH($G433,設定!$B$6:$B$18,0)),0))</f>
        <v/>
      </c>
      <c r="M433" s="82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1">
        <f>IF(OR($C433="",$H433="",$J433=""),0,IF(ROUND(($J433-$H433)*1440,0)&gt;設定!$C$42,ROUND(($J433-$H433)*1440,0),0))</f>
        <v/>
      </c>
      <c r="P433" s="81">
        <f>IF(OR($C433="",$I433="",$K433=""),0,IF(ROUND(($I433-$K433)*1440,0)&gt;設定!$C$42,ROUND(($I433-$K433)*1440,0),0))</f>
        <v/>
      </c>
      <c r="Q433" s="82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79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0">
        <f>IF($G434="","",IFERROR(INDEX(設定!$D$6:$D$18,MATCH($G434,設定!$B$6:$B$18,0)),""))</f>
        <v/>
      </c>
      <c r="I434" s="80">
        <f>IF($G434="","",IFERROR(INDEX(設定!$E$6:$E$18,MATCH($G434,設定!$B$6:$B$18,0)),""))</f>
        <v/>
      </c>
      <c r="J434" s="80">
        <f>IFERROR(INDEX(打卡匯入!$C$3:$C$2002,MATCH($C434&amp;"|"&amp;DAY($A434),打卡匯入!$E$3:$E$2002,0)),"")</f>
        <v/>
      </c>
      <c r="K434" s="80">
        <f>IFERROR(INDEX(打卡匯入!$D$3:$D$2002,MATCH($C434&amp;"|"&amp;DAY($A434),打卡匯入!$E$3:$E$2002,0)),"")</f>
        <v/>
      </c>
      <c r="L434" s="81">
        <f>IF(OR($J434="",$K434=""),"",IFERROR(INDEX(設定!$F$6:$F$18,MATCH($G434,設定!$B$6:$B$18,0)),0))</f>
        <v/>
      </c>
      <c r="M434" s="82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1">
        <f>IF(OR($C434="",$H434="",$J434=""),0,IF(ROUND(($J434-$H434)*1440,0)&gt;設定!$C$42,ROUND(($J434-$H434)*1440,0),0))</f>
        <v/>
      </c>
      <c r="P434" s="81">
        <f>IF(OR($C434="",$I434="",$K434=""),0,IF(ROUND(($I434-$K434)*1440,0)&gt;設定!$C$42,ROUND(($I434-$K434)*1440,0),0))</f>
        <v/>
      </c>
      <c r="Q434" s="82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79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0">
        <f>IF($G435="","",IFERROR(INDEX(設定!$D$6:$D$18,MATCH($G435,設定!$B$6:$B$18,0)),""))</f>
        <v/>
      </c>
      <c r="I435" s="80">
        <f>IF($G435="","",IFERROR(INDEX(設定!$E$6:$E$18,MATCH($G435,設定!$B$6:$B$18,0)),""))</f>
        <v/>
      </c>
      <c r="J435" s="80">
        <f>IFERROR(INDEX(打卡匯入!$C$3:$C$2002,MATCH($C435&amp;"|"&amp;DAY($A435),打卡匯入!$E$3:$E$2002,0)),"")</f>
        <v/>
      </c>
      <c r="K435" s="80">
        <f>IFERROR(INDEX(打卡匯入!$D$3:$D$2002,MATCH($C435&amp;"|"&amp;DAY($A435),打卡匯入!$E$3:$E$2002,0)),"")</f>
        <v/>
      </c>
      <c r="L435" s="81">
        <f>IF(OR($J435="",$K435=""),"",IFERROR(INDEX(設定!$F$6:$F$18,MATCH($G435,設定!$B$6:$B$18,0)),0))</f>
        <v/>
      </c>
      <c r="M435" s="82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1">
        <f>IF(OR($C435="",$H435="",$J435=""),0,IF(ROUND(($J435-$H435)*1440,0)&gt;設定!$C$42,ROUND(($J435-$H435)*1440,0),0))</f>
        <v/>
      </c>
      <c r="P435" s="81">
        <f>IF(OR($C435="",$I435="",$K435=""),0,IF(ROUND(($I435-$K435)*1440,0)&gt;設定!$C$42,ROUND(($I435-$K435)*1440,0),0))</f>
        <v/>
      </c>
      <c r="Q435" s="82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79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0">
        <f>IF($G436="","",IFERROR(INDEX(設定!$D$6:$D$18,MATCH($G436,設定!$B$6:$B$18,0)),""))</f>
        <v/>
      </c>
      <c r="I436" s="80">
        <f>IF($G436="","",IFERROR(INDEX(設定!$E$6:$E$18,MATCH($G436,設定!$B$6:$B$18,0)),""))</f>
        <v/>
      </c>
      <c r="J436" s="80">
        <f>IFERROR(INDEX(打卡匯入!$C$3:$C$2002,MATCH($C436&amp;"|"&amp;DAY($A436),打卡匯入!$E$3:$E$2002,0)),"")</f>
        <v/>
      </c>
      <c r="K436" s="80">
        <f>IFERROR(INDEX(打卡匯入!$D$3:$D$2002,MATCH($C436&amp;"|"&amp;DAY($A436),打卡匯入!$E$3:$E$2002,0)),"")</f>
        <v/>
      </c>
      <c r="L436" s="81">
        <f>IF(OR($J436="",$K436=""),"",IFERROR(INDEX(設定!$F$6:$F$18,MATCH($G436,設定!$B$6:$B$18,0)),0))</f>
        <v/>
      </c>
      <c r="M436" s="82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1">
        <f>IF(OR($C436="",$H436="",$J436=""),0,IF(ROUND(($J436-$H436)*1440,0)&gt;設定!$C$42,ROUND(($J436-$H436)*1440,0),0))</f>
        <v/>
      </c>
      <c r="P436" s="81">
        <f>IF(OR($C436="",$I436="",$K436=""),0,IF(ROUND(($I436-$K436)*1440,0)&gt;設定!$C$42,ROUND(($I436-$K436)*1440,0),0))</f>
        <v/>
      </c>
      <c r="Q436" s="82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79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0">
        <f>IF($G437="","",IFERROR(INDEX(設定!$D$6:$D$18,MATCH($G437,設定!$B$6:$B$18,0)),""))</f>
        <v/>
      </c>
      <c r="I437" s="80">
        <f>IF($G437="","",IFERROR(INDEX(設定!$E$6:$E$18,MATCH($G437,設定!$B$6:$B$18,0)),""))</f>
        <v/>
      </c>
      <c r="J437" s="80">
        <f>IFERROR(INDEX(打卡匯入!$C$3:$C$2002,MATCH($C437&amp;"|"&amp;DAY($A437),打卡匯入!$E$3:$E$2002,0)),"")</f>
        <v/>
      </c>
      <c r="K437" s="80">
        <f>IFERROR(INDEX(打卡匯入!$D$3:$D$2002,MATCH($C437&amp;"|"&amp;DAY($A437),打卡匯入!$E$3:$E$2002,0)),"")</f>
        <v/>
      </c>
      <c r="L437" s="81">
        <f>IF(OR($J437="",$K437=""),"",IFERROR(INDEX(設定!$F$6:$F$18,MATCH($G437,設定!$B$6:$B$18,0)),0))</f>
        <v/>
      </c>
      <c r="M437" s="82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1">
        <f>IF(OR($C437="",$H437="",$J437=""),0,IF(ROUND(($J437-$H437)*1440,0)&gt;設定!$C$42,ROUND(($J437-$H437)*1440,0),0))</f>
        <v/>
      </c>
      <c r="P437" s="81">
        <f>IF(OR($C437="",$I437="",$K437=""),0,IF(ROUND(($I437-$K437)*1440,0)&gt;設定!$C$42,ROUND(($I437-$K437)*1440,0),0))</f>
        <v/>
      </c>
      <c r="Q437" s="82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79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0">
        <f>IF($G438="","",IFERROR(INDEX(設定!$D$6:$D$18,MATCH($G438,設定!$B$6:$B$18,0)),""))</f>
        <v/>
      </c>
      <c r="I438" s="80">
        <f>IF($G438="","",IFERROR(INDEX(設定!$E$6:$E$18,MATCH($G438,設定!$B$6:$B$18,0)),""))</f>
        <v/>
      </c>
      <c r="J438" s="80">
        <f>IFERROR(INDEX(打卡匯入!$C$3:$C$2002,MATCH($C438&amp;"|"&amp;DAY($A438),打卡匯入!$E$3:$E$2002,0)),"")</f>
        <v/>
      </c>
      <c r="K438" s="80">
        <f>IFERROR(INDEX(打卡匯入!$D$3:$D$2002,MATCH($C438&amp;"|"&amp;DAY($A438),打卡匯入!$E$3:$E$2002,0)),"")</f>
        <v/>
      </c>
      <c r="L438" s="81">
        <f>IF(OR($J438="",$K438=""),"",IFERROR(INDEX(設定!$F$6:$F$18,MATCH($G438,設定!$B$6:$B$18,0)),0))</f>
        <v/>
      </c>
      <c r="M438" s="82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1">
        <f>IF(OR($C438="",$H438="",$J438=""),0,IF(ROUND(($J438-$H438)*1440,0)&gt;設定!$C$42,ROUND(($J438-$H438)*1440,0),0))</f>
        <v/>
      </c>
      <c r="P438" s="81">
        <f>IF(OR($C438="",$I438="",$K438=""),0,IF(ROUND(($I438-$K438)*1440,0)&gt;設定!$C$42,ROUND(($I438-$K438)*1440,0),0))</f>
        <v/>
      </c>
      <c r="Q438" s="82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79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0">
        <f>IF($G439="","",IFERROR(INDEX(設定!$D$6:$D$18,MATCH($G439,設定!$B$6:$B$18,0)),""))</f>
        <v/>
      </c>
      <c r="I439" s="80">
        <f>IF($G439="","",IFERROR(INDEX(設定!$E$6:$E$18,MATCH($G439,設定!$B$6:$B$18,0)),""))</f>
        <v/>
      </c>
      <c r="J439" s="80">
        <f>IFERROR(INDEX(打卡匯入!$C$3:$C$2002,MATCH($C439&amp;"|"&amp;DAY($A439),打卡匯入!$E$3:$E$2002,0)),"")</f>
        <v/>
      </c>
      <c r="K439" s="80">
        <f>IFERROR(INDEX(打卡匯入!$D$3:$D$2002,MATCH($C439&amp;"|"&amp;DAY($A439),打卡匯入!$E$3:$E$2002,0)),"")</f>
        <v/>
      </c>
      <c r="L439" s="81">
        <f>IF(OR($J439="",$K439=""),"",IFERROR(INDEX(設定!$F$6:$F$18,MATCH($G439,設定!$B$6:$B$18,0)),0))</f>
        <v/>
      </c>
      <c r="M439" s="82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1">
        <f>IF(OR($C439="",$H439="",$J439=""),0,IF(ROUND(($J439-$H439)*1440,0)&gt;設定!$C$42,ROUND(($J439-$H439)*1440,0),0))</f>
        <v/>
      </c>
      <c r="P439" s="81">
        <f>IF(OR($C439="",$I439="",$K439=""),0,IF(ROUND(($I439-$K439)*1440,0)&gt;設定!$C$42,ROUND(($I439-$K439)*1440,0),0))</f>
        <v/>
      </c>
      <c r="Q439" s="82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79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0">
        <f>IF($G440="","",IFERROR(INDEX(設定!$D$6:$D$18,MATCH($G440,設定!$B$6:$B$18,0)),""))</f>
        <v/>
      </c>
      <c r="I440" s="80">
        <f>IF($G440="","",IFERROR(INDEX(設定!$E$6:$E$18,MATCH($G440,設定!$B$6:$B$18,0)),""))</f>
        <v/>
      </c>
      <c r="J440" s="80">
        <f>IFERROR(INDEX(打卡匯入!$C$3:$C$2002,MATCH($C440&amp;"|"&amp;DAY($A440),打卡匯入!$E$3:$E$2002,0)),"")</f>
        <v/>
      </c>
      <c r="K440" s="80">
        <f>IFERROR(INDEX(打卡匯入!$D$3:$D$2002,MATCH($C440&amp;"|"&amp;DAY($A440),打卡匯入!$E$3:$E$2002,0)),"")</f>
        <v/>
      </c>
      <c r="L440" s="81">
        <f>IF(OR($J440="",$K440=""),"",IFERROR(INDEX(設定!$F$6:$F$18,MATCH($G440,設定!$B$6:$B$18,0)),0))</f>
        <v/>
      </c>
      <c r="M440" s="82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1">
        <f>IF(OR($C440="",$H440="",$J440=""),0,IF(ROUND(($J440-$H440)*1440,0)&gt;設定!$C$42,ROUND(($J440-$H440)*1440,0),0))</f>
        <v/>
      </c>
      <c r="P440" s="81">
        <f>IF(OR($C440="",$I440="",$K440=""),0,IF(ROUND(($I440-$K440)*1440,0)&gt;設定!$C$42,ROUND(($I440-$K440)*1440,0),0))</f>
        <v/>
      </c>
      <c r="Q440" s="82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79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0">
        <f>IF($G441="","",IFERROR(INDEX(設定!$D$6:$D$18,MATCH($G441,設定!$B$6:$B$18,0)),""))</f>
        <v/>
      </c>
      <c r="I441" s="80">
        <f>IF($G441="","",IFERROR(INDEX(設定!$E$6:$E$18,MATCH($G441,設定!$B$6:$B$18,0)),""))</f>
        <v/>
      </c>
      <c r="J441" s="80">
        <f>IFERROR(INDEX(打卡匯入!$C$3:$C$2002,MATCH($C441&amp;"|"&amp;DAY($A441),打卡匯入!$E$3:$E$2002,0)),"")</f>
        <v/>
      </c>
      <c r="K441" s="80">
        <f>IFERROR(INDEX(打卡匯入!$D$3:$D$2002,MATCH($C441&amp;"|"&amp;DAY($A441),打卡匯入!$E$3:$E$2002,0)),"")</f>
        <v/>
      </c>
      <c r="L441" s="81">
        <f>IF(OR($J441="",$K441=""),"",IFERROR(INDEX(設定!$F$6:$F$18,MATCH($G441,設定!$B$6:$B$18,0)),0))</f>
        <v/>
      </c>
      <c r="M441" s="82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1">
        <f>IF(OR($C441="",$H441="",$J441=""),0,IF(ROUND(($J441-$H441)*1440,0)&gt;設定!$C$42,ROUND(($J441-$H441)*1440,0),0))</f>
        <v/>
      </c>
      <c r="P441" s="81">
        <f>IF(OR($C441="",$I441="",$K441=""),0,IF(ROUND(($I441-$K441)*1440,0)&gt;設定!$C$42,ROUND(($I441-$K441)*1440,0),0))</f>
        <v/>
      </c>
      <c r="Q441" s="82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79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0">
        <f>IF($G442="","",IFERROR(INDEX(設定!$D$6:$D$18,MATCH($G442,設定!$B$6:$B$18,0)),""))</f>
        <v/>
      </c>
      <c r="I442" s="80">
        <f>IF($G442="","",IFERROR(INDEX(設定!$E$6:$E$18,MATCH($G442,設定!$B$6:$B$18,0)),""))</f>
        <v/>
      </c>
      <c r="J442" s="80">
        <f>IFERROR(INDEX(打卡匯入!$C$3:$C$2002,MATCH($C442&amp;"|"&amp;DAY($A442),打卡匯入!$E$3:$E$2002,0)),"")</f>
        <v/>
      </c>
      <c r="K442" s="80">
        <f>IFERROR(INDEX(打卡匯入!$D$3:$D$2002,MATCH($C442&amp;"|"&amp;DAY($A442),打卡匯入!$E$3:$E$2002,0)),"")</f>
        <v/>
      </c>
      <c r="L442" s="81">
        <f>IF(OR($J442="",$K442=""),"",IFERROR(INDEX(設定!$F$6:$F$18,MATCH($G442,設定!$B$6:$B$18,0)),0))</f>
        <v/>
      </c>
      <c r="M442" s="82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1">
        <f>IF(OR($C442="",$H442="",$J442=""),0,IF(ROUND(($J442-$H442)*1440,0)&gt;設定!$C$42,ROUND(($J442-$H442)*1440,0),0))</f>
        <v/>
      </c>
      <c r="P442" s="81">
        <f>IF(OR($C442="",$I442="",$K442=""),0,IF(ROUND(($I442-$K442)*1440,0)&gt;設定!$C$42,ROUND(($I442-$K442)*1440,0),0))</f>
        <v/>
      </c>
      <c r="Q442" s="82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79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0">
        <f>IF($G443="","",IFERROR(INDEX(設定!$D$6:$D$18,MATCH($G443,設定!$B$6:$B$18,0)),""))</f>
        <v/>
      </c>
      <c r="I443" s="80">
        <f>IF($G443="","",IFERROR(INDEX(設定!$E$6:$E$18,MATCH($G443,設定!$B$6:$B$18,0)),""))</f>
        <v/>
      </c>
      <c r="J443" s="80">
        <f>IFERROR(INDEX(打卡匯入!$C$3:$C$2002,MATCH($C443&amp;"|"&amp;DAY($A443),打卡匯入!$E$3:$E$2002,0)),"")</f>
        <v/>
      </c>
      <c r="K443" s="80">
        <f>IFERROR(INDEX(打卡匯入!$D$3:$D$2002,MATCH($C443&amp;"|"&amp;DAY($A443),打卡匯入!$E$3:$E$2002,0)),"")</f>
        <v/>
      </c>
      <c r="L443" s="81">
        <f>IF(OR($J443="",$K443=""),"",IFERROR(INDEX(設定!$F$6:$F$18,MATCH($G443,設定!$B$6:$B$18,0)),0))</f>
        <v/>
      </c>
      <c r="M443" s="82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1">
        <f>IF(OR($C443="",$H443="",$J443=""),0,IF(ROUND(($J443-$H443)*1440,0)&gt;設定!$C$42,ROUND(($J443-$H443)*1440,0),0))</f>
        <v/>
      </c>
      <c r="P443" s="81">
        <f>IF(OR($C443="",$I443="",$K443=""),0,IF(ROUND(($I443-$K443)*1440,0)&gt;設定!$C$42,ROUND(($I443-$K443)*1440,0),0))</f>
        <v/>
      </c>
      <c r="Q443" s="82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79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0">
        <f>IF($G444="","",IFERROR(INDEX(設定!$D$6:$D$18,MATCH($G444,設定!$B$6:$B$18,0)),""))</f>
        <v/>
      </c>
      <c r="I444" s="80">
        <f>IF($G444="","",IFERROR(INDEX(設定!$E$6:$E$18,MATCH($G444,設定!$B$6:$B$18,0)),""))</f>
        <v/>
      </c>
      <c r="J444" s="80">
        <f>IFERROR(INDEX(打卡匯入!$C$3:$C$2002,MATCH($C444&amp;"|"&amp;DAY($A444),打卡匯入!$E$3:$E$2002,0)),"")</f>
        <v/>
      </c>
      <c r="K444" s="80">
        <f>IFERROR(INDEX(打卡匯入!$D$3:$D$2002,MATCH($C444&amp;"|"&amp;DAY($A444),打卡匯入!$E$3:$E$2002,0)),"")</f>
        <v/>
      </c>
      <c r="L444" s="81">
        <f>IF(OR($J444="",$K444=""),"",IFERROR(INDEX(設定!$F$6:$F$18,MATCH($G444,設定!$B$6:$B$18,0)),0))</f>
        <v/>
      </c>
      <c r="M444" s="82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1">
        <f>IF(OR($C444="",$H444="",$J444=""),0,IF(ROUND(($J444-$H444)*1440,0)&gt;設定!$C$42,ROUND(($J444-$H444)*1440,0),0))</f>
        <v/>
      </c>
      <c r="P444" s="81">
        <f>IF(OR($C444="",$I444="",$K444=""),0,IF(ROUND(($I444-$K444)*1440,0)&gt;設定!$C$42,ROUND(($I444-$K444)*1440,0),0))</f>
        <v/>
      </c>
      <c r="Q444" s="82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79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0">
        <f>IF($G445="","",IFERROR(INDEX(設定!$D$6:$D$18,MATCH($G445,設定!$B$6:$B$18,0)),""))</f>
        <v/>
      </c>
      <c r="I445" s="80">
        <f>IF($G445="","",IFERROR(INDEX(設定!$E$6:$E$18,MATCH($G445,設定!$B$6:$B$18,0)),""))</f>
        <v/>
      </c>
      <c r="J445" s="80">
        <f>IFERROR(INDEX(打卡匯入!$C$3:$C$2002,MATCH($C445&amp;"|"&amp;DAY($A445),打卡匯入!$E$3:$E$2002,0)),"")</f>
        <v/>
      </c>
      <c r="K445" s="80">
        <f>IFERROR(INDEX(打卡匯入!$D$3:$D$2002,MATCH($C445&amp;"|"&amp;DAY($A445),打卡匯入!$E$3:$E$2002,0)),"")</f>
        <v/>
      </c>
      <c r="L445" s="81">
        <f>IF(OR($J445="",$K445=""),"",IFERROR(INDEX(設定!$F$6:$F$18,MATCH($G445,設定!$B$6:$B$18,0)),0))</f>
        <v/>
      </c>
      <c r="M445" s="82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1">
        <f>IF(OR($C445="",$H445="",$J445=""),0,IF(ROUND(($J445-$H445)*1440,0)&gt;設定!$C$42,ROUND(($J445-$H445)*1440,0),0))</f>
        <v/>
      </c>
      <c r="P445" s="81">
        <f>IF(OR($C445="",$I445="",$K445=""),0,IF(ROUND(($I445-$K445)*1440,0)&gt;設定!$C$42,ROUND(($I445-$K445)*1440,0),0))</f>
        <v/>
      </c>
      <c r="Q445" s="82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79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0">
        <f>IF($G446="","",IFERROR(INDEX(設定!$D$6:$D$18,MATCH($G446,設定!$B$6:$B$18,0)),""))</f>
        <v/>
      </c>
      <c r="I446" s="80">
        <f>IF($G446="","",IFERROR(INDEX(設定!$E$6:$E$18,MATCH($G446,設定!$B$6:$B$18,0)),""))</f>
        <v/>
      </c>
      <c r="J446" s="80">
        <f>IFERROR(INDEX(打卡匯入!$C$3:$C$2002,MATCH($C446&amp;"|"&amp;DAY($A446),打卡匯入!$E$3:$E$2002,0)),"")</f>
        <v/>
      </c>
      <c r="K446" s="80">
        <f>IFERROR(INDEX(打卡匯入!$D$3:$D$2002,MATCH($C446&amp;"|"&amp;DAY($A446),打卡匯入!$E$3:$E$2002,0)),"")</f>
        <v/>
      </c>
      <c r="L446" s="81">
        <f>IF(OR($J446="",$K446=""),"",IFERROR(INDEX(設定!$F$6:$F$18,MATCH($G446,設定!$B$6:$B$18,0)),0))</f>
        <v/>
      </c>
      <c r="M446" s="82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1">
        <f>IF(OR($C446="",$H446="",$J446=""),0,IF(ROUND(($J446-$H446)*1440,0)&gt;設定!$C$42,ROUND(($J446-$H446)*1440,0),0))</f>
        <v/>
      </c>
      <c r="P446" s="81">
        <f>IF(OR($C446="",$I446="",$K446=""),0,IF(ROUND(($I446-$K446)*1440,0)&gt;設定!$C$42,ROUND(($I446-$K446)*1440,0),0))</f>
        <v/>
      </c>
      <c r="Q446" s="82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79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0">
        <f>IF($G447="","",IFERROR(INDEX(設定!$D$6:$D$18,MATCH($G447,設定!$B$6:$B$18,0)),""))</f>
        <v/>
      </c>
      <c r="I447" s="80">
        <f>IF($G447="","",IFERROR(INDEX(設定!$E$6:$E$18,MATCH($G447,設定!$B$6:$B$18,0)),""))</f>
        <v/>
      </c>
      <c r="J447" s="80">
        <f>IFERROR(INDEX(打卡匯入!$C$3:$C$2002,MATCH($C447&amp;"|"&amp;DAY($A447),打卡匯入!$E$3:$E$2002,0)),"")</f>
        <v/>
      </c>
      <c r="K447" s="80">
        <f>IFERROR(INDEX(打卡匯入!$D$3:$D$2002,MATCH($C447&amp;"|"&amp;DAY($A447),打卡匯入!$E$3:$E$2002,0)),"")</f>
        <v/>
      </c>
      <c r="L447" s="81">
        <f>IF(OR($J447="",$K447=""),"",IFERROR(INDEX(設定!$F$6:$F$18,MATCH($G447,設定!$B$6:$B$18,0)),0))</f>
        <v/>
      </c>
      <c r="M447" s="82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1">
        <f>IF(OR($C447="",$H447="",$J447=""),0,IF(ROUND(($J447-$H447)*1440,0)&gt;設定!$C$42,ROUND(($J447-$H447)*1440,0),0))</f>
        <v/>
      </c>
      <c r="P447" s="81">
        <f>IF(OR($C447="",$I447="",$K447=""),0,IF(ROUND(($I447-$K447)*1440,0)&gt;設定!$C$42,ROUND(($I447-$K447)*1440,0),0))</f>
        <v/>
      </c>
      <c r="Q447" s="82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79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0">
        <f>IF($G448="","",IFERROR(INDEX(設定!$D$6:$D$18,MATCH($G448,設定!$B$6:$B$18,0)),""))</f>
        <v/>
      </c>
      <c r="I448" s="80">
        <f>IF($G448="","",IFERROR(INDEX(設定!$E$6:$E$18,MATCH($G448,設定!$B$6:$B$18,0)),""))</f>
        <v/>
      </c>
      <c r="J448" s="80">
        <f>IFERROR(INDEX(打卡匯入!$C$3:$C$2002,MATCH($C448&amp;"|"&amp;DAY($A448),打卡匯入!$E$3:$E$2002,0)),"")</f>
        <v/>
      </c>
      <c r="K448" s="80">
        <f>IFERROR(INDEX(打卡匯入!$D$3:$D$2002,MATCH($C448&amp;"|"&amp;DAY($A448),打卡匯入!$E$3:$E$2002,0)),"")</f>
        <v/>
      </c>
      <c r="L448" s="81">
        <f>IF(OR($J448="",$K448=""),"",IFERROR(INDEX(設定!$F$6:$F$18,MATCH($G448,設定!$B$6:$B$18,0)),0))</f>
        <v/>
      </c>
      <c r="M448" s="82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1">
        <f>IF(OR($C448="",$H448="",$J448=""),0,IF(ROUND(($J448-$H448)*1440,0)&gt;設定!$C$42,ROUND(($J448-$H448)*1440,0),0))</f>
        <v/>
      </c>
      <c r="P448" s="81">
        <f>IF(OR($C448="",$I448="",$K448=""),0,IF(ROUND(($I448-$K448)*1440,0)&gt;設定!$C$42,ROUND(($I448-$K448)*1440,0),0))</f>
        <v/>
      </c>
      <c r="Q448" s="82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79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0">
        <f>IF($G449="","",IFERROR(INDEX(設定!$D$6:$D$18,MATCH($G449,設定!$B$6:$B$18,0)),""))</f>
        <v/>
      </c>
      <c r="I449" s="80">
        <f>IF($G449="","",IFERROR(INDEX(設定!$E$6:$E$18,MATCH($G449,設定!$B$6:$B$18,0)),""))</f>
        <v/>
      </c>
      <c r="J449" s="80">
        <f>IFERROR(INDEX(打卡匯入!$C$3:$C$2002,MATCH($C449&amp;"|"&amp;DAY($A449),打卡匯入!$E$3:$E$2002,0)),"")</f>
        <v/>
      </c>
      <c r="K449" s="80">
        <f>IFERROR(INDEX(打卡匯入!$D$3:$D$2002,MATCH($C449&amp;"|"&amp;DAY($A449),打卡匯入!$E$3:$E$2002,0)),"")</f>
        <v/>
      </c>
      <c r="L449" s="81">
        <f>IF(OR($J449="",$K449=""),"",IFERROR(INDEX(設定!$F$6:$F$18,MATCH($G449,設定!$B$6:$B$18,0)),0))</f>
        <v/>
      </c>
      <c r="M449" s="82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1">
        <f>IF(OR($C449="",$H449="",$J449=""),0,IF(ROUND(($J449-$H449)*1440,0)&gt;設定!$C$42,ROUND(($J449-$H449)*1440,0),0))</f>
        <v/>
      </c>
      <c r="P449" s="81">
        <f>IF(OR($C449="",$I449="",$K449=""),0,IF(ROUND(($I449-$K449)*1440,0)&gt;設定!$C$42,ROUND(($I449-$K449)*1440,0),0))</f>
        <v/>
      </c>
      <c r="Q449" s="82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79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0">
        <f>IF($G450="","",IFERROR(INDEX(設定!$D$6:$D$18,MATCH($G450,設定!$B$6:$B$18,0)),""))</f>
        <v/>
      </c>
      <c r="I450" s="80">
        <f>IF($G450="","",IFERROR(INDEX(設定!$E$6:$E$18,MATCH($G450,設定!$B$6:$B$18,0)),""))</f>
        <v/>
      </c>
      <c r="J450" s="80">
        <f>IFERROR(INDEX(打卡匯入!$C$3:$C$2002,MATCH($C450&amp;"|"&amp;DAY($A450),打卡匯入!$E$3:$E$2002,0)),"")</f>
        <v/>
      </c>
      <c r="K450" s="80">
        <f>IFERROR(INDEX(打卡匯入!$D$3:$D$2002,MATCH($C450&amp;"|"&amp;DAY($A450),打卡匯入!$E$3:$E$2002,0)),"")</f>
        <v/>
      </c>
      <c r="L450" s="81">
        <f>IF(OR($J450="",$K450=""),"",IFERROR(INDEX(設定!$F$6:$F$18,MATCH($G450,設定!$B$6:$B$18,0)),0))</f>
        <v/>
      </c>
      <c r="M450" s="82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1">
        <f>IF(OR($C450="",$H450="",$J450=""),0,IF(ROUND(($J450-$H450)*1440,0)&gt;設定!$C$42,ROUND(($J450-$H450)*1440,0),0))</f>
        <v/>
      </c>
      <c r="P450" s="81">
        <f>IF(OR($C450="",$I450="",$K450=""),0,IF(ROUND(($I450-$K450)*1440,0)&gt;設定!$C$42,ROUND(($I450-$K450)*1440,0),0))</f>
        <v/>
      </c>
      <c r="Q450" s="82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79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0">
        <f>IF($G451="","",IFERROR(INDEX(設定!$D$6:$D$18,MATCH($G451,設定!$B$6:$B$18,0)),""))</f>
        <v/>
      </c>
      <c r="I451" s="80">
        <f>IF($G451="","",IFERROR(INDEX(設定!$E$6:$E$18,MATCH($G451,設定!$B$6:$B$18,0)),""))</f>
        <v/>
      </c>
      <c r="J451" s="80">
        <f>IFERROR(INDEX(打卡匯入!$C$3:$C$2002,MATCH($C451&amp;"|"&amp;DAY($A451),打卡匯入!$E$3:$E$2002,0)),"")</f>
        <v/>
      </c>
      <c r="K451" s="80">
        <f>IFERROR(INDEX(打卡匯入!$D$3:$D$2002,MATCH($C451&amp;"|"&amp;DAY($A451),打卡匯入!$E$3:$E$2002,0)),"")</f>
        <v/>
      </c>
      <c r="L451" s="81">
        <f>IF(OR($J451="",$K451=""),"",IFERROR(INDEX(設定!$F$6:$F$18,MATCH($G451,設定!$B$6:$B$18,0)),0))</f>
        <v/>
      </c>
      <c r="M451" s="82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1">
        <f>IF(OR($C451="",$H451="",$J451=""),0,IF(ROUND(($J451-$H451)*1440,0)&gt;設定!$C$42,ROUND(($J451-$H451)*1440,0),0))</f>
        <v/>
      </c>
      <c r="P451" s="81">
        <f>IF(OR($C451="",$I451="",$K451=""),0,IF(ROUND(($I451-$K451)*1440,0)&gt;設定!$C$42,ROUND(($I451-$K451)*1440,0),0))</f>
        <v/>
      </c>
      <c r="Q451" s="82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79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0">
        <f>IF($G452="","",IFERROR(INDEX(設定!$D$6:$D$18,MATCH($G452,設定!$B$6:$B$18,0)),""))</f>
        <v/>
      </c>
      <c r="I452" s="80">
        <f>IF($G452="","",IFERROR(INDEX(設定!$E$6:$E$18,MATCH($G452,設定!$B$6:$B$18,0)),""))</f>
        <v/>
      </c>
      <c r="J452" s="80">
        <f>IFERROR(INDEX(打卡匯入!$C$3:$C$2002,MATCH($C452&amp;"|"&amp;DAY($A452),打卡匯入!$E$3:$E$2002,0)),"")</f>
        <v/>
      </c>
      <c r="K452" s="80">
        <f>IFERROR(INDEX(打卡匯入!$D$3:$D$2002,MATCH($C452&amp;"|"&amp;DAY($A452),打卡匯入!$E$3:$E$2002,0)),"")</f>
        <v/>
      </c>
      <c r="L452" s="81">
        <f>IF(OR($J452="",$K452=""),"",IFERROR(INDEX(設定!$F$6:$F$18,MATCH($G452,設定!$B$6:$B$18,0)),0))</f>
        <v/>
      </c>
      <c r="M452" s="82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1">
        <f>IF(OR($C452="",$H452="",$J452=""),0,IF(ROUND(($J452-$H452)*1440,0)&gt;設定!$C$42,ROUND(($J452-$H452)*1440,0),0))</f>
        <v/>
      </c>
      <c r="P452" s="81">
        <f>IF(OR($C452="",$I452="",$K452=""),0,IF(ROUND(($I452-$K452)*1440,0)&gt;設定!$C$42,ROUND(($I452-$K452)*1440,0),0))</f>
        <v/>
      </c>
      <c r="Q452" s="82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79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0">
        <f>IF($G453="","",IFERROR(INDEX(設定!$D$6:$D$18,MATCH($G453,設定!$B$6:$B$18,0)),""))</f>
        <v/>
      </c>
      <c r="I453" s="80">
        <f>IF($G453="","",IFERROR(INDEX(設定!$E$6:$E$18,MATCH($G453,設定!$B$6:$B$18,0)),""))</f>
        <v/>
      </c>
      <c r="J453" s="80">
        <f>IFERROR(INDEX(打卡匯入!$C$3:$C$2002,MATCH($C453&amp;"|"&amp;DAY($A453),打卡匯入!$E$3:$E$2002,0)),"")</f>
        <v/>
      </c>
      <c r="K453" s="80">
        <f>IFERROR(INDEX(打卡匯入!$D$3:$D$2002,MATCH($C453&amp;"|"&amp;DAY($A453),打卡匯入!$E$3:$E$2002,0)),"")</f>
        <v/>
      </c>
      <c r="L453" s="81">
        <f>IF(OR($J453="",$K453=""),"",IFERROR(INDEX(設定!$F$6:$F$18,MATCH($G453,設定!$B$6:$B$18,0)),0))</f>
        <v/>
      </c>
      <c r="M453" s="82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1">
        <f>IF(OR($C453="",$H453="",$J453=""),0,IF(ROUND(($J453-$H453)*1440,0)&gt;設定!$C$42,ROUND(($J453-$H453)*1440,0),0))</f>
        <v/>
      </c>
      <c r="P453" s="81">
        <f>IF(OR($C453="",$I453="",$K453=""),0,IF(ROUND(($I453-$K453)*1440,0)&gt;設定!$C$42,ROUND(($I453-$K453)*1440,0),0))</f>
        <v/>
      </c>
      <c r="Q453" s="82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79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0">
        <f>IF($G454="","",IFERROR(INDEX(設定!$D$6:$D$18,MATCH($G454,設定!$B$6:$B$18,0)),""))</f>
        <v/>
      </c>
      <c r="I454" s="80">
        <f>IF($G454="","",IFERROR(INDEX(設定!$E$6:$E$18,MATCH($G454,設定!$B$6:$B$18,0)),""))</f>
        <v/>
      </c>
      <c r="J454" s="80">
        <f>IFERROR(INDEX(打卡匯入!$C$3:$C$2002,MATCH($C454&amp;"|"&amp;DAY($A454),打卡匯入!$E$3:$E$2002,0)),"")</f>
        <v/>
      </c>
      <c r="K454" s="80">
        <f>IFERROR(INDEX(打卡匯入!$D$3:$D$2002,MATCH($C454&amp;"|"&amp;DAY($A454),打卡匯入!$E$3:$E$2002,0)),"")</f>
        <v/>
      </c>
      <c r="L454" s="81">
        <f>IF(OR($J454="",$K454=""),"",IFERROR(INDEX(設定!$F$6:$F$18,MATCH($G454,設定!$B$6:$B$18,0)),0))</f>
        <v/>
      </c>
      <c r="M454" s="82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1">
        <f>IF(OR($C454="",$H454="",$J454=""),0,IF(ROUND(($J454-$H454)*1440,0)&gt;設定!$C$42,ROUND(($J454-$H454)*1440,0),0))</f>
        <v/>
      </c>
      <c r="P454" s="81">
        <f>IF(OR($C454="",$I454="",$K454=""),0,IF(ROUND(($I454-$K454)*1440,0)&gt;設定!$C$42,ROUND(($I454-$K454)*1440,0),0))</f>
        <v/>
      </c>
      <c r="Q454" s="82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79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0">
        <f>IF($G455="","",IFERROR(INDEX(設定!$D$6:$D$18,MATCH($G455,設定!$B$6:$B$18,0)),""))</f>
        <v/>
      </c>
      <c r="I455" s="80">
        <f>IF($G455="","",IFERROR(INDEX(設定!$E$6:$E$18,MATCH($G455,設定!$B$6:$B$18,0)),""))</f>
        <v/>
      </c>
      <c r="J455" s="80">
        <f>IFERROR(INDEX(打卡匯入!$C$3:$C$2002,MATCH($C455&amp;"|"&amp;DAY($A455),打卡匯入!$E$3:$E$2002,0)),"")</f>
        <v/>
      </c>
      <c r="K455" s="80">
        <f>IFERROR(INDEX(打卡匯入!$D$3:$D$2002,MATCH($C455&amp;"|"&amp;DAY($A455),打卡匯入!$E$3:$E$2002,0)),"")</f>
        <v/>
      </c>
      <c r="L455" s="81">
        <f>IF(OR($J455="",$K455=""),"",IFERROR(INDEX(設定!$F$6:$F$18,MATCH($G455,設定!$B$6:$B$18,0)),0))</f>
        <v/>
      </c>
      <c r="M455" s="82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1">
        <f>IF(OR($C455="",$H455="",$J455=""),0,IF(ROUND(($J455-$H455)*1440,0)&gt;設定!$C$42,ROUND(($J455-$H455)*1440,0),0))</f>
        <v/>
      </c>
      <c r="P455" s="81">
        <f>IF(OR($C455="",$I455="",$K455=""),0,IF(ROUND(($I455-$K455)*1440,0)&gt;設定!$C$42,ROUND(($I455-$K455)*1440,0),0))</f>
        <v/>
      </c>
      <c r="Q455" s="82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79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0">
        <f>IF($G456="","",IFERROR(INDEX(設定!$D$6:$D$18,MATCH($G456,設定!$B$6:$B$18,0)),""))</f>
        <v/>
      </c>
      <c r="I456" s="80">
        <f>IF($G456="","",IFERROR(INDEX(設定!$E$6:$E$18,MATCH($G456,設定!$B$6:$B$18,0)),""))</f>
        <v/>
      </c>
      <c r="J456" s="80">
        <f>IFERROR(INDEX(打卡匯入!$C$3:$C$2002,MATCH($C456&amp;"|"&amp;DAY($A456),打卡匯入!$E$3:$E$2002,0)),"")</f>
        <v/>
      </c>
      <c r="K456" s="80">
        <f>IFERROR(INDEX(打卡匯入!$D$3:$D$2002,MATCH($C456&amp;"|"&amp;DAY($A456),打卡匯入!$E$3:$E$2002,0)),"")</f>
        <v/>
      </c>
      <c r="L456" s="81">
        <f>IF(OR($J456="",$K456=""),"",IFERROR(INDEX(設定!$F$6:$F$18,MATCH($G456,設定!$B$6:$B$18,0)),0))</f>
        <v/>
      </c>
      <c r="M456" s="82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1">
        <f>IF(OR($C456="",$H456="",$J456=""),0,IF(ROUND(($J456-$H456)*1440,0)&gt;設定!$C$42,ROUND(($J456-$H456)*1440,0),0))</f>
        <v/>
      </c>
      <c r="P456" s="81">
        <f>IF(OR($C456="",$I456="",$K456=""),0,IF(ROUND(($I456-$K456)*1440,0)&gt;設定!$C$42,ROUND(($I456-$K456)*1440,0),0))</f>
        <v/>
      </c>
      <c r="Q456" s="82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79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0">
        <f>IF($G457="","",IFERROR(INDEX(設定!$D$6:$D$18,MATCH($G457,設定!$B$6:$B$18,0)),""))</f>
        <v/>
      </c>
      <c r="I457" s="80">
        <f>IF($G457="","",IFERROR(INDEX(設定!$E$6:$E$18,MATCH($G457,設定!$B$6:$B$18,0)),""))</f>
        <v/>
      </c>
      <c r="J457" s="80">
        <f>IFERROR(INDEX(打卡匯入!$C$3:$C$2002,MATCH($C457&amp;"|"&amp;DAY($A457),打卡匯入!$E$3:$E$2002,0)),"")</f>
        <v/>
      </c>
      <c r="K457" s="80">
        <f>IFERROR(INDEX(打卡匯入!$D$3:$D$2002,MATCH($C457&amp;"|"&amp;DAY($A457),打卡匯入!$E$3:$E$2002,0)),"")</f>
        <v/>
      </c>
      <c r="L457" s="81">
        <f>IF(OR($J457="",$K457=""),"",IFERROR(INDEX(設定!$F$6:$F$18,MATCH($G457,設定!$B$6:$B$18,0)),0))</f>
        <v/>
      </c>
      <c r="M457" s="82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1">
        <f>IF(OR($C457="",$H457="",$J457=""),0,IF(ROUND(($J457-$H457)*1440,0)&gt;設定!$C$42,ROUND(($J457-$H457)*1440,0),0))</f>
        <v/>
      </c>
      <c r="P457" s="81">
        <f>IF(OR($C457="",$I457="",$K457=""),0,IF(ROUND(($I457-$K457)*1440,0)&gt;設定!$C$42,ROUND(($I457-$K457)*1440,0),0))</f>
        <v/>
      </c>
      <c r="Q457" s="82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79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0">
        <f>IF($G458="","",IFERROR(INDEX(設定!$D$6:$D$18,MATCH($G458,設定!$B$6:$B$18,0)),""))</f>
        <v/>
      </c>
      <c r="I458" s="80">
        <f>IF($G458="","",IFERROR(INDEX(設定!$E$6:$E$18,MATCH($G458,設定!$B$6:$B$18,0)),""))</f>
        <v/>
      </c>
      <c r="J458" s="80">
        <f>IFERROR(INDEX(打卡匯入!$C$3:$C$2002,MATCH($C458&amp;"|"&amp;DAY($A458),打卡匯入!$E$3:$E$2002,0)),"")</f>
        <v/>
      </c>
      <c r="K458" s="80">
        <f>IFERROR(INDEX(打卡匯入!$D$3:$D$2002,MATCH($C458&amp;"|"&amp;DAY($A458),打卡匯入!$E$3:$E$2002,0)),"")</f>
        <v/>
      </c>
      <c r="L458" s="81">
        <f>IF(OR($J458="",$K458=""),"",IFERROR(INDEX(設定!$F$6:$F$18,MATCH($G458,設定!$B$6:$B$18,0)),0))</f>
        <v/>
      </c>
      <c r="M458" s="82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1">
        <f>IF(OR($C458="",$H458="",$J458=""),0,IF(ROUND(($J458-$H458)*1440,0)&gt;設定!$C$42,ROUND(($J458-$H458)*1440,0),0))</f>
        <v/>
      </c>
      <c r="P458" s="81">
        <f>IF(OR($C458="",$I458="",$K458=""),0,IF(ROUND(($I458-$K458)*1440,0)&gt;設定!$C$42,ROUND(($I458-$K458)*1440,0),0))</f>
        <v/>
      </c>
      <c r="Q458" s="82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79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0">
        <f>IF($G459="","",IFERROR(INDEX(設定!$D$6:$D$18,MATCH($G459,設定!$B$6:$B$18,0)),""))</f>
        <v/>
      </c>
      <c r="I459" s="80">
        <f>IF($G459="","",IFERROR(INDEX(設定!$E$6:$E$18,MATCH($G459,設定!$B$6:$B$18,0)),""))</f>
        <v/>
      </c>
      <c r="J459" s="80">
        <f>IFERROR(INDEX(打卡匯入!$C$3:$C$2002,MATCH($C459&amp;"|"&amp;DAY($A459),打卡匯入!$E$3:$E$2002,0)),"")</f>
        <v/>
      </c>
      <c r="K459" s="80">
        <f>IFERROR(INDEX(打卡匯入!$D$3:$D$2002,MATCH($C459&amp;"|"&amp;DAY($A459),打卡匯入!$E$3:$E$2002,0)),"")</f>
        <v/>
      </c>
      <c r="L459" s="81">
        <f>IF(OR($J459="",$K459=""),"",IFERROR(INDEX(設定!$F$6:$F$18,MATCH($G459,設定!$B$6:$B$18,0)),0))</f>
        <v/>
      </c>
      <c r="M459" s="82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1">
        <f>IF(OR($C459="",$H459="",$J459=""),0,IF(ROUND(($J459-$H459)*1440,0)&gt;設定!$C$42,ROUND(($J459-$H459)*1440,0),0))</f>
        <v/>
      </c>
      <c r="P459" s="81">
        <f>IF(OR($C459="",$I459="",$K459=""),0,IF(ROUND(($I459-$K459)*1440,0)&gt;設定!$C$42,ROUND(($I459-$K459)*1440,0),0))</f>
        <v/>
      </c>
      <c r="Q459" s="82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79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0">
        <f>IF($G460="","",IFERROR(INDEX(設定!$D$6:$D$18,MATCH($G460,設定!$B$6:$B$18,0)),""))</f>
        <v/>
      </c>
      <c r="I460" s="80">
        <f>IF($G460="","",IFERROR(INDEX(設定!$E$6:$E$18,MATCH($G460,設定!$B$6:$B$18,0)),""))</f>
        <v/>
      </c>
      <c r="J460" s="80">
        <f>IFERROR(INDEX(打卡匯入!$C$3:$C$2002,MATCH($C460&amp;"|"&amp;DAY($A460),打卡匯入!$E$3:$E$2002,0)),"")</f>
        <v/>
      </c>
      <c r="K460" s="80">
        <f>IFERROR(INDEX(打卡匯入!$D$3:$D$2002,MATCH($C460&amp;"|"&amp;DAY($A460),打卡匯入!$E$3:$E$2002,0)),"")</f>
        <v/>
      </c>
      <c r="L460" s="81">
        <f>IF(OR($J460="",$K460=""),"",IFERROR(INDEX(設定!$F$6:$F$18,MATCH($G460,設定!$B$6:$B$18,0)),0))</f>
        <v/>
      </c>
      <c r="M460" s="82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1">
        <f>IF(OR($C460="",$H460="",$J460=""),0,IF(ROUND(($J460-$H460)*1440,0)&gt;設定!$C$42,ROUND(($J460-$H460)*1440,0),0))</f>
        <v/>
      </c>
      <c r="P460" s="81">
        <f>IF(OR($C460="",$I460="",$K460=""),0,IF(ROUND(($I460-$K460)*1440,0)&gt;設定!$C$42,ROUND(($I460-$K460)*1440,0),0))</f>
        <v/>
      </c>
      <c r="Q460" s="82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79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0">
        <f>IF($G461="","",IFERROR(INDEX(設定!$D$6:$D$18,MATCH($G461,設定!$B$6:$B$18,0)),""))</f>
        <v/>
      </c>
      <c r="I461" s="80">
        <f>IF($G461="","",IFERROR(INDEX(設定!$E$6:$E$18,MATCH($G461,設定!$B$6:$B$18,0)),""))</f>
        <v/>
      </c>
      <c r="J461" s="80">
        <f>IFERROR(INDEX(打卡匯入!$C$3:$C$2002,MATCH($C461&amp;"|"&amp;DAY($A461),打卡匯入!$E$3:$E$2002,0)),"")</f>
        <v/>
      </c>
      <c r="K461" s="80">
        <f>IFERROR(INDEX(打卡匯入!$D$3:$D$2002,MATCH($C461&amp;"|"&amp;DAY($A461),打卡匯入!$E$3:$E$2002,0)),"")</f>
        <v/>
      </c>
      <c r="L461" s="81">
        <f>IF(OR($J461="",$K461=""),"",IFERROR(INDEX(設定!$F$6:$F$18,MATCH($G461,設定!$B$6:$B$18,0)),0))</f>
        <v/>
      </c>
      <c r="M461" s="82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1">
        <f>IF(OR($C461="",$H461="",$J461=""),0,IF(ROUND(($J461-$H461)*1440,0)&gt;設定!$C$42,ROUND(($J461-$H461)*1440,0),0))</f>
        <v/>
      </c>
      <c r="P461" s="81">
        <f>IF(OR($C461="",$I461="",$K461=""),0,IF(ROUND(($I461-$K461)*1440,0)&gt;設定!$C$42,ROUND(($I461-$K461)*1440,0),0))</f>
        <v/>
      </c>
      <c r="Q461" s="82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79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0">
        <f>IF($G462="","",IFERROR(INDEX(設定!$D$6:$D$18,MATCH($G462,設定!$B$6:$B$18,0)),""))</f>
        <v/>
      </c>
      <c r="I462" s="80">
        <f>IF($G462="","",IFERROR(INDEX(設定!$E$6:$E$18,MATCH($G462,設定!$B$6:$B$18,0)),""))</f>
        <v/>
      </c>
      <c r="J462" s="80">
        <f>IFERROR(INDEX(打卡匯入!$C$3:$C$2002,MATCH($C462&amp;"|"&amp;DAY($A462),打卡匯入!$E$3:$E$2002,0)),"")</f>
        <v/>
      </c>
      <c r="K462" s="80">
        <f>IFERROR(INDEX(打卡匯入!$D$3:$D$2002,MATCH($C462&amp;"|"&amp;DAY($A462),打卡匯入!$E$3:$E$2002,0)),"")</f>
        <v/>
      </c>
      <c r="L462" s="81">
        <f>IF(OR($J462="",$K462=""),"",IFERROR(INDEX(設定!$F$6:$F$18,MATCH($G462,設定!$B$6:$B$18,0)),0))</f>
        <v/>
      </c>
      <c r="M462" s="82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1">
        <f>IF(OR($C462="",$H462="",$J462=""),0,IF(ROUND(($J462-$H462)*1440,0)&gt;設定!$C$42,ROUND(($J462-$H462)*1440,0),0))</f>
        <v/>
      </c>
      <c r="P462" s="81">
        <f>IF(OR($C462="",$I462="",$K462=""),0,IF(ROUND(($I462-$K462)*1440,0)&gt;設定!$C$42,ROUND(($I462-$K462)*1440,0),0))</f>
        <v/>
      </c>
      <c r="Q462" s="82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79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0">
        <f>IF($G463="","",IFERROR(INDEX(設定!$D$6:$D$18,MATCH($G463,設定!$B$6:$B$18,0)),""))</f>
        <v/>
      </c>
      <c r="I463" s="80">
        <f>IF($G463="","",IFERROR(INDEX(設定!$E$6:$E$18,MATCH($G463,設定!$B$6:$B$18,0)),""))</f>
        <v/>
      </c>
      <c r="J463" s="80">
        <f>IFERROR(INDEX(打卡匯入!$C$3:$C$2002,MATCH($C463&amp;"|"&amp;DAY($A463),打卡匯入!$E$3:$E$2002,0)),"")</f>
        <v/>
      </c>
      <c r="K463" s="80">
        <f>IFERROR(INDEX(打卡匯入!$D$3:$D$2002,MATCH($C463&amp;"|"&amp;DAY($A463),打卡匯入!$E$3:$E$2002,0)),"")</f>
        <v/>
      </c>
      <c r="L463" s="81">
        <f>IF(OR($J463="",$K463=""),"",IFERROR(INDEX(設定!$F$6:$F$18,MATCH($G463,設定!$B$6:$B$18,0)),0))</f>
        <v/>
      </c>
      <c r="M463" s="82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1">
        <f>IF(OR($C463="",$H463="",$J463=""),0,IF(ROUND(($J463-$H463)*1440,0)&gt;設定!$C$42,ROUND(($J463-$H463)*1440,0),0))</f>
        <v/>
      </c>
      <c r="P463" s="81">
        <f>IF(OR($C463="",$I463="",$K463=""),0,IF(ROUND(($I463-$K463)*1440,0)&gt;設定!$C$42,ROUND(($I463-$K463)*1440,0),0))</f>
        <v/>
      </c>
      <c r="Q463" s="82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79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0">
        <f>IF($G464="","",IFERROR(INDEX(設定!$D$6:$D$18,MATCH($G464,設定!$B$6:$B$18,0)),""))</f>
        <v/>
      </c>
      <c r="I464" s="80">
        <f>IF($G464="","",IFERROR(INDEX(設定!$E$6:$E$18,MATCH($G464,設定!$B$6:$B$18,0)),""))</f>
        <v/>
      </c>
      <c r="J464" s="80">
        <f>IFERROR(INDEX(打卡匯入!$C$3:$C$2002,MATCH($C464&amp;"|"&amp;DAY($A464),打卡匯入!$E$3:$E$2002,0)),"")</f>
        <v/>
      </c>
      <c r="K464" s="80">
        <f>IFERROR(INDEX(打卡匯入!$D$3:$D$2002,MATCH($C464&amp;"|"&amp;DAY($A464),打卡匯入!$E$3:$E$2002,0)),"")</f>
        <v/>
      </c>
      <c r="L464" s="81">
        <f>IF(OR($J464="",$K464=""),"",IFERROR(INDEX(設定!$F$6:$F$18,MATCH($G464,設定!$B$6:$B$18,0)),0))</f>
        <v/>
      </c>
      <c r="M464" s="82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1">
        <f>IF(OR($C464="",$H464="",$J464=""),0,IF(ROUND(($J464-$H464)*1440,0)&gt;設定!$C$42,ROUND(($J464-$H464)*1440,0),0))</f>
        <v/>
      </c>
      <c r="P464" s="81">
        <f>IF(OR($C464="",$I464="",$K464=""),0,IF(ROUND(($I464-$K464)*1440,0)&gt;設定!$C$42,ROUND(($I464-$K464)*1440,0),0))</f>
        <v/>
      </c>
      <c r="Q464" s="82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79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0">
        <f>IF($G465="","",IFERROR(INDEX(設定!$D$6:$D$18,MATCH($G465,設定!$B$6:$B$18,0)),""))</f>
        <v/>
      </c>
      <c r="I465" s="80">
        <f>IF($G465="","",IFERROR(INDEX(設定!$E$6:$E$18,MATCH($G465,設定!$B$6:$B$18,0)),""))</f>
        <v/>
      </c>
      <c r="J465" s="80">
        <f>IFERROR(INDEX(打卡匯入!$C$3:$C$2002,MATCH($C465&amp;"|"&amp;DAY($A465),打卡匯入!$E$3:$E$2002,0)),"")</f>
        <v/>
      </c>
      <c r="K465" s="80">
        <f>IFERROR(INDEX(打卡匯入!$D$3:$D$2002,MATCH($C465&amp;"|"&amp;DAY($A465),打卡匯入!$E$3:$E$2002,0)),"")</f>
        <v/>
      </c>
      <c r="L465" s="81">
        <f>IF(OR($J465="",$K465=""),"",IFERROR(INDEX(設定!$F$6:$F$18,MATCH($G465,設定!$B$6:$B$18,0)),0))</f>
        <v/>
      </c>
      <c r="M465" s="82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1">
        <f>IF(OR($C465="",$H465="",$J465=""),0,IF(ROUND(($J465-$H465)*1440,0)&gt;設定!$C$42,ROUND(($J465-$H465)*1440,0),0))</f>
        <v/>
      </c>
      <c r="P465" s="81">
        <f>IF(OR($C465="",$I465="",$K465=""),0,IF(ROUND(($I465-$K465)*1440,0)&gt;設定!$C$42,ROUND(($I465-$K465)*1440,0),0))</f>
        <v/>
      </c>
      <c r="Q465" s="82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79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0">
        <f>IF($G466="","",IFERROR(INDEX(設定!$D$6:$D$18,MATCH($G466,設定!$B$6:$B$18,0)),""))</f>
        <v/>
      </c>
      <c r="I466" s="80">
        <f>IF($G466="","",IFERROR(INDEX(設定!$E$6:$E$18,MATCH($G466,設定!$B$6:$B$18,0)),""))</f>
        <v/>
      </c>
      <c r="J466" s="80">
        <f>IFERROR(INDEX(打卡匯入!$C$3:$C$2002,MATCH($C466&amp;"|"&amp;DAY($A466),打卡匯入!$E$3:$E$2002,0)),"")</f>
        <v/>
      </c>
      <c r="K466" s="80">
        <f>IFERROR(INDEX(打卡匯入!$D$3:$D$2002,MATCH($C466&amp;"|"&amp;DAY($A466),打卡匯入!$E$3:$E$2002,0)),"")</f>
        <v/>
      </c>
      <c r="L466" s="81">
        <f>IF(OR($J466="",$K466=""),"",IFERROR(INDEX(設定!$F$6:$F$18,MATCH($G466,設定!$B$6:$B$18,0)),0))</f>
        <v/>
      </c>
      <c r="M466" s="82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1">
        <f>IF(OR($C466="",$H466="",$J466=""),0,IF(ROUND(($J466-$H466)*1440,0)&gt;設定!$C$42,ROUND(($J466-$H466)*1440,0),0))</f>
        <v/>
      </c>
      <c r="P466" s="81">
        <f>IF(OR($C466="",$I466="",$K466=""),0,IF(ROUND(($I466-$K466)*1440,0)&gt;設定!$C$42,ROUND(($I466-$K466)*1440,0),0))</f>
        <v/>
      </c>
      <c r="Q466" s="82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79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0">
        <f>IF($G467="","",IFERROR(INDEX(設定!$D$6:$D$18,MATCH($G467,設定!$B$6:$B$18,0)),""))</f>
        <v/>
      </c>
      <c r="I467" s="80">
        <f>IF($G467="","",IFERROR(INDEX(設定!$E$6:$E$18,MATCH($G467,設定!$B$6:$B$18,0)),""))</f>
        <v/>
      </c>
      <c r="J467" s="80">
        <f>IFERROR(INDEX(打卡匯入!$C$3:$C$2002,MATCH($C467&amp;"|"&amp;DAY($A467),打卡匯入!$E$3:$E$2002,0)),"")</f>
        <v/>
      </c>
      <c r="K467" s="80">
        <f>IFERROR(INDEX(打卡匯入!$D$3:$D$2002,MATCH($C467&amp;"|"&amp;DAY($A467),打卡匯入!$E$3:$E$2002,0)),"")</f>
        <v/>
      </c>
      <c r="L467" s="81">
        <f>IF(OR($J467="",$K467=""),"",IFERROR(INDEX(設定!$F$6:$F$18,MATCH($G467,設定!$B$6:$B$18,0)),0))</f>
        <v/>
      </c>
      <c r="M467" s="82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1">
        <f>IF(OR($C467="",$H467="",$J467=""),0,IF(ROUND(($J467-$H467)*1440,0)&gt;設定!$C$42,ROUND(($J467-$H467)*1440,0),0))</f>
        <v/>
      </c>
      <c r="P467" s="81">
        <f>IF(OR($C467="",$I467="",$K467=""),0,IF(ROUND(($I467-$K467)*1440,0)&gt;設定!$C$42,ROUND(($I467-$K467)*1440,0),0))</f>
        <v/>
      </c>
      <c r="Q467" s="82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79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0">
        <f>IF($G468="","",IFERROR(INDEX(設定!$D$6:$D$18,MATCH($G468,設定!$B$6:$B$18,0)),""))</f>
        <v/>
      </c>
      <c r="I468" s="80">
        <f>IF($G468="","",IFERROR(INDEX(設定!$E$6:$E$18,MATCH($G468,設定!$B$6:$B$18,0)),""))</f>
        <v/>
      </c>
      <c r="J468" s="80">
        <f>IFERROR(INDEX(打卡匯入!$C$3:$C$2002,MATCH($C468&amp;"|"&amp;DAY($A468),打卡匯入!$E$3:$E$2002,0)),"")</f>
        <v/>
      </c>
      <c r="K468" s="80">
        <f>IFERROR(INDEX(打卡匯入!$D$3:$D$2002,MATCH($C468&amp;"|"&amp;DAY($A468),打卡匯入!$E$3:$E$2002,0)),"")</f>
        <v/>
      </c>
      <c r="L468" s="81">
        <f>IF(OR($J468="",$K468=""),"",IFERROR(INDEX(設定!$F$6:$F$18,MATCH($G468,設定!$B$6:$B$18,0)),0))</f>
        <v/>
      </c>
      <c r="M468" s="82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1">
        <f>IF(OR($C468="",$H468="",$J468=""),0,IF(ROUND(($J468-$H468)*1440,0)&gt;設定!$C$42,ROUND(($J468-$H468)*1440,0),0))</f>
        <v/>
      </c>
      <c r="P468" s="81">
        <f>IF(OR($C468="",$I468="",$K468=""),0,IF(ROUND(($I468-$K468)*1440,0)&gt;設定!$C$42,ROUND(($I468-$K468)*1440,0),0))</f>
        <v/>
      </c>
      <c r="Q468" s="82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79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0">
        <f>IF($G469="","",IFERROR(INDEX(設定!$D$6:$D$18,MATCH($G469,設定!$B$6:$B$18,0)),""))</f>
        <v/>
      </c>
      <c r="I469" s="80">
        <f>IF($G469="","",IFERROR(INDEX(設定!$E$6:$E$18,MATCH($G469,設定!$B$6:$B$18,0)),""))</f>
        <v/>
      </c>
      <c r="J469" s="80">
        <f>IFERROR(INDEX(打卡匯入!$C$3:$C$2002,MATCH($C469&amp;"|"&amp;DAY($A469),打卡匯入!$E$3:$E$2002,0)),"")</f>
        <v/>
      </c>
      <c r="K469" s="80">
        <f>IFERROR(INDEX(打卡匯入!$D$3:$D$2002,MATCH($C469&amp;"|"&amp;DAY($A469),打卡匯入!$E$3:$E$2002,0)),"")</f>
        <v/>
      </c>
      <c r="L469" s="81">
        <f>IF(OR($J469="",$K469=""),"",IFERROR(INDEX(設定!$F$6:$F$18,MATCH($G469,設定!$B$6:$B$18,0)),0))</f>
        <v/>
      </c>
      <c r="M469" s="82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1">
        <f>IF(OR($C469="",$H469="",$J469=""),0,IF(ROUND(($J469-$H469)*1440,0)&gt;設定!$C$42,ROUND(($J469-$H469)*1440,0),0))</f>
        <v/>
      </c>
      <c r="P469" s="81">
        <f>IF(OR($C469="",$I469="",$K469=""),0,IF(ROUND(($I469-$K469)*1440,0)&gt;設定!$C$42,ROUND(($I469-$K469)*1440,0),0))</f>
        <v/>
      </c>
      <c r="Q469" s="82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79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0">
        <f>IF($G470="","",IFERROR(INDEX(設定!$D$6:$D$18,MATCH($G470,設定!$B$6:$B$18,0)),""))</f>
        <v/>
      </c>
      <c r="I470" s="80">
        <f>IF($G470="","",IFERROR(INDEX(設定!$E$6:$E$18,MATCH($G470,設定!$B$6:$B$18,0)),""))</f>
        <v/>
      </c>
      <c r="J470" s="80">
        <f>IFERROR(INDEX(打卡匯入!$C$3:$C$2002,MATCH($C470&amp;"|"&amp;DAY($A470),打卡匯入!$E$3:$E$2002,0)),"")</f>
        <v/>
      </c>
      <c r="K470" s="80">
        <f>IFERROR(INDEX(打卡匯入!$D$3:$D$2002,MATCH($C470&amp;"|"&amp;DAY($A470),打卡匯入!$E$3:$E$2002,0)),"")</f>
        <v/>
      </c>
      <c r="L470" s="81">
        <f>IF(OR($J470="",$K470=""),"",IFERROR(INDEX(設定!$F$6:$F$18,MATCH($G470,設定!$B$6:$B$18,0)),0))</f>
        <v/>
      </c>
      <c r="M470" s="82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1">
        <f>IF(OR($C470="",$H470="",$J470=""),0,IF(ROUND(($J470-$H470)*1440,0)&gt;設定!$C$42,ROUND(($J470-$H470)*1440,0),0))</f>
        <v/>
      </c>
      <c r="P470" s="81">
        <f>IF(OR($C470="",$I470="",$K470=""),0,IF(ROUND(($I470-$K470)*1440,0)&gt;設定!$C$42,ROUND(($I470-$K470)*1440,0),0))</f>
        <v/>
      </c>
      <c r="Q470" s="82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79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0">
        <f>IF($G471="","",IFERROR(INDEX(設定!$D$6:$D$18,MATCH($G471,設定!$B$6:$B$18,0)),""))</f>
        <v/>
      </c>
      <c r="I471" s="80">
        <f>IF($G471="","",IFERROR(INDEX(設定!$E$6:$E$18,MATCH($G471,設定!$B$6:$B$18,0)),""))</f>
        <v/>
      </c>
      <c r="J471" s="80">
        <f>IFERROR(INDEX(打卡匯入!$C$3:$C$2002,MATCH($C471&amp;"|"&amp;DAY($A471),打卡匯入!$E$3:$E$2002,0)),"")</f>
        <v/>
      </c>
      <c r="K471" s="80">
        <f>IFERROR(INDEX(打卡匯入!$D$3:$D$2002,MATCH($C471&amp;"|"&amp;DAY($A471),打卡匯入!$E$3:$E$2002,0)),"")</f>
        <v/>
      </c>
      <c r="L471" s="81">
        <f>IF(OR($J471="",$K471=""),"",IFERROR(INDEX(設定!$F$6:$F$18,MATCH($G471,設定!$B$6:$B$18,0)),0))</f>
        <v/>
      </c>
      <c r="M471" s="82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1">
        <f>IF(OR($C471="",$H471="",$J471=""),0,IF(ROUND(($J471-$H471)*1440,0)&gt;設定!$C$42,ROUND(($J471-$H471)*1440,0),0))</f>
        <v/>
      </c>
      <c r="P471" s="81">
        <f>IF(OR($C471="",$I471="",$K471=""),0,IF(ROUND(($I471-$K471)*1440,0)&gt;設定!$C$42,ROUND(($I471-$K471)*1440,0),0))</f>
        <v/>
      </c>
      <c r="Q471" s="82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79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0">
        <f>IF($G472="","",IFERROR(INDEX(設定!$D$6:$D$18,MATCH($G472,設定!$B$6:$B$18,0)),""))</f>
        <v/>
      </c>
      <c r="I472" s="80">
        <f>IF($G472="","",IFERROR(INDEX(設定!$E$6:$E$18,MATCH($G472,設定!$B$6:$B$18,0)),""))</f>
        <v/>
      </c>
      <c r="J472" s="80">
        <f>IFERROR(INDEX(打卡匯入!$C$3:$C$2002,MATCH($C472&amp;"|"&amp;DAY($A472),打卡匯入!$E$3:$E$2002,0)),"")</f>
        <v/>
      </c>
      <c r="K472" s="80">
        <f>IFERROR(INDEX(打卡匯入!$D$3:$D$2002,MATCH($C472&amp;"|"&amp;DAY($A472),打卡匯入!$E$3:$E$2002,0)),"")</f>
        <v/>
      </c>
      <c r="L472" s="81">
        <f>IF(OR($J472="",$K472=""),"",IFERROR(INDEX(設定!$F$6:$F$18,MATCH($G472,設定!$B$6:$B$18,0)),0))</f>
        <v/>
      </c>
      <c r="M472" s="82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1">
        <f>IF(OR($C472="",$H472="",$J472=""),0,IF(ROUND(($J472-$H472)*1440,0)&gt;設定!$C$42,ROUND(($J472-$H472)*1440,0),0))</f>
        <v/>
      </c>
      <c r="P472" s="81">
        <f>IF(OR($C472="",$I472="",$K472=""),0,IF(ROUND(($I472-$K472)*1440,0)&gt;設定!$C$42,ROUND(($I472-$K472)*1440,0),0))</f>
        <v/>
      </c>
      <c r="Q472" s="82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79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0">
        <f>IF($G473="","",IFERROR(INDEX(設定!$D$6:$D$18,MATCH($G473,設定!$B$6:$B$18,0)),""))</f>
        <v/>
      </c>
      <c r="I473" s="80">
        <f>IF($G473="","",IFERROR(INDEX(設定!$E$6:$E$18,MATCH($G473,設定!$B$6:$B$18,0)),""))</f>
        <v/>
      </c>
      <c r="J473" s="80">
        <f>IFERROR(INDEX(打卡匯入!$C$3:$C$2002,MATCH($C473&amp;"|"&amp;DAY($A473),打卡匯入!$E$3:$E$2002,0)),"")</f>
        <v/>
      </c>
      <c r="K473" s="80">
        <f>IFERROR(INDEX(打卡匯入!$D$3:$D$2002,MATCH($C473&amp;"|"&amp;DAY($A473),打卡匯入!$E$3:$E$2002,0)),"")</f>
        <v/>
      </c>
      <c r="L473" s="81">
        <f>IF(OR($J473="",$K473=""),"",IFERROR(INDEX(設定!$F$6:$F$18,MATCH($G473,設定!$B$6:$B$18,0)),0))</f>
        <v/>
      </c>
      <c r="M473" s="82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1">
        <f>IF(OR($C473="",$H473="",$J473=""),0,IF(ROUND(($J473-$H473)*1440,0)&gt;設定!$C$42,ROUND(($J473-$H473)*1440,0),0))</f>
        <v/>
      </c>
      <c r="P473" s="81">
        <f>IF(OR($C473="",$I473="",$K473=""),0,IF(ROUND(($I473-$K473)*1440,0)&gt;設定!$C$42,ROUND(($I473-$K473)*1440,0),0))</f>
        <v/>
      </c>
      <c r="Q473" s="82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79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0">
        <f>IF($G474="","",IFERROR(INDEX(設定!$D$6:$D$18,MATCH($G474,設定!$B$6:$B$18,0)),""))</f>
        <v/>
      </c>
      <c r="I474" s="80">
        <f>IF($G474="","",IFERROR(INDEX(設定!$E$6:$E$18,MATCH($G474,設定!$B$6:$B$18,0)),""))</f>
        <v/>
      </c>
      <c r="J474" s="80">
        <f>IFERROR(INDEX(打卡匯入!$C$3:$C$2002,MATCH($C474&amp;"|"&amp;DAY($A474),打卡匯入!$E$3:$E$2002,0)),"")</f>
        <v/>
      </c>
      <c r="K474" s="80">
        <f>IFERROR(INDEX(打卡匯入!$D$3:$D$2002,MATCH($C474&amp;"|"&amp;DAY($A474),打卡匯入!$E$3:$E$2002,0)),"")</f>
        <v/>
      </c>
      <c r="L474" s="81">
        <f>IF(OR($J474="",$K474=""),"",IFERROR(INDEX(設定!$F$6:$F$18,MATCH($G474,設定!$B$6:$B$18,0)),0))</f>
        <v/>
      </c>
      <c r="M474" s="82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1">
        <f>IF(OR($C474="",$H474="",$J474=""),0,IF(ROUND(($J474-$H474)*1440,0)&gt;設定!$C$42,ROUND(($J474-$H474)*1440,0),0))</f>
        <v/>
      </c>
      <c r="P474" s="81">
        <f>IF(OR($C474="",$I474="",$K474=""),0,IF(ROUND(($I474-$K474)*1440,0)&gt;設定!$C$42,ROUND(($I474-$K474)*1440,0),0))</f>
        <v/>
      </c>
      <c r="Q474" s="82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79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0">
        <f>IF($G475="","",IFERROR(INDEX(設定!$D$6:$D$18,MATCH($G475,設定!$B$6:$B$18,0)),""))</f>
        <v/>
      </c>
      <c r="I475" s="80">
        <f>IF($G475="","",IFERROR(INDEX(設定!$E$6:$E$18,MATCH($G475,設定!$B$6:$B$18,0)),""))</f>
        <v/>
      </c>
      <c r="J475" s="80">
        <f>IFERROR(INDEX(打卡匯入!$C$3:$C$2002,MATCH($C475&amp;"|"&amp;DAY($A475),打卡匯入!$E$3:$E$2002,0)),"")</f>
        <v/>
      </c>
      <c r="K475" s="80">
        <f>IFERROR(INDEX(打卡匯入!$D$3:$D$2002,MATCH($C475&amp;"|"&amp;DAY($A475),打卡匯入!$E$3:$E$2002,0)),"")</f>
        <v/>
      </c>
      <c r="L475" s="81">
        <f>IF(OR($J475="",$K475=""),"",IFERROR(INDEX(設定!$F$6:$F$18,MATCH($G475,設定!$B$6:$B$18,0)),0))</f>
        <v/>
      </c>
      <c r="M475" s="82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1">
        <f>IF(OR($C475="",$H475="",$J475=""),0,IF(ROUND(($J475-$H475)*1440,0)&gt;設定!$C$42,ROUND(($J475-$H475)*1440,0),0))</f>
        <v/>
      </c>
      <c r="P475" s="81">
        <f>IF(OR($C475="",$I475="",$K475=""),0,IF(ROUND(($I475-$K475)*1440,0)&gt;設定!$C$42,ROUND(($I475-$K475)*1440,0),0))</f>
        <v/>
      </c>
      <c r="Q475" s="82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79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0">
        <f>IF($G476="","",IFERROR(INDEX(設定!$D$6:$D$18,MATCH($G476,設定!$B$6:$B$18,0)),""))</f>
        <v/>
      </c>
      <c r="I476" s="80">
        <f>IF($G476="","",IFERROR(INDEX(設定!$E$6:$E$18,MATCH($G476,設定!$B$6:$B$18,0)),""))</f>
        <v/>
      </c>
      <c r="J476" s="80">
        <f>IFERROR(INDEX(打卡匯入!$C$3:$C$2002,MATCH($C476&amp;"|"&amp;DAY($A476),打卡匯入!$E$3:$E$2002,0)),"")</f>
        <v/>
      </c>
      <c r="K476" s="80">
        <f>IFERROR(INDEX(打卡匯入!$D$3:$D$2002,MATCH($C476&amp;"|"&amp;DAY($A476),打卡匯入!$E$3:$E$2002,0)),"")</f>
        <v/>
      </c>
      <c r="L476" s="81">
        <f>IF(OR($J476="",$K476=""),"",IFERROR(INDEX(設定!$F$6:$F$18,MATCH($G476,設定!$B$6:$B$18,0)),0))</f>
        <v/>
      </c>
      <c r="M476" s="82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1">
        <f>IF(OR($C476="",$H476="",$J476=""),0,IF(ROUND(($J476-$H476)*1440,0)&gt;設定!$C$42,ROUND(($J476-$H476)*1440,0),0))</f>
        <v/>
      </c>
      <c r="P476" s="81">
        <f>IF(OR($C476="",$I476="",$K476=""),0,IF(ROUND(($I476-$K476)*1440,0)&gt;設定!$C$42,ROUND(($I476-$K476)*1440,0),0))</f>
        <v/>
      </c>
      <c r="Q476" s="82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79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0">
        <f>IF($G477="","",IFERROR(INDEX(設定!$D$6:$D$18,MATCH($G477,設定!$B$6:$B$18,0)),""))</f>
        <v/>
      </c>
      <c r="I477" s="80">
        <f>IF($G477="","",IFERROR(INDEX(設定!$E$6:$E$18,MATCH($G477,設定!$B$6:$B$18,0)),""))</f>
        <v/>
      </c>
      <c r="J477" s="80">
        <f>IFERROR(INDEX(打卡匯入!$C$3:$C$2002,MATCH($C477&amp;"|"&amp;DAY($A477),打卡匯入!$E$3:$E$2002,0)),"")</f>
        <v/>
      </c>
      <c r="K477" s="80">
        <f>IFERROR(INDEX(打卡匯入!$D$3:$D$2002,MATCH($C477&amp;"|"&amp;DAY($A477),打卡匯入!$E$3:$E$2002,0)),"")</f>
        <v/>
      </c>
      <c r="L477" s="81">
        <f>IF(OR($J477="",$K477=""),"",IFERROR(INDEX(設定!$F$6:$F$18,MATCH($G477,設定!$B$6:$B$18,0)),0))</f>
        <v/>
      </c>
      <c r="M477" s="82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1">
        <f>IF(OR($C477="",$H477="",$J477=""),0,IF(ROUND(($J477-$H477)*1440,0)&gt;設定!$C$42,ROUND(($J477-$H477)*1440,0),0))</f>
        <v/>
      </c>
      <c r="P477" s="81">
        <f>IF(OR($C477="",$I477="",$K477=""),0,IF(ROUND(($I477-$K477)*1440,0)&gt;設定!$C$42,ROUND(($I477-$K477)*1440,0),0))</f>
        <v/>
      </c>
      <c r="Q477" s="82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79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0">
        <f>IF($G478="","",IFERROR(INDEX(設定!$D$6:$D$18,MATCH($G478,設定!$B$6:$B$18,0)),""))</f>
        <v/>
      </c>
      <c r="I478" s="80">
        <f>IF($G478="","",IFERROR(INDEX(設定!$E$6:$E$18,MATCH($G478,設定!$B$6:$B$18,0)),""))</f>
        <v/>
      </c>
      <c r="J478" s="80">
        <f>IFERROR(INDEX(打卡匯入!$C$3:$C$2002,MATCH($C478&amp;"|"&amp;DAY($A478),打卡匯入!$E$3:$E$2002,0)),"")</f>
        <v/>
      </c>
      <c r="K478" s="80">
        <f>IFERROR(INDEX(打卡匯入!$D$3:$D$2002,MATCH($C478&amp;"|"&amp;DAY($A478),打卡匯入!$E$3:$E$2002,0)),"")</f>
        <v/>
      </c>
      <c r="L478" s="81">
        <f>IF(OR($J478="",$K478=""),"",IFERROR(INDEX(設定!$F$6:$F$18,MATCH($G478,設定!$B$6:$B$18,0)),0))</f>
        <v/>
      </c>
      <c r="M478" s="82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1">
        <f>IF(OR($C478="",$H478="",$J478=""),0,IF(ROUND(($J478-$H478)*1440,0)&gt;設定!$C$42,ROUND(($J478-$H478)*1440,0),0))</f>
        <v/>
      </c>
      <c r="P478" s="81">
        <f>IF(OR($C478="",$I478="",$K478=""),0,IF(ROUND(($I478-$K478)*1440,0)&gt;設定!$C$42,ROUND(($I478-$K478)*1440,0),0))</f>
        <v/>
      </c>
      <c r="Q478" s="82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79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0">
        <f>IF($G479="","",IFERROR(INDEX(設定!$D$6:$D$18,MATCH($G479,設定!$B$6:$B$18,0)),""))</f>
        <v/>
      </c>
      <c r="I479" s="80">
        <f>IF($G479="","",IFERROR(INDEX(設定!$E$6:$E$18,MATCH($G479,設定!$B$6:$B$18,0)),""))</f>
        <v/>
      </c>
      <c r="J479" s="80">
        <f>IFERROR(INDEX(打卡匯入!$C$3:$C$2002,MATCH($C479&amp;"|"&amp;DAY($A479),打卡匯入!$E$3:$E$2002,0)),"")</f>
        <v/>
      </c>
      <c r="K479" s="80">
        <f>IFERROR(INDEX(打卡匯入!$D$3:$D$2002,MATCH($C479&amp;"|"&amp;DAY($A479),打卡匯入!$E$3:$E$2002,0)),"")</f>
        <v/>
      </c>
      <c r="L479" s="81">
        <f>IF(OR($J479="",$K479=""),"",IFERROR(INDEX(設定!$F$6:$F$18,MATCH($G479,設定!$B$6:$B$18,0)),0))</f>
        <v/>
      </c>
      <c r="M479" s="82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1">
        <f>IF(OR($C479="",$H479="",$J479=""),0,IF(ROUND(($J479-$H479)*1440,0)&gt;設定!$C$42,ROUND(($J479-$H479)*1440,0),0))</f>
        <v/>
      </c>
      <c r="P479" s="81">
        <f>IF(OR($C479="",$I479="",$K479=""),0,IF(ROUND(($I479-$K479)*1440,0)&gt;設定!$C$42,ROUND(($I479-$K479)*1440,0),0))</f>
        <v/>
      </c>
      <c r="Q479" s="82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79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0">
        <f>IF($G480="","",IFERROR(INDEX(設定!$D$6:$D$18,MATCH($G480,設定!$B$6:$B$18,0)),""))</f>
        <v/>
      </c>
      <c r="I480" s="80">
        <f>IF($G480="","",IFERROR(INDEX(設定!$E$6:$E$18,MATCH($G480,設定!$B$6:$B$18,0)),""))</f>
        <v/>
      </c>
      <c r="J480" s="80">
        <f>IFERROR(INDEX(打卡匯入!$C$3:$C$2002,MATCH($C480&amp;"|"&amp;DAY($A480),打卡匯入!$E$3:$E$2002,0)),"")</f>
        <v/>
      </c>
      <c r="K480" s="80">
        <f>IFERROR(INDEX(打卡匯入!$D$3:$D$2002,MATCH($C480&amp;"|"&amp;DAY($A480),打卡匯入!$E$3:$E$2002,0)),"")</f>
        <v/>
      </c>
      <c r="L480" s="81">
        <f>IF(OR($J480="",$K480=""),"",IFERROR(INDEX(設定!$F$6:$F$18,MATCH($G480,設定!$B$6:$B$18,0)),0))</f>
        <v/>
      </c>
      <c r="M480" s="82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1">
        <f>IF(OR($C480="",$H480="",$J480=""),0,IF(ROUND(($J480-$H480)*1440,0)&gt;設定!$C$42,ROUND(($J480-$H480)*1440,0),0))</f>
        <v/>
      </c>
      <c r="P480" s="81">
        <f>IF(OR($C480="",$I480="",$K480=""),0,IF(ROUND(($I480-$K480)*1440,0)&gt;設定!$C$42,ROUND(($I480-$K480)*1440,0),0))</f>
        <v/>
      </c>
      <c r="Q480" s="82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79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0">
        <f>IF($G481="","",IFERROR(INDEX(設定!$D$6:$D$18,MATCH($G481,設定!$B$6:$B$18,0)),""))</f>
        <v/>
      </c>
      <c r="I481" s="80">
        <f>IF($G481="","",IFERROR(INDEX(設定!$E$6:$E$18,MATCH($G481,設定!$B$6:$B$18,0)),""))</f>
        <v/>
      </c>
      <c r="J481" s="80">
        <f>IFERROR(INDEX(打卡匯入!$C$3:$C$2002,MATCH($C481&amp;"|"&amp;DAY($A481),打卡匯入!$E$3:$E$2002,0)),"")</f>
        <v/>
      </c>
      <c r="K481" s="80">
        <f>IFERROR(INDEX(打卡匯入!$D$3:$D$2002,MATCH($C481&amp;"|"&amp;DAY($A481),打卡匯入!$E$3:$E$2002,0)),"")</f>
        <v/>
      </c>
      <c r="L481" s="81">
        <f>IF(OR($J481="",$K481=""),"",IFERROR(INDEX(設定!$F$6:$F$18,MATCH($G481,設定!$B$6:$B$18,0)),0))</f>
        <v/>
      </c>
      <c r="M481" s="82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1">
        <f>IF(OR($C481="",$H481="",$J481=""),0,IF(ROUND(($J481-$H481)*1440,0)&gt;設定!$C$42,ROUND(($J481-$H481)*1440,0),0))</f>
        <v/>
      </c>
      <c r="P481" s="81">
        <f>IF(OR($C481="",$I481="",$K481=""),0,IF(ROUND(($I481-$K481)*1440,0)&gt;設定!$C$42,ROUND(($I481-$K481)*1440,0),0))</f>
        <v/>
      </c>
      <c r="Q481" s="82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79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0">
        <f>IF($G482="","",IFERROR(INDEX(設定!$D$6:$D$18,MATCH($G482,設定!$B$6:$B$18,0)),""))</f>
        <v/>
      </c>
      <c r="I482" s="80">
        <f>IF($G482="","",IFERROR(INDEX(設定!$E$6:$E$18,MATCH($G482,設定!$B$6:$B$18,0)),""))</f>
        <v/>
      </c>
      <c r="J482" s="80">
        <f>IFERROR(INDEX(打卡匯入!$C$3:$C$2002,MATCH($C482&amp;"|"&amp;DAY($A482),打卡匯入!$E$3:$E$2002,0)),"")</f>
        <v/>
      </c>
      <c r="K482" s="80">
        <f>IFERROR(INDEX(打卡匯入!$D$3:$D$2002,MATCH($C482&amp;"|"&amp;DAY($A482),打卡匯入!$E$3:$E$2002,0)),"")</f>
        <v/>
      </c>
      <c r="L482" s="81">
        <f>IF(OR($J482="",$K482=""),"",IFERROR(INDEX(設定!$F$6:$F$18,MATCH($G482,設定!$B$6:$B$18,0)),0))</f>
        <v/>
      </c>
      <c r="M482" s="82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1">
        <f>IF(OR($C482="",$H482="",$J482=""),0,IF(ROUND(($J482-$H482)*1440,0)&gt;設定!$C$42,ROUND(($J482-$H482)*1440,0),0))</f>
        <v/>
      </c>
      <c r="P482" s="81">
        <f>IF(OR($C482="",$I482="",$K482=""),0,IF(ROUND(($I482-$K482)*1440,0)&gt;設定!$C$42,ROUND(($I482-$K482)*1440,0),0))</f>
        <v/>
      </c>
      <c r="Q482" s="82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79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0">
        <f>IF($G483="","",IFERROR(INDEX(設定!$D$6:$D$18,MATCH($G483,設定!$B$6:$B$18,0)),""))</f>
        <v/>
      </c>
      <c r="I483" s="80">
        <f>IF($G483="","",IFERROR(INDEX(設定!$E$6:$E$18,MATCH($G483,設定!$B$6:$B$18,0)),""))</f>
        <v/>
      </c>
      <c r="J483" s="80">
        <f>IFERROR(INDEX(打卡匯入!$C$3:$C$2002,MATCH($C483&amp;"|"&amp;DAY($A483),打卡匯入!$E$3:$E$2002,0)),"")</f>
        <v/>
      </c>
      <c r="K483" s="80">
        <f>IFERROR(INDEX(打卡匯入!$D$3:$D$2002,MATCH($C483&amp;"|"&amp;DAY($A483),打卡匯入!$E$3:$E$2002,0)),"")</f>
        <v/>
      </c>
      <c r="L483" s="81">
        <f>IF(OR($J483="",$K483=""),"",IFERROR(INDEX(設定!$F$6:$F$18,MATCH($G483,設定!$B$6:$B$18,0)),0))</f>
        <v/>
      </c>
      <c r="M483" s="82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1">
        <f>IF(OR($C483="",$H483="",$J483=""),0,IF(ROUND(($J483-$H483)*1440,0)&gt;設定!$C$42,ROUND(($J483-$H483)*1440,0),0))</f>
        <v/>
      </c>
      <c r="P483" s="81">
        <f>IF(OR($C483="",$I483="",$K483=""),0,IF(ROUND(($I483-$K483)*1440,0)&gt;設定!$C$42,ROUND(($I483-$K483)*1440,0),0))</f>
        <v/>
      </c>
      <c r="Q483" s="82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79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0">
        <f>IF($G484="","",IFERROR(INDEX(設定!$D$6:$D$18,MATCH($G484,設定!$B$6:$B$18,0)),""))</f>
        <v/>
      </c>
      <c r="I484" s="80">
        <f>IF($G484="","",IFERROR(INDEX(設定!$E$6:$E$18,MATCH($G484,設定!$B$6:$B$18,0)),""))</f>
        <v/>
      </c>
      <c r="J484" s="80">
        <f>IFERROR(INDEX(打卡匯入!$C$3:$C$2002,MATCH($C484&amp;"|"&amp;DAY($A484),打卡匯入!$E$3:$E$2002,0)),"")</f>
        <v/>
      </c>
      <c r="K484" s="80">
        <f>IFERROR(INDEX(打卡匯入!$D$3:$D$2002,MATCH($C484&amp;"|"&amp;DAY($A484),打卡匯入!$E$3:$E$2002,0)),"")</f>
        <v/>
      </c>
      <c r="L484" s="81">
        <f>IF(OR($J484="",$K484=""),"",IFERROR(INDEX(設定!$F$6:$F$18,MATCH($G484,設定!$B$6:$B$18,0)),0))</f>
        <v/>
      </c>
      <c r="M484" s="82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1">
        <f>IF(OR($C484="",$H484="",$J484=""),0,IF(ROUND(($J484-$H484)*1440,0)&gt;設定!$C$42,ROUND(($J484-$H484)*1440,0),0))</f>
        <v/>
      </c>
      <c r="P484" s="81">
        <f>IF(OR($C484="",$I484="",$K484=""),0,IF(ROUND(($I484-$K484)*1440,0)&gt;設定!$C$42,ROUND(($I484-$K484)*1440,0),0))</f>
        <v/>
      </c>
      <c r="Q484" s="82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79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0">
        <f>IF($G485="","",IFERROR(INDEX(設定!$D$6:$D$18,MATCH($G485,設定!$B$6:$B$18,0)),""))</f>
        <v/>
      </c>
      <c r="I485" s="80">
        <f>IF($G485="","",IFERROR(INDEX(設定!$E$6:$E$18,MATCH($G485,設定!$B$6:$B$18,0)),""))</f>
        <v/>
      </c>
      <c r="J485" s="80">
        <f>IFERROR(INDEX(打卡匯入!$C$3:$C$2002,MATCH($C485&amp;"|"&amp;DAY($A485),打卡匯入!$E$3:$E$2002,0)),"")</f>
        <v/>
      </c>
      <c r="K485" s="80">
        <f>IFERROR(INDEX(打卡匯入!$D$3:$D$2002,MATCH($C485&amp;"|"&amp;DAY($A485),打卡匯入!$E$3:$E$2002,0)),"")</f>
        <v/>
      </c>
      <c r="L485" s="81">
        <f>IF(OR($J485="",$K485=""),"",IFERROR(INDEX(設定!$F$6:$F$18,MATCH($G485,設定!$B$6:$B$18,0)),0))</f>
        <v/>
      </c>
      <c r="M485" s="82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1">
        <f>IF(OR($C485="",$H485="",$J485=""),0,IF(ROUND(($J485-$H485)*1440,0)&gt;設定!$C$42,ROUND(($J485-$H485)*1440,0),0))</f>
        <v/>
      </c>
      <c r="P485" s="81">
        <f>IF(OR($C485="",$I485="",$K485=""),0,IF(ROUND(($I485-$K485)*1440,0)&gt;設定!$C$42,ROUND(($I485-$K485)*1440,0),0))</f>
        <v/>
      </c>
      <c r="Q485" s="82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79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0">
        <f>IF($G486="","",IFERROR(INDEX(設定!$D$6:$D$18,MATCH($G486,設定!$B$6:$B$18,0)),""))</f>
        <v/>
      </c>
      <c r="I486" s="80">
        <f>IF($G486="","",IFERROR(INDEX(設定!$E$6:$E$18,MATCH($G486,設定!$B$6:$B$18,0)),""))</f>
        <v/>
      </c>
      <c r="J486" s="80">
        <f>IFERROR(INDEX(打卡匯入!$C$3:$C$2002,MATCH($C486&amp;"|"&amp;DAY($A486),打卡匯入!$E$3:$E$2002,0)),"")</f>
        <v/>
      </c>
      <c r="K486" s="80">
        <f>IFERROR(INDEX(打卡匯入!$D$3:$D$2002,MATCH($C486&amp;"|"&amp;DAY($A486),打卡匯入!$E$3:$E$2002,0)),"")</f>
        <v/>
      </c>
      <c r="L486" s="81">
        <f>IF(OR($J486="",$K486=""),"",IFERROR(INDEX(設定!$F$6:$F$18,MATCH($G486,設定!$B$6:$B$18,0)),0))</f>
        <v/>
      </c>
      <c r="M486" s="82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1">
        <f>IF(OR($C486="",$H486="",$J486=""),0,IF(ROUND(($J486-$H486)*1440,0)&gt;設定!$C$42,ROUND(($J486-$H486)*1440,0),0))</f>
        <v/>
      </c>
      <c r="P486" s="81">
        <f>IF(OR($C486="",$I486="",$K486=""),0,IF(ROUND(($I486-$K486)*1440,0)&gt;設定!$C$42,ROUND(($I486-$K486)*1440,0),0))</f>
        <v/>
      </c>
      <c r="Q486" s="82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79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0">
        <f>IF($G487="","",IFERROR(INDEX(設定!$D$6:$D$18,MATCH($G487,設定!$B$6:$B$18,0)),""))</f>
        <v/>
      </c>
      <c r="I487" s="80">
        <f>IF($G487="","",IFERROR(INDEX(設定!$E$6:$E$18,MATCH($G487,設定!$B$6:$B$18,0)),""))</f>
        <v/>
      </c>
      <c r="J487" s="80">
        <f>IFERROR(INDEX(打卡匯入!$C$3:$C$2002,MATCH($C487&amp;"|"&amp;DAY($A487),打卡匯入!$E$3:$E$2002,0)),"")</f>
        <v/>
      </c>
      <c r="K487" s="80">
        <f>IFERROR(INDEX(打卡匯入!$D$3:$D$2002,MATCH($C487&amp;"|"&amp;DAY($A487),打卡匯入!$E$3:$E$2002,0)),"")</f>
        <v/>
      </c>
      <c r="L487" s="81">
        <f>IF(OR($J487="",$K487=""),"",IFERROR(INDEX(設定!$F$6:$F$18,MATCH($G487,設定!$B$6:$B$18,0)),0))</f>
        <v/>
      </c>
      <c r="M487" s="82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1">
        <f>IF(OR($C487="",$H487="",$J487=""),0,IF(ROUND(($J487-$H487)*1440,0)&gt;設定!$C$42,ROUND(($J487-$H487)*1440,0),0))</f>
        <v/>
      </c>
      <c r="P487" s="81">
        <f>IF(OR($C487="",$I487="",$K487=""),0,IF(ROUND(($I487-$K487)*1440,0)&gt;設定!$C$42,ROUND(($I487-$K487)*1440,0),0))</f>
        <v/>
      </c>
      <c r="Q487" s="82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79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0">
        <f>IF($G488="","",IFERROR(INDEX(設定!$D$6:$D$18,MATCH($G488,設定!$B$6:$B$18,0)),""))</f>
        <v/>
      </c>
      <c r="I488" s="80">
        <f>IF($G488="","",IFERROR(INDEX(設定!$E$6:$E$18,MATCH($G488,設定!$B$6:$B$18,0)),""))</f>
        <v/>
      </c>
      <c r="J488" s="80">
        <f>IFERROR(INDEX(打卡匯入!$C$3:$C$2002,MATCH($C488&amp;"|"&amp;DAY($A488),打卡匯入!$E$3:$E$2002,0)),"")</f>
        <v/>
      </c>
      <c r="K488" s="80">
        <f>IFERROR(INDEX(打卡匯入!$D$3:$D$2002,MATCH($C488&amp;"|"&amp;DAY($A488),打卡匯入!$E$3:$E$2002,0)),"")</f>
        <v/>
      </c>
      <c r="L488" s="81">
        <f>IF(OR($J488="",$K488=""),"",IFERROR(INDEX(設定!$F$6:$F$18,MATCH($G488,設定!$B$6:$B$18,0)),0))</f>
        <v/>
      </c>
      <c r="M488" s="82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1">
        <f>IF(OR($C488="",$H488="",$J488=""),0,IF(ROUND(($J488-$H488)*1440,0)&gt;設定!$C$42,ROUND(($J488-$H488)*1440,0),0))</f>
        <v/>
      </c>
      <c r="P488" s="81">
        <f>IF(OR($C488="",$I488="",$K488=""),0,IF(ROUND(($I488-$K488)*1440,0)&gt;設定!$C$42,ROUND(($I488-$K488)*1440,0),0))</f>
        <v/>
      </c>
      <c r="Q488" s="82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79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0">
        <f>IF($G489="","",IFERROR(INDEX(設定!$D$6:$D$18,MATCH($G489,設定!$B$6:$B$18,0)),""))</f>
        <v/>
      </c>
      <c r="I489" s="80">
        <f>IF($G489="","",IFERROR(INDEX(設定!$E$6:$E$18,MATCH($G489,設定!$B$6:$B$18,0)),""))</f>
        <v/>
      </c>
      <c r="J489" s="80">
        <f>IFERROR(INDEX(打卡匯入!$C$3:$C$2002,MATCH($C489&amp;"|"&amp;DAY($A489),打卡匯入!$E$3:$E$2002,0)),"")</f>
        <v/>
      </c>
      <c r="K489" s="80">
        <f>IFERROR(INDEX(打卡匯入!$D$3:$D$2002,MATCH($C489&amp;"|"&amp;DAY($A489),打卡匯入!$E$3:$E$2002,0)),"")</f>
        <v/>
      </c>
      <c r="L489" s="81">
        <f>IF(OR($J489="",$K489=""),"",IFERROR(INDEX(設定!$F$6:$F$18,MATCH($G489,設定!$B$6:$B$18,0)),0))</f>
        <v/>
      </c>
      <c r="M489" s="82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1">
        <f>IF(OR($C489="",$H489="",$J489=""),0,IF(ROUND(($J489-$H489)*1440,0)&gt;設定!$C$42,ROUND(($J489-$H489)*1440,0),0))</f>
        <v/>
      </c>
      <c r="P489" s="81">
        <f>IF(OR($C489="",$I489="",$K489=""),0,IF(ROUND(($I489-$K489)*1440,0)&gt;設定!$C$42,ROUND(($I489-$K489)*1440,0),0))</f>
        <v/>
      </c>
      <c r="Q489" s="82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79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0">
        <f>IF($G490="","",IFERROR(INDEX(設定!$D$6:$D$18,MATCH($G490,設定!$B$6:$B$18,0)),""))</f>
        <v/>
      </c>
      <c r="I490" s="80">
        <f>IF($G490="","",IFERROR(INDEX(設定!$E$6:$E$18,MATCH($G490,設定!$B$6:$B$18,0)),""))</f>
        <v/>
      </c>
      <c r="J490" s="80">
        <f>IFERROR(INDEX(打卡匯入!$C$3:$C$2002,MATCH($C490&amp;"|"&amp;DAY($A490),打卡匯入!$E$3:$E$2002,0)),"")</f>
        <v/>
      </c>
      <c r="K490" s="80">
        <f>IFERROR(INDEX(打卡匯入!$D$3:$D$2002,MATCH($C490&amp;"|"&amp;DAY($A490),打卡匯入!$E$3:$E$2002,0)),"")</f>
        <v/>
      </c>
      <c r="L490" s="81">
        <f>IF(OR($J490="",$K490=""),"",IFERROR(INDEX(設定!$F$6:$F$18,MATCH($G490,設定!$B$6:$B$18,0)),0))</f>
        <v/>
      </c>
      <c r="M490" s="82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1">
        <f>IF(OR($C490="",$H490="",$J490=""),0,IF(ROUND(($J490-$H490)*1440,0)&gt;設定!$C$42,ROUND(($J490-$H490)*1440,0),0))</f>
        <v/>
      </c>
      <c r="P490" s="81">
        <f>IF(OR($C490="",$I490="",$K490=""),0,IF(ROUND(($I490-$K490)*1440,0)&gt;設定!$C$42,ROUND(($I490-$K490)*1440,0),0))</f>
        <v/>
      </c>
      <c r="Q490" s="82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79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0">
        <f>IF($G491="","",IFERROR(INDEX(設定!$D$6:$D$18,MATCH($G491,設定!$B$6:$B$18,0)),""))</f>
        <v/>
      </c>
      <c r="I491" s="80">
        <f>IF($G491="","",IFERROR(INDEX(設定!$E$6:$E$18,MATCH($G491,設定!$B$6:$B$18,0)),""))</f>
        <v/>
      </c>
      <c r="J491" s="80">
        <f>IFERROR(INDEX(打卡匯入!$C$3:$C$2002,MATCH($C491&amp;"|"&amp;DAY($A491),打卡匯入!$E$3:$E$2002,0)),"")</f>
        <v/>
      </c>
      <c r="K491" s="80">
        <f>IFERROR(INDEX(打卡匯入!$D$3:$D$2002,MATCH($C491&amp;"|"&amp;DAY($A491),打卡匯入!$E$3:$E$2002,0)),"")</f>
        <v/>
      </c>
      <c r="L491" s="81">
        <f>IF(OR($J491="",$K491=""),"",IFERROR(INDEX(設定!$F$6:$F$18,MATCH($G491,設定!$B$6:$B$18,0)),0))</f>
        <v/>
      </c>
      <c r="M491" s="82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1">
        <f>IF(OR($C491="",$H491="",$J491=""),0,IF(ROUND(($J491-$H491)*1440,0)&gt;設定!$C$42,ROUND(($J491-$H491)*1440,0),0))</f>
        <v/>
      </c>
      <c r="P491" s="81">
        <f>IF(OR($C491="",$I491="",$K491=""),0,IF(ROUND(($I491-$K491)*1440,0)&gt;設定!$C$42,ROUND(($I491-$K491)*1440,0),0))</f>
        <v/>
      </c>
      <c r="Q491" s="82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79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0">
        <f>IF($G492="","",IFERROR(INDEX(設定!$D$6:$D$18,MATCH($G492,設定!$B$6:$B$18,0)),""))</f>
        <v/>
      </c>
      <c r="I492" s="80">
        <f>IF($G492="","",IFERROR(INDEX(設定!$E$6:$E$18,MATCH($G492,設定!$B$6:$B$18,0)),""))</f>
        <v/>
      </c>
      <c r="J492" s="80">
        <f>IFERROR(INDEX(打卡匯入!$C$3:$C$2002,MATCH($C492&amp;"|"&amp;DAY($A492),打卡匯入!$E$3:$E$2002,0)),"")</f>
        <v/>
      </c>
      <c r="K492" s="80">
        <f>IFERROR(INDEX(打卡匯入!$D$3:$D$2002,MATCH($C492&amp;"|"&amp;DAY($A492),打卡匯入!$E$3:$E$2002,0)),"")</f>
        <v/>
      </c>
      <c r="L492" s="81">
        <f>IF(OR($J492="",$K492=""),"",IFERROR(INDEX(設定!$F$6:$F$18,MATCH($G492,設定!$B$6:$B$18,0)),0))</f>
        <v/>
      </c>
      <c r="M492" s="82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1">
        <f>IF(OR($C492="",$H492="",$J492=""),0,IF(ROUND(($J492-$H492)*1440,0)&gt;設定!$C$42,ROUND(($J492-$H492)*1440,0),0))</f>
        <v/>
      </c>
      <c r="P492" s="81">
        <f>IF(OR($C492="",$I492="",$K492=""),0,IF(ROUND(($I492-$K492)*1440,0)&gt;設定!$C$42,ROUND(($I492-$K492)*1440,0),0))</f>
        <v/>
      </c>
      <c r="Q492" s="82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79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0">
        <f>IF($G493="","",IFERROR(INDEX(設定!$D$6:$D$18,MATCH($G493,設定!$B$6:$B$18,0)),""))</f>
        <v/>
      </c>
      <c r="I493" s="80">
        <f>IF($G493="","",IFERROR(INDEX(設定!$E$6:$E$18,MATCH($G493,設定!$B$6:$B$18,0)),""))</f>
        <v/>
      </c>
      <c r="J493" s="80">
        <f>IFERROR(INDEX(打卡匯入!$C$3:$C$2002,MATCH($C493&amp;"|"&amp;DAY($A493),打卡匯入!$E$3:$E$2002,0)),"")</f>
        <v/>
      </c>
      <c r="K493" s="80">
        <f>IFERROR(INDEX(打卡匯入!$D$3:$D$2002,MATCH($C493&amp;"|"&amp;DAY($A493),打卡匯入!$E$3:$E$2002,0)),"")</f>
        <v/>
      </c>
      <c r="L493" s="81">
        <f>IF(OR($J493="",$K493=""),"",IFERROR(INDEX(設定!$F$6:$F$18,MATCH($G493,設定!$B$6:$B$18,0)),0))</f>
        <v/>
      </c>
      <c r="M493" s="82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1">
        <f>IF(OR($C493="",$H493="",$J493=""),0,IF(ROUND(($J493-$H493)*1440,0)&gt;設定!$C$42,ROUND(($J493-$H493)*1440,0),0))</f>
        <v/>
      </c>
      <c r="P493" s="81">
        <f>IF(OR($C493="",$I493="",$K493=""),0,IF(ROUND(($I493-$K493)*1440,0)&gt;設定!$C$42,ROUND(($I493-$K493)*1440,0),0))</f>
        <v/>
      </c>
      <c r="Q493" s="82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79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0">
        <f>IF($G494="","",IFERROR(INDEX(設定!$D$6:$D$18,MATCH($G494,設定!$B$6:$B$18,0)),""))</f>
        <v/>
      </c>
      <c r="I494" s="80">
        <f>IF($G494="","",IFERROR(INDEX(設定!$E$6:$E$18,MATCH($G494,設定!$B$6:$B$18,0)),""))</f>
        <v/>
      </c>
      <c r="J494" s="80">
        <f>IFERROR(INDEX(打卡匯入!$C$3:$C$2002,MATCH($C494&amp;"|"&amp;DAY($A494),打卡匯入!$E$3:$E$2002,0)),"")</f>
        <v/>
      </c>
      <c r="K494" s="80">
        <f>IFERROR(INDEX(打卡匯入!$D$3:$D$2002,MATCH($C494&amp;"|"&amp;DAY($A494),打卡匯入!$E$3:$E$2002,0)),"")</f>
        <v/>
      </c>
      <c r="L494" s="81">
        <f>IF(OR($J494="",$K494=""),"",IFERROR(INDEX(設定!$F$6:$F$18,MATCH($G494,設定!$B$6:$B$18,0)),0))</f>
        <v/>
      </c>
      <c r="M494" s="82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1">
        <f>IF(OR($C494="",$H494="",$J494=""),0,IF(ROUND(($J494-$H494)*1440,0)&gt;設定!$C$42,ROUND(($J494-$H494)*1440,0),0))</f>
        <v/>
      </c>
      <c r="P494" s="81">
        <f>IF(OR($C494="",$I494="",$K494=""),0,IF(ROUND(($I494-$K494)*1440,0)&gt;設定!$C$42,ROUND(($I494-$K494)*1440,0),0))</f>
        <v/>
      </c>
      <c r="Q494" s="82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79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0">
        <f>IF($G495="","",IFERROR(INDEX(設定!$D$6:$D$18,MATCH($G495,設定!$B$6:$B$18,0)),""))</f>
        <v/>
      </c>
      <c r="I495" s="80">
        <f>IF($G495="","",IFERROR(INDEX(設定!$E$6:$E$18,MATCH($G495,設定!$B$6:$B$18,0)),""))</f>
        <v/>
      </c>
      <c r="J495" s="80">
        <f>IFERROR(INDEX(打卡匯入!$C$3:$C$2002,MATCH($C495&amp;"|"&amp;DAY($A495),打卡匯入!$E$3:$E$2002,0)),"")</f>
        <v/>
      </c>
      <c r="K495" s="80">
        <f>IFERROR(INDEX(打卡匯入!$D$3:$D$2002,MATCH($C495&amp;"|"&amp;DAY($A495),打卡匯入!$E$3:$E$2002,0)),"")</f>
        <v/>
      </c>
      <c r="L495" s="81">
        <f>IF(OR($J495="",$K495=""),"",IFERROR(INDEX(設定!$F$6:$F$18,MATCH($G495,設定!$B$6:$B$18,0)),0))</f>
        <v/>
      </c>
      <c r="M495" s="82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1">
        <f>IF(OR($C495="",$H495="",$J495=""),0,IF(ROUND(($J495-$H495)*1440,0)&gt;設定!$C$42,ROUND(($J495-$H495)*1440,0),0))</f>
        <v/>
      </c>
      <c r="P495" s="81">
        <f>IF(OR($C495="",$I495="",$K495=""),0,IF(ROUND(($I495-$K495)*1440,0)&gt;設定!$C$42,ROUND(($I495-$K495)*1440,0),0))</f>
        <v/>
      </c>
      <c r="Q495" s="82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79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0">
        <f>IF($G496="","",IFERROR(INDEX(設定!$D$6:$D$18,MATCH($G496,設定!$B$6:$B$18,0)),""))</f>
        <v/>
      </c>
      <c r="I496" s="80">
        <f>IF($G496="","",IFERROR(INDEX(設定!$E$6:$E$18,MATCH($G496,設定!$B$6:$B$18,0)),""))</f>
        <v/>
      </c>
      <c r="J496" s="80">
        <f>IFERROR(INDEX(打卡匯入!$C$3:$C$2002,MATCH($C496&amp;"|"&amp;DAY($A496),打卡匯入!$E$3:$E$2002,0)),"")</f>
        <v/>
      </c>
      <c r="K496" s="80">
        <f>IFERROR(INDEX(打卡匯入!$D$3:$D$2002,MATCH($C496&amp;"|"&amp;DAY($A496),打卡匯入!$E$3:$E$2002,0)),"")</f>
        <v/>
      </c>
      <c r="L496" s="81">
        <f>IF(OR($J496="",$K496=""),"",IFERROR(INDEX(設定!$F$6:$F$18,MATCH($G496,設定!$B$6:$B$18,0)),0))</f>
        <v/>
      </c>
      <c r="M496" s="82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1">
        <f>IF(OR($C496="",$H496="",$J496=""),0,IF(ROUND(($J496-$H496)*1440,0)&gt;設定!$C$42,ROUND(($J496-$H496)*1440,0),0))</f>
        <v/>
      </c>
      <c r="P496" s="81">
        <f>IF(OR($C496="",$I496="",$K496=""),0,IF(ROUND(($I496-$K496)*1440,0)&gt;設定!$C$42,ROUND(($I496-$K496)*1440,0),0))</f>
        <v/>
      </c>
      <c r="Q496" s="82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79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0">
        <f>IF($G497="","",IFERROR(INDEX(設定!$D$6:$D$18,MATCH($G497,設定!$B$6:$B$18,0)),""))</f>
        <v/>
      </c>
      <c r="I497" s="80">
        <f>IF($G497="","",IFERROR(INDEX(設定!$E$6:$E$18,MATCH($G497,設定!$B$6:$B$18,0)),""))</f>
        <v/>
      </c>
      <c r="J497" s="80">
        <f>IFERROR(INDEX(打卡匯入!$C$3:$C$2002,MATCH($C497&amp;"|"&amp;DAY($A497),打卡匯入!$E$3:$E$2002,0)),"")</f>
        <v/>
      </c>
      <c r="K497" s="80">
        <f>IFERROR(INDEX(打卡匯入!$D$3:$D$2002,MATCH($C497&amp;"|"&amp;DAY($A497),打卡匯入!$E$3:$E$2002,0)),"")</f>
        <v/>
      </c>
      <c r="L497" s="81">
        <f>IF(OR($J497="",$K497=""),"",IFERROR(INDEX(設定!$F$6:$F$18,MATCH($G497,設定!$B$6:$B$18,0)),0))</f>
        <v/>
      </c>
      <c r="M497" s="82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1">
        <f>IF(OR($C497="",$H497="",$J497=""),0,IF(ROUND(($J497-$H497)*1440,0)&gt;設定!$C$42,ROUND(($J497-$H497)*1440,0),0))</f>
        <v/>
      </c>
      <c r="P497" s="81">
        <f>IF(OR($C497="",$I497="",$K497=""),0,IF(ROUND(($I497-$K497)*1440,0)&gt;設定!$C$42,ROUND(($I497-$K497)*1440,0),0))</f>
        <v/>
      </c>
      <c r="Q497" s="82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79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0">
        <f>IF($G498="","",IFERROR(INDEX(設定!$D$6:$D$18,MATCH($G498,設定!$B$6:$B$18,0)),""))</f>
        <v/>
      </c>
      <c r="I498" s="80">
        <f>IF($G498="","",IFERROR(INDEX(設定!$E$6:$E$18,MATCH($G498,設定!$B$6:$B$18,0)),""))</f>
        <v/>
      </c>
      <c r="J498" s="80">
        <f>IFERROR(INDEX(打卡匯入!$C$3:$C$2002,MATCH($C498&amp;"|"&amp;DAY($A498),打卡匯入!$E$3:$E$2002,0)),"")</f>
        <v/>
      </c>
      <c r="K498" s="80">
        <f>IFERROR(INDEX(打卡匯入!$D$3:$D$2002,MATCH($C498&amp;"|"&amp;DAY($A498),打卡匯入!$E$3:$E$2002,0)),"")</f>
        <v/>
      </c>
      <c r="L498" s="81">
        <f>IF(OR($J498="",$K498=""),"",IFERROR(INDEX(設定!$F$6:$F$18,MATCH($G498,設定!$B$6:$B$18,0)),0))</f>
        <v/>
      </c>
      <c r="M498" s="82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1">
        <f>IF(OR($C498="",$H498="",$J498=""),0,IF(ROUND(($J498-$H498)*1440,0)&gt;設定!$C$42,ROUND(($J498-$H498)*1440,0),0))</f>
        <v/>
      </c>
      <c r="P498" s="81">
        <f>IF(OR($C498="",$I498="",$K498=""),0,IF(ROUND(($I498-$K498)*1440,0)&gt;設定!$C$42,ROUND(($I498-$K498)*1440,0),0))</f>
        <v/>
      </c>
      <c r="Q498" s="82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79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0">
        <f>IF($G499="","",IFERROR(INDEX(設定!$D$6:$D$18,MATCH($G499,設定!$B$6:$B$18,0)),""))</f>
        <v/>
      </c>
      <c r="I499" s="80">
        <f>IF($G499="","",IFERROR(INDEX(設定!$E$6:$E$18,MATCH($G499,設定!$B$6:$B$18,0)),""))</f>
        <v/>
      </c>
      <c r="J499" s="80">
        <f>IFERROR(INDEX(打卡匯入!$C$3:$C$2002,MATCH($C499&amp;"|"&amp;DAY($A499),打卡匯入!$E$3:$E$2002,0)),"")</f>
        <v/>
      </c>
      <c r="K499" s="80">
        <f>IFERROR(INDEX(打卡匯入!$D$3:$D$2002,MATCH($C499&amp;"|"&amp;DAY($A499),打卡匯入!$E$3:$E$2002,0)),"")</f>
        <v/>
      </c>
      <c r="L499" s="81">
        <f>IF(OR($J499="",$K499=""),"",IFERROR(INDEX(設定!$F$6:$F$18,MATCH($G499,設定!$B$6:$B$18,0)),0))</f>
        <v/>
      </c>
      <c r="M499" s="82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1">
        <f>IF(OR($C499="",$H499="",$J499=""),0,IF(ROUND(($J499-$H499)*1440,0)&gt;設定!$C$42,ROUND(($J499-$H499)*1440,0),0))</f>
        <v/>
      </c>
      <c r="P499" s="81">
        <f>IF(OR($C499="",$I499="",$K499=""),0,IF(ROUND(($I499-$K499)*1440,0)&gt;設定!$C$42,ROUND(($I499-$K499)*1440,0),0))</f>
        <v/>
      </c>
      <c r="Q499" s="82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79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0">
        <f>IF($G500="","",IFERROR(INDEX(設定!$D$6:$D$18,MATCH($G500,設定!$B$6:$B$18,0)),""))</f>
        <v/>
      </c>
      <c r="I500" s="80">
        <f>IF($G500="","",IFERROR(INDEX(設定!$E$6:$E$18,MATCH($G500,設定!$B$6:$B$18,0)),""))</f>
        <v/>
      </c>
      <c r="J500" s="80">
        <f>IFERROR(INDEX(打卡匯入!$C$3:$C$2002,MATCH($C500&amp;"|"&amp;DAY($A500),打卡匯入!$E$3:$E$2002,0)),"")</f>
        <v/>
      </c>
      <c r="K500" s="80">
        <f>IFERROR(INDEX(打卡匯入!$D$3:$D$2002,MATCH($C500&amp;"|"&amp;DAY($A500),打卡匯入!$E$3:$E$2002,0)),"")</f>
        <v/>
      </c>
      <c r="L500" s="81">
        <f>IF(OR($J500="",$K500=""),"",IFERROR(INDEX(設定!$F$6:$F$18,MATCH($G500,設定!$B$6:$B$18,0)),0))</f>
        <v/>
      </c>
      <c r="M500" s="82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1">
        <f>IF(OR($C500="",$H500="",$J500=""),0,IF(ROUND(($J500-$H500)*1440,0)&gt;設定!$C$42,ROUND(($J500-$H500)*1440,0),0))</f>
        <v/>
      </c>
      <c r="P500" s="81">
        <f>IF(OR($C500="",$I500="",$K500=""),0,IF(ROUND(($I500-$K500)*1440,0)&gt;設定!$C$42,ROUND(($I500-$K500)*1440,0),0))</f>
        <v/>
      </c>
      <c r="Q500" s="82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79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0">
        <f>IF($G501="","",IFERROR(INDEX(設定!$D$6:$D$18,MATCH($G501,設定!$B$6:$B$18,0)),""))</f>
        <v/>
      </c>
      <c r="I501" s="80">
        <f>IF($G501="","",IFERROR(INDEX(設定!$E$6:$E$18,MATCH($G501,設定!$B$6:$B$18,0)),""))</f>
        <v/>
      </c>
      <c r="J501" s="80">
        <f>IFERROR(INDEX(打卡匯入!$C$3:$C$2002,MATCH($C501&amp;"|"&amp;DAY($A501),打卡匯入!$E$3:$E$2002,0)),"")</f>
        <v/>
      </c>
      <c r="K501" s="80">
        <f>IFERROR(INDEX(打卡匯入!$D$3:$D$2002,MATCH($C501&amp;"|"&amp;DAY($A501),打卡匯入!$E$3:$E$2002,0)),"")</f>
        <v/>
      </c>
      <c r="L501" s="81">
        <f>IF(OR($J501="",$K501=""),"",IFERROR(INDEX(設定!$F$6:$F$18,MATCH($G501,設定!$B$6:$B$18,0)),0))</f>
        <v/>
      </c>
      <c r="M501" s="82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1">
        <f>IF(OR($C501="",$H501="",$J501=""),0,IF(ROUND(($J501-$H501)*1440,0)&gt;設定!$C$42,ROUND(($J501-$H501)*1440,0),0))</f>
        <v/>
      </c>
      <c r="P501" s="81">
        <f>IF(OR($C501="",$I501="",$K501=""),0,IF(ROUND(($I501-$K501)*1440,0)&gt;設定!$C$42,ROUND(($I501-$K501)*1440,0),0))</f>
        <v/>
      </c>
      <c r="Q501" s="82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79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0">
        <f>IF($G502="","",IFERROR(INDEX(設定!$D$6:$D$18,MATCH($G502,設定!$B$6:$B$18,0)),""))</f>
        <v/>
      </c>
      <c r="I502" s="80">
        <f>IF($G502="","",IFERROR(INDEX(設定!$E$6:$E$18,MATCH($G502,設定!$B$6:$B$18,0)),""))</f>
        <v/>
      </c>
      <c r="J502" s="80">
        <f>IFERROR(INDEX(打卡匯入!$C$3:$C$2002,MATCH($C502&amp;"|"&amp;DAY($A502),打卡匯入!$E$3:$E$2002,0)),"")</f>
        <v/>
      </c>
      <c r="K502" s="80">
        <f>IFERROR(INDEX(打卡匯入!$D$3:$D$2002,MATCH($C502&amp;"|"&amp;DAY($A502),打卡匯入!$E$3:$E$2002,0)),"")</f>
        <v/>
      </c>
      <c r="L502" s="81">
        <f>IF(OR($J502="",$K502=""),"",IFERROR(INDEX(設定!$F$6:$F$18,MATCH($G502,設定!$B$6:$B$18,0)),0))</f>
        <v/>
      </c>
      <c r="M502" s="82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1">
        <f>IF(OR($C502="",$H502="",$J502=""),0,IF(ROUND(($J502-$H502)*1440,0)&gt;設定!$C$42,ROUND(($J502-$H502)*1440,0),0))</f>
        <v/>
      </c>
      <c r="P502" s="81">
        <f>IF(OR($C502="",$I502="",$K502=""),0,IF(ROUND(($I502-$K502)*1440,0)&gt;設定!$C$42,ROUND(($I502-$K502)*1440,0),0))</f>
        <v/>
      </c>
      <c r="Q502" s="82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79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0">
        <f>IF($G503="","",IFERROR(INDEX(設定!$D$6:$D$18,MATCH($G503,設定!$B$6:$B$18,0)),""))</f>
        <v/>
      </c>
      <c r="I503" s="80">
        <f>IF($G503="","",IFERROR(INDEX(設定!$E$6:$E$18,MATCH($G503,設定!$B$6:$B$18,0)),""))</f>
        <v/>
      </c>
      <c r="J503" s="80">
        <f>IFERROR(INDEX(打卡匯入!$C$3:$C$2002,MATCH($C503&amp;"|"&amp;DAY($A503),打卡匯入!$E$3:$E$2002,0)),"")</f>
        <v/>
      </c>
      <c r="K503" s="80">
        <f>IFERROR(INDEX(打卡匯入!$D$3:$D$2002,MATCH($C503&amp;"|"&amp;DAY($A503),打卡匯入!$E$3:$E$2002,0)),"")</f>
        <v/>
      </c>
      <c r="L503" s="81">
        <f>IF(OR($J503="",$K503=""),"",IFERROR(INDEX(設定!$F$6:$F$18,MATCH($G503,設定!$B$6:$B$18,0)),0))</f>
        <v/>
      </c>
      <c r="M503" s="82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1">
        <f>IF(OR($C503="",$H503="",$J503=""),0,IF(ROUND(($J503-$H503)*1440,0)&gt;設定!$C$42,ROUND(($J503-$H503)*1440,0),0))</f>
        <v/>
      </c>
      <c r="P503" s="81">
        <f>IF(OR($C503="",$I503="",$K503=""),0,IF(ROUND(($I503-$K503)*1440,0)&gt;設定!$C$42,ROUND(($I503-$K503)*1440,0),0))</f>
        <v/>
      </c>
      <c r="Q503" s="82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79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0">
        <f>IF($G504="","",IFERROR(INDEX(設定!$D$6:$D$18,MATCH($G504,設定!$B$6:$B$18,0)),""))</f>
        <v/>
      </c>
      <c r="I504" s="80">
        <f>IF($G504="","",IFERROR(INDEX(設定!$E$6:$E$18,MATCH($G504,設定!$B$6:$B$18,0)),""))</f>
        <v/>
      </c>
      <c r="J504" s="80">
        <f>IFERROR(INDEX(打卡匯入!$C$3:$C$2002,MATCH($C504&amp;"|"&amp;DAY($A504),打卡匯入!$E$3:$E$2002,0)),"")</f>
        <v/>
      </c>
      <c r="K504" s="80">
        <f>IFERROR(INDEX(打卡匯入!$D$3:$D$2002,MATCH($C504&amp;"|"&amp;DAY($A504),打卡匯入!$E$3:$E$2002,0)),"")</f>
        <v/>
      </c>
      <c r="L504" s="81">
        <f>IF(OR($J504="",$K504=""),"",IFERROR(INDEX(設定!$F$6:$F$18,MATCH($G504,設定!$B$6:$B$18,0)),0))</f>
        <v/>
      </c>
      <c r="M504" s="82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1">
        <f>IF(OR($C504="",$H504="",$J504=""),0,IF(ROUND(($J504-$H504)*1440,0)&gt;設定!$C$42,ROUND(($J504-$H504)*1440,0),0))</f>
        <v/>
      </c>
      <c r="P504" s="81">
        <f>IF(OR($C504="",$I504="",$K504=""),0,IF(ROUND(($I504-$K504)*1440,0)&gt;設定!$C$42,ROUND(($I504-$K504)*1440,0),0))</f>
        <v/>
      </c>
      <c r="Q504" s="82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79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0">
        <f>IF($G505="","",IFERROR(INDEX(設定!$D$6:$D$18,MATCH($G505,設定!$B$6:$B$18,0)),""))</f>
        <v/>
      </c>
      <c r="I505" s="80">
        <f>IF($G505="","",IFERROR(INDEX(設定!$E$6:$E$18,MATCH($G505,設定!$B$6:$B$18,0)),""))</f>
        <v/>
      </c>
      <c r="J505" s="80">
        <f>IFERROR(INDEX(打卡匯入!$C$3:$C$2002,MATCH($C505&amp;"|"&amp;DAY($A505),打卡匯入!$E$3:$E$2002,0)),"")</f>
        <v/>
      </c>
      <c r="K505" s="80">
        <f>IFERROR(INDEX(打卡匯入!$D$3:$D$2002,MATCH($C505&amp;"|"&amp;DAY($A505),打卡匯入!$E$3:$E$2002,0)),"")</f>
        <v/>
      </c>
      <c r="L505" s="81">
        <f>IF(OR($J505="",$K505=""),"",IFERROR(INDEX(設定!$F$6:$F$18,MATCH($G505,設定!$B$6:$B$18,0)),0))</f>
        <v/>
      </c>
      <c r="M505" s="82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1">
        <f>IF(OR($C505="",$H505="",$J505=""),0,IF(ROUND(($J505-$H505)*1440,0)&gt;設定!$C$42,ROUND(($J505-$H505)*1440,0),0))</f>
        <v/>
      </c>
      <c r="P505" s="81">
        <f>IF(OR($C505="",$I505="",$K505=""),0,IF(ROUND(($I505-$K505)*1440,0)&gt;設定!$C$42,ROUND(($I505-$K505)*1440,0),0))</f>
        <v/>
      </c>
      <c r="Q505" s="82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79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0">
        <f>IF($G506="","",IFERROR(INDEX(設定!$D$6:$D$18,MATCH($G506,設定!$B$6:$B$18,0)),""))</f>
        <v/>
      </c>
      <c r="I506" s="80">
        <f>IF($G506="","",IFERROR(INDEX(設定!$E$6:$E$18,MATCH($G506,設定!$B$6:$B$18,0)),""))</f>
        <v/>
      </c>
      <c r="J506" s="80">
        <f>IFERROR(INDEX(打卡匯入!$C$3:$C$2002,MATCH($C506&amp;"|"&amp;DAY($A506),打卡匯入!$E$3:$E$2002,0)),"")</f>
        <v/>
      </c>
      <c r="K506" s="80">
        <f>IFERROR(INDEX(打卡匯入!$D$3:$D$2002,MATCH($C506&amp;"|"&amp;DAY($A506),打卡匯入!$E$3:$E$2002,0)),"")</f>
        <v/>
      </c>
      <c r="L506" s="81">
        <f>IF(OR($J506="",$K506=""),"",IFERROR(INDEX(設定!$F$6:$F$18,MATCH($G506,設定!$B$6:$B$18,0)),0))</f>
        <v/>
      </c>
      <c r="M506" s="82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1">
        <f>IF(OR($C506="",$H506="",$J506=""),0,IF(ROUND(($J506-$H506)*1440,0)&gt;設定!$C$42,ROUND(($J506-$H506)*1440,0),0))</f>
        <v/>
      </c>
      <c r="P506" s="81">
        <f>IF(OR($C506="",$I506="",$K506=""),0,IF(ROUND(($I506-$K506)*1440,0)&gt;設定!$C$42,ROUND(($I506-$K506)*1440,0),0))</f>
        <v/>
      </c>
      <c r="Q506" s="82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79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0">
        <f>IF($G507="","",IFERROR(INDEX(設定!$D$6:$D$18,MATCH($G507,設定!$B$6:$B$18,0)),""))</f>
        <v/>
      </c>
      <c r="I507" s="80">
        <f>IF($G507="","",IFERROR(INDEX(設定!$E$6:$E$18,MATCH($G507,設定!$B$6:$B$18,0)),""))</f>
        <v/>
      </c>
      <c r="J507" s="80">
        <f>IFERROR(INDEX(打卡匯入!$C$3:$C$2002,MATCH($C507&amp;"|"&amp;DAY($A507),打卡匯入!$E$3:$E$2002,0)),"")</f>
        <v/>
      </c>
      <c r="K507" s="80">
        <f>IFERROR(INDEX(打卡匯入!$D$3:$D$2002,MATCH($C507&amp;"|"&amp;DAY($A507),打卡匯入!$E$3:$E$2002,0)),"")</f>
        <v/>
      </c>
      <c r="L507" s="81">
        <f>IF(OR($J507="",$K507=""),"",IFERROR(INDEX(設定!$F$6:$F$18,MATCH($G507,設定!$B$6:$B$18,0)),0))</f>
        <v/>
      </c>
      <c r="M507" s="82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1">
        <f>IF(OR($C507="",$H507="",$J507=""),0,IF(ROUND(($J507-$H507)*1440,0)&gt;設定!$C$42,ROUND(($J507-$H507)*1440,0),0))</f>
        <v/>
      </c>
      <c r="P507" s="81">
        <f>IF(OR($C507="",$I507="",$K507=""),0,IF(ROUND(($I507-$K507)*1440,0)&gt;設定!$C$42,ROUND(($I507-$K507)*1440,0),0))</f>
        <v/>
      </c>
      <c r="Q507" s="82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79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0">
        <f>IF($G508="","",IFERROR(INDEX(設定!$D$6:$D$18,MATCH($G508,設定!$B$6:$B$18,0)),""))</f>
        <v/>
      </c>
      <c r="I508" s="80">
        <f>IF($G508="","",IFERROR(INDEX(設定!$E$6:$E$18,MATCH($G508,設定!$B$6:$B$18,0)),""))</f>
        <v/>
      </c>
      <c r="J508" s="80">
        <f>IFERROR(INDEX(打卡匯入!$C$3:$C$2002,MATCH($C508&amp;"|"&amp;DAY($A508),打卡匯入!$E$3:$E$2002,0)),"")</f>
        <v/>
      </c>
      <c r="K508" s="80">
        <f>IFERROR(INDEX(打卡匯入!$D$3:$D$2002,MATCH($C508&amp;"|"&amp;DAY($A508),打卡匯入!$E$3:$E$2002,0)),"")</f>
        <v/>
      </c>
      <c r="L508" s="81">
        <f>IF(OR($J508="",$K508=""),"",IFERROR(INDEX(設定!$F$6:$F$18,MATCH($G508,設定!$B$6:$B$18,0)),0))</f>
        <v/>
      </c>
      <c r="M508" s="82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1">
        <f>IF(OR($C508="",$H508="",$J508=""),0,IF(ROUND(($J508-$H508)*1440,0)&gt;設定!$C$42,ROUND(($J508-$H508)*1440,0),0))</f>
        <v/>
      </c>
      <c r="P508" s="81">
        <f>IF(OR($C508="",$I508="",$K508=""),0,IF(ROUND(($I508-$K508)*1440,0)&gt;設定!$C$42,ROUND(($I508-$K508)*1440,0),0))</f>
        <v/>
      </c>
      <c r="Q508" s="82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79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0">
        <f>IF($G509="","",IFERROR(INDEX(設定!$D$6:$D$18,MATCH($G509,設定!$B$6:$B$18,0)),""))</f>
        <v/>
      </c>
      <c r="I509" s="80">
        <f>IF($G509="","",IFERROR(INDEX(設定!$E$6:$E$18,MATCH($G509,設定!$B$6:$B$18,0)),""))</f>
        <v/>
      </c>
      <c r="J509" s="80">
        <f>IFERROR(INDEX(打卡匯入!$C$3:$C$2002,MATCH($C509&amp;"|"&amp;DAY($A509),打卡匯入!$E$3:$E$2002,0)),"")</f>
        <v/>
      </c>
      <c r="K509" s="80">
        <f>IFERROR(INDEX(打卡匯入!$D$3:$D$2002,MATCH($C509&amp;"|"&amp;DAY($A509),打卡匯入!$E$3:$E$2002,0)),"")</f>
        <v/>
      </c>
      <c r="L509" s="81">
        <f>IF(OR($J509="",$K509=""),"",IFERROR(INDEX(設定!$F$6:$F$18,MATCH($G509,設定!$B$6:$B$18,0)),0))</f>
        <v/>
      </c>
      <c r="M509" s="82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1">
        <f>IF(OR($C509="",$H509="",$J509=""),0,IF(ROUND(($J509-$H509)*1440,0)&gt;設定!$C$42,ROUND(($J509-$H509)*1440,0),0))</f>
        <v/>
      </c>
      <c r="P509" s="81">
        <f>IF(OR($C509="",$I509="",$K509=""),0,IF(ROUND(($I509-$K509)*1440,0)&gt;設定!$C$42,ROUND(($I509-$K509)*1440,0),0))</f>
        <v/>
      </c>
      <c r="Q509" s="82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79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0">
        <f>IF($G510="","",IFERROR(INDEX(設定!$D$6:$D$18,MATCH($G510,設定!$B$6:$B$18,0)),""))</f>
        <v/>
      </c>
      <c r="I510" s="80">
        <f>IF($G510="","",IFERROR(INDEX(設定!$E$6:$E$18,MATCH($G510,設定!$B$6:$B$18,0)),""))</f>
        <v/>
      </c>
      <c r="J510" s="80">
        <f>IFERROR(INDEX(打卡匯入!$C$3:$C$2002,MATCH($C510&amp;"|"&amp;DAY($A510),打卡匯入!$E$3:$E$2002,0)),"")</f>
        <v/>
      </c>
      <c r="K510" s="80">
        <f>IFERROR(INDEX(打卡匯入!$D$3:$D$2002,MATCH($C510&amp;"|"&amp;DAY($A510),打卡匯入!$E$3:$E$2002,0)),"")</f>
        <v/>
      </c>
      <c r="L510" s="81">
        <f>IF(OR($J510="",$K510=""),"",IFERROR(INDEX(設定!$F$6:$F$18,MATCH($G510,設定!$B$6:$B$18,0)),0))</f>
        <v/>
      </c>
      <c r="M510" s="82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1">
        <f>IF(OR($C510="",$H510="",$J510=""),0,IF(ROUND(($J510-$H510)*1440,0)&gt;設定!$C$42,ROUND(($J510-$H510)*1440,0),0))</f>
        <v/>
      </c>
      <c r="P510" s="81">
        <f>IF(OR($C510="",$I510="",$K510=""),0,IF(ROUND(($I510-$K510)*1440,0)&gt;設定!$C$42,ROUND(($I510-$K510)*1440,0),0))</f>
        <v/>
      </c>
      <c r="Q510" s="82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79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0">
        <f>IF($G511="","",IFERROR(INDEX(設定!$D$6:$D$18,MATCH($G511,設定!$B$6:$B$18,0)),""))</f>
        <v/>
      </c>
      <c r="I511" s="80">
        <f>IF($G511="","",IFERROR(INDEX(設定!$E$6:$E$18,MATCH($G511,設定!$B$6:$B$18,0)),""))</f>
        <v/>
      </c>
      <c r="J511" s="80">
        <f>IFERROR(INDEX(打卡匯入!$C$3:$C$2002,MATCH($C511&amp;"|"&amp;DAY($A511),打卡匯入!$E$3:$E$2002,0)),"")</f>
        <v/>
      </c>
      <c r="K511" s="80">
        <f>IFERROR(INDEX(打卡匯入!$D$3:$D$2002,MATCH($C511&amp;"|"&amp;DAY($A511),打卡匯入!$E$3:$E$2002,0)),"")</f>
        <v/>
      </c>
      <c r="L511" s="81">
        <f>IF(OR($J511="",$K511=""),"",IFERROR(INDEX(設定!$F$6:$F$18,MATCH($G511,設定!$B$6:$B$18,0)),0))</f>
        <v/>
      </c>
      <c r="M511" s="82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1">
        <f>IF(OR($C511="",$H511="",$J511=""),0,IF(ROUND(($J511-$H511)*1440,0)&gt;設定!$C$42,ROUND(($J511-$H511)*1440,0),0))</f>
        <v/>
      </c>
      <c r="P511" s="81">
        <f>IF(OR($C511="",$I511="",$K511=""),0,IF(ROUND(($I511-$K511)*1440,0)&gt;設定!$C$42,ROUND(($I511-$K511)*1440,0),0))</f>
        <v/>
      </c>
      <c r="Q511" s="82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79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0">
        <f>IF($G512="","",IFERROR(INDEX(設定!$D$6:$D$18,MATCH($G512,設定!$B$6:$B$18,0)),""))</f>
        <v/>
      </c>
      <c r="I512" s="80">
        <f>IF($G512="","",IFERROR(INDEX(設定!$E$6:$E$18,MATCH($G512,設定!$B$6:$B$18,0)),""))</f>
        <v/>
      </c>
      <c r="J512" s="80">
        <f>IFERROR(INDEX(打卡匯入!$C$3:$C$2002,MATCH($C512&amp;"|"&amp;DAY($A512),打卡匯入!$E$3:$E$2002,0)),"")</f>
        <v/>
      </c>
      <c r="K512" s="80">
        <f>IFERROR(INDEX(打卡匯入!$D$3:$D$2002,MATCH($C512&amp;"|"&amp;DAY($A512),打卡匯入!$E$3:$E$2002,0)),"")</f>
        <v/>
      </c>
      <c r="L512" s="81">
        <f>IF(OR($J512="",$K512=""),"",IFERROR(INDEX(設定!$F$6:$F$18,MATCH($G512,設定!$B$6:$B$18,0)),0))</f>
        <v/>
      </c>
      <c r="M512" s="82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1">
        <f>IF(OR($C512="",$H512="",$J512=""),0,IF(ROUND(($J512-$H512)*1440,0)&gt;設定!$C$42,ROUND(($J512-$H512)*1440,0),0))</f>
        <v/>
      </c>
      <c r="P512" s="81">
        <f>IF(OR($C512="",$I512="",$K512=""),0,IF(ROUND(($I512-$K512)*1440,0)&gt;設定!$C$42,ROUND(($I512-$K512)*1440,0),0))</f>
        <v/>
      </c>
      <c r="Q512" s="82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79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0">
        <f>IF($G513="","",IFERROR(INDEX(設定!$D$6:$D$18,MATCH($G513,設定!$B$6:$B$18,0)),""))</f>
        <v/>
      </c>
      <c r="I513" s="80">
        <f>IF($G513="","",IFERROR(INDEX(設定!$E$6:$E$18,MATCH($G513,設定!$B$6:$B$18,0)),""))</f>
        <v/>
      </c>
      <c r="J513" s="80">
        <f>IFERROR(INDEX(打卡匯入!$C$3:$C$2002,MATCH($C513&amp;"|"&amp;DAY($A513),打卡匯入!$E$3:$E$2002,0)),"")</f>
        <v/>
      </c>
      <c r="K513" s="80">
        <f>IFERROR(INDEX(打卡匯入!$D$3:$D$2002,MATCH($C513&amp;"|"&amp;DAY($A513),打卡匯入!$E$3:$E$2002,0)),"")</f>
        <v/>
      </c>
      <c r="L513" s="81">
        <f>IF(OR($J513="",$K513=""),"",IFERROR(INDEX(設定!$F$6:$F$18,MATCH($G513,設定!$B$6:$B$18,0)),0))</f>
        <v/>
      </c>
      <c r="M513" s="82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1">
        <f>IF(OR($C513="",$H513="",$J513=""),0,IF(ROUND(($J513-$H513)*1440,0)&gt;設定!$C$42,ROUND(($J513-$H513)*1440,0),0))</f>
        <v/>
      </c>
      <c r="P513" s="81">
        <f>IF(OR($C513="",$I513="",$K513=""),0,IF(ROUND(($I513-$K513)*1440,0)&gt;設定!$C$42,ROUND(($I513-$K513)*1440,0),0))</f>
        <v/>
      </c>
      <c r="Q513" s="82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79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0">
        <f>IF($G514="","",IFERROR(INDEX(設定!$D$6:$D$18,MATCH($G514,設定!$B$6:$B$18,0)),""))</f>
        <v/>
      </c>
      <c r="I514" s="80">
        <f>IF($G514="","",IFERROR(INDEX(設定!$E$6:$E$18,MATCH($G514,設定!$B$6:$B$18,0)),""))</f>
        <v/>
      </c>
      <c r="J514" s="80">
        <f>IFERROR(INDEX(打卡匯入!$C$3:$C$2002,MATCH($C514&amp;"|"&amp;DAY($A514),打卡匯入!$E$3:$E$2002,0)),"")</f>
        <v/>
      </c>
      <c r="K514" s="80">
        <f>IFERROR(INDEX(打卡匯入!$D$3:$D$2002,MATCH($C514&amp;"|"&amp;DAY($A514),打卡匯入!$E$3:$E$2002,0)),"")</f>
        <v/>
      </c>
      <c r="L514" s="81">
        <f>IF(OR($J514="",$K514=""),"",IFERROR(INDEX(設定!$F$6:$F$18,MATCH($G514,設定!$B$6:$B$18,0)),0))</f>
        <v/>
      </c>
      <c r="M514" s="82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1">
        <f>IF(OR($C514="",$H514="",$J514=""),0,IF(ROUND(($J514-$H514)*1440,0)&gt;設定!$C$42,ROUND(($J514-$H514)*1440,0),0))</f>
        <v/>
      </c>
      <c r="P514" s="81">
        <f>IF(OR($C514="",$I514="",$K514=""),0,IF(ROUND(($I514-$K514)*1440,0)&gt;設定!$C$42,ROUND(($I514-$K514)*1440,0),0))</f>
        <v/>
      </c>
      <c r="Q514" s="82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79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0">
        <f>IF($G515="","",IFERROR(INDEX(設定!$D$6:$D$18,MATCH($G515,設定!$B$6:$B$18,0)),""))</f>
        <v/>
      </c>
      <c r="I515" s="80">
        <f>IF($G515="","",IFERROR(INDEX(設定!$E$6:$E$18,MATCH($G515,設定!$B$6:$B$18,0)),""))</f>
        <v/>
      </c>
      <c r="J515" s="80">
        <f>IFERROR(INDEX(打卡匯入!$C$3:$C$2002,MATCH($C515&amp;"|"&amp;DAY($A515),打卡匯入!$E$3:$E$2002,0)),"")</f>
        <v/>
      </c>
      <c r="K515" s="80">
        <f>IFERROR(INDEX(打卡匯入!$D$3:$D$2002,MATCH($C515&amp;"|"&amp;DAY($A515),打卡匯入!$E$3:$E$2002,0)),"")</f>
        <v/>
      </c>
      <c r="L515" s="81">
        <f>IF(OR($J515="",$K515=""),"",IFERROR(INDEX(設定!$F$6:$F$18,MATCH($G515,設定!$B$6:$B$18,0)),0))</f>
        <v/>
      </c>
      <c r="M515" s="82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1">
        <f>IF(OR($C515="",$H515="",$J515=""),0,IF(ROUND(($J515-$H515)*1440,0)&gt;設定!$C$42,ROUND(($J515-$H515)*1440,0),0))</f>
        <v/>
      </c>
      <c r="P515" s="81">
        <f>IF(OR($C515="",$I515="",$K515=""),0,IF(ROUND(($I515-$K515)*1440,0)&gt;設定!$C$42,ROUND(($I515-$K515)*1440,0),0))</f>
        <v/>
      </c>
      <c r="Q515" s="82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79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0">
        <f>IF($G516="","",IFERROR(INDEX(設定!$D$6:$D$18,MATCH($G516,設定!$B$6:$B$18,0)),""))</f>
        <v/>
      </c>
      <c r="I516" s="80">
        <f>IF($G516="","",IFERROR(INDEX(設定!$E$6:$E$18,MATCH($G516,設定!$B$6:$B$18,0)),""))</f>
        <v/>
      </c>
      <c r="J516" s="80">
        <f>IFERROR(INDEX(打卡匯入!$C$3:$C$2002,MATCH($C516&amp;"|"&amp;DAY($A516),打卡匯入!$E$3:$E$2002,0)),"")</f>
        <v/>
      </c>
      <c r="K516" s="80">
        <f>IFERROR(INDEX(打卡匯入!$D$3:$D$2002,MATCH($C516&amp;"|"&amp;DAY($A516),打卡匯入!$E$3:$E$2002,0)),"")</f>
        <v/>
      </c>
      <c r="L516" s="81">
        <f>IF(OR($J516="",$K516=""),"",IFERROR(INDEX(設定!$F$6:$F$18,MATCH($G516,設定!$B$6:$B$18,0)),0))</f>
        <v/>
      </c>
      <c r="M516" s="82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1">
        <f>IF(OR($C516="",$H516="",$J516=""),0,IF(ROUND(($J516-$H516)*1440,0)&gt;設定!$C$42,ROUND(($J516-$H516)*1440,0),0))</f>
        <v/>
      </c>
      <c r="P516" s="81">
        <f>IF(OR($C516="",$I516="",$K516=""),0,IF(ROUND(($I516-$K516)*1440,0)&gt;設定!$C$42,ROUND(($I516-$K516)*1440,0),0))</f>
        <v/>
      </c>
      <c r="Q516" s="82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79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0">
        <f>IF($G517="","",IFERROR(INDEX(設定!$D$6:$D$18,MATCH($G517,設定!$B$6:$B$18,0)),""))</f>
        <v/>
      </c>
      <c r="I517" s="80">
        <f>IF($G517="","",IFERROR(INDEX(設定!$E$6:$E$18,MATCH($G517,設定!$B$6:$B$18,0)),""))</f>
        <v/>
      </c>
      <c r="J517" s="80">
        <f>IFERROR(INDEX(打卡匯入!$C$3:$C$2002,MATCH($C517&amp;"|"&amp;DAY($A517),打卡匯入!$E$3:$E$2002,0)),"")</f>
        <v/>
      </c>
      <c r="K517" s="80">
        <f>IFERROR(INDEX(打卡匯入!$D$3:$D$2002,MATCH($C517&amp;"|"&amp;DAY($A517),打卡匯入!$E$3:$E$2002,0)),"")</f>
        <v/>
      </c>
      <c r="L517" s="81">
        <f>IF(OR($J517="",$K517=""),"",IFERROR(INDEX(設定!$F$6:$F$18,MATCH($G517,設定!$B$6:$B$18,0)),0))</f>
        <v/>
      </c>
      <c r="M517" s="82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1">
        <f>IF(OR($C517="",$H517="",$J517=""),0,IF(ROUND(($J517-$H517)*1440,0)&gt;設定!$C$42,ROUND(($J517-$H517)*1440,0),0))</f>
        <v/>
      </c>
      <c r="P517" s="81">
        <f>IF(OR($C517="",$I517="",$K517=""),0,IF(ROUND(($I517-$K517)*1440,0)&gt;設定!$C$42,ROUND(($I517-$K517)*1440,0),0))</f>
        <v/>
      </c>
      <c r="Q517" s="82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79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0">
        <f>IF($G518="","",IFERROR(INDEX(設定!$D$6:$D$18,MATCH($G518,設定!$B$6:$B$18,0)),""))</f>
        <v/>
      </c>
      <c r="I518" s="80">
        <f>IF($G518="","",IFERROR(INDEX(設定!$E$6:$E$18,MATCH($G518,設定!$B$6:$B$18,0)),""))</f>
        <v/>
      </c>
      <c r="J518" s="80">
        <f>IFERROR(INDEX(打卡匯入!$C$3:$C$2002,MATCH($C518&amp;"|"&amp;DAY($A518),打卡匯入!$E$3:$E$2002,0)),"")</f>
        <v/>
      </c>
      <c r="K518" s="80">
        <f>IFERROR(INDEX(打卡匯入!$D$3:$D$2002,MATCH($C518&amp;"|"&amp;DAY($A518),打卡匯入!$E$3:$E$2002,0)),"")</f>
        <v/>
      </c>
      <c r="L518" s="81">
        <f>IF(OR($J518="",$K518=""),"",IFERROR(INDEX(設定!$F$6:$F$18,MATCH($G518,設定!$B$6:$B$18,0)),0))</f>
        <v/>
      </c>
      <c r="M518" s="82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1">
        <f>IF(OR($C518="",$H518="",$J518=""),0,IF(ROUND(($J518-$H518)*1440,0)&gt;設定!$C$42,ROUND(($J518-$H518)*1440,0),0))</f>
        <v/>
      </c>
      <c r="P518" s="81">
        <f>IF(OR($C518="",$I518="",$K518=""),0,IF(ROUND(($I518-$K518)*1440,0)&gt;設定!$C$42,ROUND(($I518-$K518)*1440,0),0))</f>
        <v/>
      </c>
      <c r="Q518" s="82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79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0">
        <f>IF($G519="","",IFERROR(INDEX(設定!$D$6:$D$18,MATCH($G519,設定!$B$6:$B$18,0)),""))</f>
        <v/>
      </c>
      <c r="I519" s="80">
        <f>IF($G519="","",IFERROR(INDEX(設定!$E$6:$E$18,MATCH($G519,設定!$B$6:$B$18,0)),""))</f>
        <v/>
      </c>
      <c r="J519" s="80">
        <f>IFERROR(INDEX(打卡匯入!$C$3:$C$2002,MATCH($C519&amp;"|"&amp;DAY($A519),打卡匯入!$E$3:$E$2002,0)),"")</f>
        <v/>
      </c>
      <c r="K519" s="80">
        <f>IFERROR(INDEX(打卡匯入!$D$3:$D$2002,MATCH($C519&amp;"|"&amp;DAY($A519),打卡匯入!$E$3:$E$2002,0)),"")</f>
        <v/>
      </c>
      <c r="L519" s="81">
        <f>IF(OR($J519="",$K519=""),"",IFERROR(INDEX(設定!$F$6:$F$18,MATCH($G519,設定!$B$6:$B$18,0)),0))</f>
        <v/>
      </c>
      <c r="M519" s="82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1">
        <f>IF(OR($C519="",$H519="",$J519=""),0,IF(ROUND(($J519-$H519)*1440,0)&gt;設定!$C$42,ROUND(($J519-$H519)*1440,0),0))</f>
        <v/>
      </c>
      <c r="P519" s="81">
        <f>IF(OR($C519="",$I519="",$K519=""),0,IF(ROUND(($I519-$K519)*1440,0)&gt;設定!$C$42,ROUND(($I519-$K519)*1440,0),0))</f>
        <v/>
      </c>
      <c r="Q519" s="82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79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0">
        <f>IF($G520="","",IFERROR(INDEX(設定!$D$6:$D$18,MATCH($G520,設定!$B$6:$B$18,0)),""))</f>
        <v/>
      </c>
      <c r="I520" s="80">
        <f>IF($G520="","",IFERROR(INDEX(設定!$E$6:$E$18,MATCH($G520,設定!$B$6:$B$18,0)),""))</f>
        <v/>
      </c>
      <c r="J520" s="80">
        <f>IFERROR(INDEX(打卡匯入!$C$3:$C$2002,MATCH($C520&amp;"|"&amp;DAY($A520),打卡匯入!$E$3:$E$2002,0)),"")</f>
        <v/>
      </c>
      <c r="K520" s="80">
        <f>IFERROR(INDEX(打卡匯入!$D$3:$D$2002,MATCH($C520&amp;"|"&amp;DAY($A520),打卡匯入!$E$3:$E$2002,0)),"")</f>
        <v/>
      </c>
      <c r="L520" s="81">
        <f>IF(OR($J520="",$K520=""),"",IFERROR(INDEX(設定!$F$6:$F$18,MATCH($G520,設定!$B$6:$B$18,0)),0))</f>
        <v/>
      </c>
      <c r="M520" s="82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1">
        <f>IF(OR($C520="",$H520="",$J520=""),0,IF(ROUND(($J520-$H520)*1440,0)&gt;設定!$C$42,ROUND(($J520-$H520)*1440,0),0))</f>
        <v/>
      </c>
      <c r="P520" s="81">
        <f>IF(OR($C520="",$I520="",$K520=""),0,IF(ROUND(($I520-$K520)*1440,0)&gt;設定!$C$42,ROUND(($I520-$K520)*1440,0),0))</f>
        <v/>
      </c>
      <c r="Q520" s="82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79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0">
        <f>IF($G521="","",IFERROR(INDEX(設定!$D$6:$D$18,MATCH($G521,設定!$B$6:$B$18,0)),""))</f>
        <v/>
      </c>
      <c r="I521" s="80">
        <f>IF($G521="","",IFERROR(INDEX(設定!$E$6:$E$18,MATCH($G521,設定!$B$6:$B$18,0)),""))</f>
        <v/>
      </c>
      <c r="J521" s="80">
        <f>IFERROR(INDEX(打卡匯入!$C$3:$C$2002,MATCH($C521&amp;"|"&amp;DAY($A521),打卡匯入!$E$3:$E$2002,0)),"")</f>
        <v/>
      </c>
      <c r="K521" s="80">
        <f>IFERROR(INDEX(打卡匯入!$D$3:$D$2002,MATCH($C521&amp;"|"&amp;DAY($A521),打卡匯入!$E$3:$E$2002,0)),"")</f>
        <v/>
      </c>
      <c r="L521" s="81">
        <f>IF(OR($J521="",$K521=""),"",IFERROR(INDEX(設定!$F$6:$F$18,MATCH($G521,設定!$B$6:$B$18,0)),0))</f>
        <v/>
      </c>
      <c r="M521" s="82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1">
        <f>IF(OR($C521="",$H521="",$J521=""),0,IF(ROUND(($J521-$H521)*1440,0)&gt;設定!$C$42,ROUND(($J521-$H521)*1440,0),0))</f>
        <v/>
      </c>
      <c r="P521" s="81">
        <f>IF(OR($C521="",$I521="",$K521=""),0,IF(ROUND(($I521-$K521)*1440,0)&gt;設定!$C$42,ROUND(($I521-$K521)*1440,0),0))</f>
        <v/>
      </c>
      <c r="Q521" s="82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79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0">
        <f>IF($G522="","",IFERROR(INDEX(設定!$D$6:$D$18,MATCH($G522,設定!$B$6:$B$18,0)),""))</f>
        <v/>
      </c>
      <c r="I522" s="80">
        <f>IF($G522="","",IFERROR(INDEX(設定!$E$6:$E$18,MATCH($G522,設定!$B$6:$B$18,0)),""))</f>
        <v/>
      </c>
      <c r="J522" s="80">
        <f>IFERROR(INDEX(打卡匯入!$C$3:$C$2002,MATCH($C522&amp;"|"&amp;DAY($A522),打卡匯入!$E$3:$E$2002,0)),"")</f>
        <v/>
      </c>
      <c r="K522" s="80">
        <f>IFERROR(INDEX(打卡匯入!$D$3:$D$2002,MATCH($C522&amp;"|"&amp;DAY($A522),打卡匯入!$E$3:$E$2002,0)),"")</f>
        <v/>
      </c>
      <c r="L522" s="81">
        <f>IF(OR($J522="",$K522=""),"",IFERROR(INDEX(設定!$F$6:$F$18,MATCH($G522,設定!$B$6:$B$18,0)),0))</f>
        <v/>
      </c>
      <c r="M522" s="82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1">
        <f>IF(OR($C522="",$H522="",$J522=""),0,IF(ROUND(($J522-$H522)*1440,0)&gt;設定!$C$42,ROUND(($J522-$H522)*1440,0),0))</f>
        <v/>
      </c>
      <c r="P522" s="81">
        <f>IF(OR($C522="",$I522="",$K522=""),0,IF(ROUND(($I522-$K522)*1440,0)&gt;設定!$C$42,ROUND(($I522-$K522)*1440,0),0))</f>
        <v/>
      </c>
      <c r="Q522" s="82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79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0">
        <f>IF($G523="","",IFERROR(INDEX(設定!$D$6:$D$18,MATCH($G523,設定!$B$6:$B$18,0)),""))</f>
        <v/>
      </c>
      <c r="I523" s="80">
        <f>IF($G523="","",IFERROR(INDEX(設定!$E$6:$E$18,MATCH($G523,設定!$B$6:$B$18,0)),""))</f>
        <v/>
      </c>
      <c r="J523" s="80">
        <f>IFERROR(INDEX(打卡匯入!$C$3:$C$2002,MATCH($C523&amp;"|"&amp;DAY($A523),打卡匯入!$E$3:$E$2002,0)),"")</f>
        <v/>
      </c>
      <c r="K523" s="80">
        <f>IFERROR(INDEX(打卡匯入!$D$3:$D$2002,MATCH($C523&amp;"|"&amp;DAY($A523),打卡匯入!$E$3:$E$2002,0)),"")</f>
        <v/>
      </c>
      <c r="L523" s="81">
        <f>IF(OR($J523="",$K523=""),"",IFERROR(INDEX(設定!$F$6:$F$18,MATCH($G523,設定!$B$6:$B$18,0)),0))</f>
        <v/>
      </c>
      <c r="M523" s="82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1">
        <f>IF(OR($C523="",$H523="",$J523=""),0,IF(ROUND(($J523-$H523)*1440,0)&gt;設定!$C$42,ROUND(($J523-$H523)*1440,0),0))</f>
        <v/>
      </c>
      <c r="P523" s="81">
        <f>IF(OR($C523="",$I523="",$K523=""),0,IF(ROUND(($I523-$K523)*1440,0)&gt;設定!$C$42,ROUND(($I523-$K523)*1440,0),0))</f>
        <v/>
      </c>
      <c r="Q523" s="82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79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0">
        <f>IF($G524="","",IFERROR(INDEX(設定!$D$6:$D$18,MATCH($G524,設定!$B$6:$B$18,0)),""))</f>
        <v/>
      </c>
      <c r="I524" s="80">
        <f>IF($G524="","",IFERROR(INDEX(設定!$E$6:$E$18,MATCH($G524,設定!$B$6:$B$18,0)),""))</f>
        <v/>
      </c>
      <c r="J524" s="80">
        <f>IFERROR(INDEX(打卡匯入!$C$3:$C$2002,MATCH($C524&amp;"|"&amp;DAY($A524),打卡匯入!$E$3:$E$2002,0)),"")</f>
        <v/>
      </c>
      <c r="K524" s="80">
        <f>IFERROR(INDEX(打卡匯入!$D$3:$D$2002,MATCH($C524&amp;"|"&amp;DAY($A524),打卡匯入!$E$3:$E$2002,0)),"")</f>
        <v/>
      </c>
      <c r="L524" s="81">
        <f>IF(OR($J524="",$K524=""),"",IFERROR(INDEX(設定!$F$6:$F$18,MATCH($G524,設定!$B$6:$B$18,0)),0))</f>
        <v/>
      </c>
      <c r="M524" s="82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1">
        <f>IF(OR($C524="",$H524="",$J524=""),0,IF(ROUND(($J524-$H524)*1440,0)&gt;設定!$C$42,ROUND(($J524-$H524)*1440,0),0))</f>
        <v/>
      </c>
      <c r="P524" s="81">
        <f>IF(OR($C524="",$I524="",$K524=""),0,IF(ROUND(($I524-$K524)*1440,0)&gt;設定!$C$42,ROUND(($I524-$K524)*1440,0),0))</f>
        <v/>
      </c>
      <c r="Q524" s="82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79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0">
        <f>IF($G525="","",IFERROR(INDEX(設定!$D$6:$D$18,MATCH($G525,設定!$B$6:$B$18,0)),""))</f>
        <v/>
      </c>
      <c r="I525" s="80">
        <f>IF($G525="","",IFERROR(INDEX(設定!$E$6:$E$18,MATCH($G525,設定!$B$6:$B$18,0)),""))</f>
        <v/>
      </c>
      <c r="J525" s="80">
        <f>IFERROR(INDEX(打卡匯入!$C$3:$C$2002,MATCH($C525&amp;"|"&amp;DAY($A525),打卡匯入!$E$3:$E$2002,0)),"")</f>
        <v/>
      </c>
      <c r="K525" s="80">
        <f>IFERROR(INDEX(打卡匯入!$D$3:$D$2002,MATCH($C525&amp;"|"&amp;DAY($A525),打卡匯入!$E$3:$E$2002,0)),"")</f>
        <v/>
      </c>
      <c r="L525" s="81">
        <f>IF(OR($J525="",$K525=""),"",IFERROR(INDEX(設定!$F$6:$F$18,MATCH($G525,設定!$B$6:$B$18,0)),0))</f>
        <v/>
      </c>
      <c r="M525" s="82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1">
        <f>IF(OR($C525="",$H525="",$J525=""),0,IF(ROUND(($J525-$H525)*1440,0)&gt;設定!$C$42,ROUND(($J525-$H525)*1440,0),0))</f>
        <v/>
      </c>
      <c r="P525" s="81">
        <f>IF(OR($C525="",$I525="",$K525=""),0,IF(ROUND(($I525-$K525)*1440,0)&gt;設定!$C$42,ROUND(($I525-$K525)*1440,0),0))</f>
        <v/>
      </c>
      <c r="Q525" s="82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79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0">
        <f>IF($G526="","",IFERROR(INDEX(設定!$D$6:$D$18,MATCH($G526,設定!$B$6:$B$18,0)),""))</f>
        <v/>
      </c>
      <c r="I526" s="80">
        <f>IF($G526="","",IFERROR(INDEX(設定!$E$6:$E$18,MATCH($G526,設定!$B$6:$B$18,0)),""))</f>
        <v/>
      </c>
      <c r="J526" s="80">
        <f>IFERROR(INDEX(打卡匯入!$C$3:$C$2002,MATCH($C526&amp;"|"&amp;DAY($A526),打卡匯入!$E$3:$E$2002,0)),"")</f>
        <v/>
      </c>
      <c r="K526" s="80">
        <f>IFERROR(INDEX(打卡匯入!$D$3:$D$2002,MATCH($C526&amp;"|"&amp;DAY($A526),打卡匯入!$E$3:$E$2002,0)),"")</f>
        <v/>
      </c>
      <c r="L526" s="81">
        <f>IF(OR($J526="",$K526=""),"",IFERROR(INDEX(設定!$F$6:$F$18,MATCH($G526,設定!$B$6:$B$18,0)),0))</f>
        <v/>
      </c>
      <c r="M526" s="82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1">
        <f>IF(OR($C526="",$H526="",$J526=""),0,IF(ROUND(($J526-$H526)*1440,0)&gt;設定!$C$42,ROUND(($J526-$H526)*1440,0),0))</f>
        <v/>
      </c>
      <c r="P526" s="81">
        <f>IF(OR($C526="",$I526="",$K526=""),0,IF(ROUND(($I526-$K526)*1440,0)&gt;設定!$C$42,ROUND(($I526-$K526)*1440,0),0))</f>
        <v/>
      </c>
      <c r="Q526" s="82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79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0">
        <f>IF($G527="","",IFERROR(INDEX(設定!$D$6:$D$18,MATCH($G527,設定!$B$6:$B$18,0)),""))</f>
        <v/>
      </c>
      <c r="I527" s="80">
        <f>IF($G527="","",IFERROR(INDEX(設定!$E$6:$E$18,MATCH($G527,設定!$B$6:$B$18,0)),""))</f>
        <v/>
      </c>
      <c r="J527" s="80">
        <f>IFERROR(INDEX(打卡匯入!$C$3:$C$2002,MATCH($C527&amp;"|"&amp;DAY($A527),打卡匯入!$E$3:$E$2002,0)),"")</f>
        <v/>
      </c>
      <c r="K527" s="80">
        <f>IFERROR(INDEX(打卡匯入!$D$3:$D$2002,MATCH($C527&amp;"|"&amp;DAY($A527),打卡匯入!$E$3:$E$2002,0)),"")</f>
        <v/>
      </c>
      <c r="L527" s="81">
        <f>IF(OR($J527="",$K527=""),"",IFERROR(INDEX(設定!$F$6:$F$18,MATCH($G527,設定!$B$6:$B$18,0)),0))</f>
        <v/>
      </c>
      <c r="M527" s="82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1">
        <f>IF(OR($C527="",$H527="",$J527=""),0,IF(ROUND(($J527-$H527)*1440,0)&gt;設定!$C$42,ROUND(($J527-$H527)*1440,0),0))</f>
        <v/>
      </c>
      <c r="P527" s="81">
        <f>IF(OR($C527="",$I527="",$K527=""),0,IF(ROUND(($I527-$K527)*1440,0)&gt;設定!$C$42,ROUND(($I527-$K527)*1440,0),0))</f>
        <v/>
      </c>
      <c r="Q527" s="82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79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0">
        <f>IF($G528="","",IFERROR(INDEX(設定!$D$6:$D$18,MATCH($G528,設定!$B$6:$B$18,0)),""))</f>
        <v/>
      </c>
      <c r="I528" s="80">
        <f>IF($G528="","",IFERROR(INDEX(設定!$E$6:$E$18,MATCH($G528,設定!$B$6:$B$18,0)),""))</f>
        <v/>
      </c>
      <c r="J528" s="80">
        <f>IFERROR(INDEX(打卡匯入!$C$3:$C$2002,MATCH($C528&amp;"|"&amp;DAY($A528),打卡匯入!$E$3:$E$2002,0)),"")</f>
        <v/>
      </c>
      <c r="K528" s="80">
        <f>IFERROR(INDEX(打卡匯入!$D$3:$D$2002,MATCH($C528&amp;"|"&amp;DAY($A528),打卡匯入!$E$3:$E$2002,0)),"")</f>
        <v/>
      </c>
      <c r="L528" s="81">
        <f>IF(OR($J528="",$K528=""),"",IFERROR(INDEX(設定!$F$6:$F$18,MATCH($G528,設定!$B$6:$B$18,0)),0))</f>
        <v/>
      </c>
      <c r="M528" s="82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1">
        <f>IF(OR($C528="",$H528="",$J528=""),0,IF(ROUND(($J528-$H528)*1440,0)&gt;設定!$C$42,ROUND(($J528-$H528)*1440,0),0))</f>
        <v/>
      </c>
      <c r="P528" s="81">
        <f>IF(OR($C528="",$I528="",$K528=""),0,IF(ROUND(($I528-$K528)*1440,0)&gt;設定!$C$42,ROUND(($I528-$K528)*1440,0),0))</f>
        <v/>
      </c>
      <c r="Q528" s="82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79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0">
        <f>IF($G529="","",IFERROR(INDEX(設定!$D$6:$D$18,MATCH($G529,設定!$B$6:$B$18,0)),""))</f>
        <v/>
      </c>
      <c r="I529" s="80">
        <f>IF($G529="","",IFERROR(INDEX(設定!$E$6:$E$18,MATCH($G529,設定!$B$6:$B$18,0)),""))</f>
        <v/>
      </c>
      <c r="J529" s="80">
        <f>IFERROR(INDEX(打卡匯入!$C$3:$C$2002,MATCH($C529&amp;"|"&amp;DAY($A529),打卡匯入!$E$3:$E$2002,0)),"")</f>
        <v/>
      </c>
      <c r="K529" s="80">
        <f>IFERROR(INDEX(打卡匯入!$D$3:$D$2002,MATCH($C529&amp;"|"&amp;DAY($A529),打卡匯入!$E$3:$E$2002,0)),"")</f>
        <v/>
      </c>
      <c r="L529" s="81">
        <f>IF(OR($J529="",$K529=""),"",IFERROR(INDEX(設定!$F$6:$F$18,MATCH($G529,設定!$B$6:$B$18,0)),0))</f>
        <v/>
      </c>
      <c r="M529" s="82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1">
        <f>IF(OR($C529="",$H529="",$J529=""),0,IF(ROUND(($J529-$H529)*1440,0)&gt;設定!$C$42,ROUND(($J529-$H529)*1440,0),0))</f>
        <v/>
      </c>
      <c r="P529" s="81">
        <f>IF(OR($C529="",$I529="",$K529=""),0,IF(ROUND(($I529-$K529)*1440,0)&gt;設定!$C$42,ROUND(($I529-$K529)*1440,0),0))</f>
        <v/>
      </c>
      <c r="Q529" s="82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79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0">
        <f>IF($G530="","",IFERROR(INDEX(設定!$D$6:$D$18,MATCH($G530,設定!$B$6:$B$18,0)),""))</f>
        <v/>
      </c>
      <c r="I530" s="80">
        <f>IF($G530="","",IFERROR(INDEX(設定!$E$6:$E$18,MATCH($G530,設定!$B$6:$B$18,0)),""))</f>
        <v/>
      </c>
      <c r="J530" s="80">
        <f>IFERROR(INDEX(打卡匯入!$C$3:$C$2002,MATCH($C530&amp;"|"&amp;DAY($A530),打卡匯入!$E$3:$E$2002,0)),"")</f>
        <v/>
      </c>
      <c r="K530" s="80">
        <f>IFERROR(INDEX(打卡匯入!$D$3:$D$2002,MATCH($C530&amp;"|"&amp;DAY($A530),打卡匯入!$E$3:$E$2002,0)),"")</f>
        <v/>
      </c>
      <c r="L530" s="81">
        <f>IF(OR($J530="",$K530=""),"",IFERROR(INDEX(設定!$F$6:$F$18,MATCH($G530,設定!$B$6:$B$18,0)),0))</f>
        <v/>
      </c>
      <c r="M530" s="82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1">
        <f>IF(OR($C530="",$H530="",$J530=""),0,IF(ROUND(($J530-$H530)*1440,0)&gt;設定!$C$42,ROUND(($J530-$H530)*1440,0),0))</f>
        <v/>
      </c>
      <c r="P530" s="81">
        <f>IF(OR($C530="",$I530="",$K530=""),0,IF(ROUND(($I530-$K530)*1440,0)&gt;設定!$C$42,ROUND(($I530-$K530)*1440,0),0))</f>
        <v/>
      </c>
      <c r="Q530" s="82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79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0">
        <f>IF($G531="","",IFERROR(INDEX(設定!$D$6:$D$18,MATCH($G531,設定!$B$6:$B$18,0)),""))</f>
        <v/>
      </c>
      <c r="I531" s="80">
        <f>IF($G531="","",IFERROR(INDEX(設定!$E$6:$E$18,MATCH($G531,設定!$B$6:$B$18,0)),""))</f>
        <v/>
      </c>
      <c r="J531" s="80">
        <f>IFERROR(INDEX(打卡匯入!$C$3:$C$2002,MATCH($C531&amp;"|"&amp;DAY($A531),打卡匯入!$E$3:$E$2002,0)),"")</f>
        <v/>
      </c>
      <c r="K531" s="80">
        <f>IFERROR(INDEX(打卡匯入!$D$3:$D$2002,MATCH($C531&amp;"|"&amp;DAY($A531),打卡匯入!$E$3:$E$2002,0)),"")</f>
        <v/>
      </c>
      <c r="L531" s="81">
        <f>IF(OR($J531="",$K531=""),"",IFERROR(INDEX(設定!$F$6:$F$18,MATCH($G531,設定!$B$6:$B$18,0)),0))</f>
        <v/>
      </c>
      <c r="M531" s="82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1">
        <f>IF(OR($C531="",$H531="",$J531=""),0,IF(ROUND(($J531-$H531)*1440,0)&gt;設定!$C$42,ROUND(($J531-$H531)*1440,0),0))</f>
        <v/>
      </c>
      <c r="P531" s="81">
        <f>IF(OR($C531="",$I531="",$K531=""),0,IF(ROUND(($I531-$K531)*1440,0)&gt;設定!$C$42,ROUND(($I531-$K531)*1440,0),0))</f>
        <v/>
      </c>
      <c r="Q531" s="82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79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0">
        <f>IF($G532="","",IFERROR(INDEX(設定!$D$6:$D$18,MATCH($G532,設定!$B$6:$B$18,0)),""))</f>
        <v/>
      </c>
      <c r="I532" s="80">
        <f>IF($G532="","",IFERROR(INDEX(設定!$E$6:$E$18,MATCH($G532,設定!$B$6:$B$18,0)),""))</f>
        <v/>
      </c>
      <c r="J532" s="80">
        <f>IFERROR(INDEX(打卡匯入!$C$3:$C$2002,MATCH($C532&amp;"|"&amp;DAY($A532),打卡匯入!$E$3:$E$2002,0)),"")</f>
        <v/>
      </c>
      <c r="K532" s="80">
        <f>IFERROR(INDEX(打卡匯入!$D$3:$D$2002,MATCH($C532&amp;"|"&amp;DAY($A532),打卡匯入!$E$3:$E$2002,0)),"")</f>
        <v/>
      </c>
      <c r="L532" s="81">
        <f>IF(OR($J532="",$K532=""),"",IFERROR(INDEX(設定!$F$6:$F$18,MATCH($G532,設定!$B$6:$B$18,0)),0))</f>
        <v/>
      </c>
      <c r="M532" s="82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1">
        <f>IF(OR($C532="",$H532="",$J532=""),0,IF(ROUND(($J532-$H532)*1440,0)&gt;設定!$C$42,ROUND(($J532-$H532)*1440,0),0))</f>
        <v/>
      </c>
      <c r="P532" s="81">
        <f>IF(OR($C532="",$I532="",$K532=""),0,IF(ROUND(($I532-$K532)*1440,0)&gt;設定!$C$42,ROUND(($I532-$K532)*1440,0),0))</f>
        <v/>
      </c>
      <c r="Q532" s="82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79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0">
        <f>IF($G533="","",IFERROR(INDEX(設定!$D$6:$D$18,MATCH($G533,設定!$B$6:$B$18,0)),""))</f>
        <v/>
      </c>
      <c r="I533" s="80">
        <f>IF($G533="","",IFERROR(INDEX(設定!$E$6:$E$18,MATCH($G533,設定!$B$6:$B$18,0)),""))</f>
        <v/>
      </c>
      <c r="J533" s="80">
        <f>IFERROR(INDEX(打卡匯入!$C$3:$C$2002,MATCH($C533&amp;"|"&amp;DAY($A533),打卡匯入!$E$3:$E$2002,0)),"")</f>
        <v/>
      </c>
      <c r="K533" s="80">
        <f>IFERROR(INDEX(打卡匯入!$D$3:$D$2002,MATCH($C533&amp;"|"&amp;DAY($A533),打卡匯入!$E$3:$E$2002,0)),"")</f>
        <v/>
      </c>
      <c r="L533" s="81">
        <f>IF(OR($J533="",$K533=""),"",IFERROR(INDEX(設定!$F$6:$F$18,MATCH($G533,設定!$B$6:$B$18,0)),0))</f>
        <v/>
      </c>
      <c r="M533" s="82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1">
        <f>IF(OR($C533="",$H533="",$J533=""),0,IF(ROUND(($J533-$H533)*1440,0)&gt;設定!$C$42,ROUND(($J533-$H533)*1440,0),0))</f>
        <v/>
      </c>
      <c r="P533" s="81">
        <f>IF(OR($C533="",$I533="",$K533=""),0,IF(ROUND(($I533-$K533)*1440,0)&gt;設定!$C$42,ROUND(($I533-$K533)*1440,0),0))</f>
        <v/>
      </c>
      <c r="Q533" s="82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79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0">
        <f>IF($G534="","",IFERROR(INDEX(設定!$D$6:$D$18,MATCH($G534,設定!$B$6:$B$18,0)),""))</f>
        <v/>
      </c>
      <c r="I534" s="80">
        <f>IF($G534="","",IFERROR(INDEX(設定!$E$6:$E$18,MATCH($G534,設定!$B$6:$B$18,0)),""))</f>
        <v/>
      </c>
      <c r="J534" s="80">
        <f>IFERROR(INDEX(打卡匯入!$C$3:$C$2002,MATCH($C534&amp;"|"&amp;DAY($A534),打卡匯入!$E$3:$E$2002,0)),"")</f>
        <v/>
      </c>
      <c r="K534" s="80">
        <f>IFERROR(INDEX(打卡匯入!$D$3:$D$2002,MATCH($C534&amp;"|"&amp;DAY($A534),打卡匯入!$E$3:$E$2002,0)),"")</f>
        <v/>
      </c>
      <c r="L534" s="81">
        <f>IF(OR($J534="",$K534=""),"",IFERROR(INDEX(設定!$F$6:$F$18,MATCH($G534,設定!$B$6:$B$18,0)),0))</f>
        <v/>
      </c>
      <c r="M534" s="82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1">
        <f>IF(OR($C534="",$H534="",$J534=""),0,IF(ROUND(($J534-$H534)*1440,0)&gt;設定!$C$42,ROUND(($J534-$H534)*1440,0),0))</f>
        <v/>
      </c>
      <c r="P534" s="81">
        <f>IF(OR($C534="",$I534="",$K534=""),0,IF(ROUND(($I534-$K534)*1440,0)&gt;設定!$C$42,ROUND(($I534-$K534)*1440,0),0))</f>
        <v/>
      </c>
      <c r="Q534" s="82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79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0">
        <f>IF($G535="","",IFERROR(INDEX(設定!$D$6:$D$18,MATCH($G535,設定!$B$6:$B$18,0)),""))</f>
        <v/>
      </c>
      <c r="I535" s="80">
        <f>IF($G535="","",IFERROR(INDEX(設定!$E$6:$E$18,MATCH($G535,設定!$B$6:$B$18,0)),""))</f>
        <v/>
      </c>
      <c r="J535" s="80">
        <f>IFERROR(INDEX(打卡匯入!$C$3:$C$2002,MATCH($C535&amp;"|"&amp;DAY($A535),打卡匯入!$E$3:$E$2002,0)),"")</f>
        <v/>
      </c>
      <c r="K535" s="80">
        <f>IFERROR(INDEX(打卡匯入!$D$3:$D$2002,MATCH($C535&amp;"|"&amp;DAY($A535),打卡匯入!$E$3:$E$2002,0)),"")</f>
        <v/>
      </c>
      <c r="L535" s="81">
        <f>IF(OR($J535="",$K535=""),"",IFERROR(INDEX(設定!$F$6:$F$18,MATCH($G535,設定!$B$6:$B$18,0)),0))</f>
        <v/>
      </c>
      <c r="M535" s="82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1">
        <f>IF(OR($C535="",$H535="",$J535=""),0,IF(ROUND(($J535-$H535)*1440,0)&gt;設定!$C$42,ROUND(($J535-$H535)*1440,0),0))</f>
        <v/>
      </c>
      <c r="P535" s="81">
        <f>IF(OR($C535="",$I535="",$K535=""),0,IF(ROUND(($I535-$K535)*1440,0)&gt;設定!$C$42,ROUND(($I535-$K535)*1440,0),0))</f>
        <v/>
      </c>
      <c r="Q535" s="82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79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0">
        <f>IF($G536="","",IFERROR(INDEX(設定!$D$6:$D$18,MATCH($G536,設定!$B$6:$B$18,0)),""))</f>
        <v/>
      </c>
      <c r="I536" s="80">
        <f>IF($G536="","",IFERROR(INDEX(設定!$E$6:$E$18,MATCH($G536,設定!$B$6:$B$18,0)),""))</f>
        <v/>
      </c>
      <c r="J536" s="80">
        <f>IFERROR(INDEX(打卡匯入!$C$3:$C$2002,MATCH($C536&amp;"|"&amp;DAY($A536),打卡匯入!$E$3:$E$2002,0)),"")</f>
        <v/>
      </c>
      <c r="K536" s="80">
        <f>IFERROR(INDEX(打卡匯入!$D$3:$D$2002,MATCH($C536&amp;"|"&amp;DAY($A536),打卡匯入!$E$3:$E$2002,0)),"")</f>
        <v/>
      </c>
      <c r="L536" s="81">
        <f>IF(OR($J536="",$K536=""),"",IFERROR(INDEX(設定!$F$6:$F$18,MATCH($G536,設定!$B$6:$B$18,0)),0))</f>
        <v/>
      </c>
      <c r="M536" s="82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1">
        <f>IF(OR($C536="",$H536="",$J536=""),0,IF(ROUND(($J536-$H536)*1440,0)&gt;設定!$C$42,ROUND(($J536-$H536)*1440,0),0))</f>
        <v/>
      </c>
      <c r="P536" s="81">
        <f>IF(OR($C536="",$I536="",$K536=""),0,IF(ROUND(($I536-$K536)*1440,0)&gt;設定!$C$42,ROUND(($I536-$K536)*1440,0),0))</f>
        <v/>
      </c>
      <c r="Q536" s="82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79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0">
        <f>IF($G537="","",IFERROR(INDEX(設定!$D$6:$D$18,MATCH($G537,設定!$B$6:$B$18,0)),""))</f>
        <v/>
      </c>
      <c r="I537" s="80">
        <f>IF($G537="","",IFERROR(INDEX(設定!$E$6:$E$18,MATCH($G537,設定!$B$6:$B$18,0)),""))</f>
        <v/>
      </c>
      <c r="J537" s="80">
        <f>IFERROR(INDEX(打卡匯入!$C$3:$C$2002,MATCH($C537&amp;"|"&amp;DAY($A537),打卡匯入!$E$3:$E$2002,0)),"")</f>
        <v/>
      </c>
      <c r="K537" s="80">
        <f>IFERROR(INDEX(打卡匯入!$D$3:$D$2002,MATCH($C537&amp;"|"&amp;DAY($A537),打卡匯入!$E$3:$E$2002,0)),"")</f>
        <v/>
      </c>
      <c r="L537" s="81">
        <f>IF(OR($J537="",$K537=""),"",IFERROR(INDEX(設定!$F$6:$F$18,MATCH($G537,設定!$B$6:$B$18,0)),0))</f>
        <v/>
      </c>
      <c r="M537" s="82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1">
        <f>IF(OR($C537="",$H537="",$J537=""),0,IF(ROUND(($J537-$H537)*1440,0)&gt;設定!$C$42,ROUND(($J537-$H537)*1440,0),0))</f>
        <v/>
      </c>
      <c r="P537" s="81">
        <f>IF(OR($C537="",$I537="",$K537=""),0,IF(ROUND(($I537-$K537)*1440,0)&gt;設定!$C$42,ROUND(($I537-$K537)*1440,0),0))</f>
        <v/>
      </c>
      <c r="Q537" s="82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79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0">
        <f>IF($G538="","",IFERROR(INDEX(設定!$D$6:$D$18,MATCH($G538,設定!$B$6:$B$18,0)),""))</f>
        <v/>
      </c>
      <c r="I538" s="80">
        <f>IF($G538="","",IFERROR(INDEX(設定!$E$6:$E$18,MATCH($G538,設定!$B$6:$B$18,0)),""))</f>
        <v/>
      </c>
      <c r="J538" s="80">
        <f>IFERROR(INDEX(打卡匯入!$C$3:$C$2002,MATCH($C538&amp;"|"&amp;DAY($A538),打卡匯入!$E$3:$E$2002,0)),"")</f>
        <v/>
      </c>
      <c r="K538" s="80">
        <f>IFERROR(INDEX(打卡匯入!$D$3:$D$2002,MATCH($C538&amp;"|"&amp;DAY($A538),打卡匯入!$E$3:$E$2002,0)),"")</f>
        <v/>
      </c>
      <c r="L538" s="81">
        <f>IF(OR($J538="",$K538=""),"",IFERROR(INDEX(設定!$F$6:$F$18,MATCH($G538,設定!$B$6:$B$18,0)),0))</f>
        <v/>
      </c>
      <c r="M538" s="82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1">
        <f>IF(OR($C538="",$H538="",$J538=""),0,IF(ROUND(($J538-$H538)*1440,0)&gt;設定!$C$42,ROUND(($J538-$H538)*1440,0),0))</f>
        <v/>
      </c>
      <c r="P538" s="81">
        <f>IF(OR($C538="",$I538="",$K538=""),0,IF(ROUND(($I538-$K538)*1440,0)&gt;設定!$C$42,ROUND(($I538-$K538)*1440,0),0))</f>
        <v/>
      </c>
      <c r="Q538" s="82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79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0">
        <f>IF($G539="","",IFERROR(INDEX(設定!$D$6:$D$18,MATCH($G539,設定!$B$6:$B$18,0)),""))</f>
        <v/>
      </c>
      <c r="I539" s="80">
        <f>IF($G539="","",IFERROR(INDEX(設定!$E$6:$E$18,MATCH($G539,設定!$B$6:$B$18,0)),""))</f>
        <v/>
      </c>
      <c r="J539" s="80">
        <f>IFERROR(INDEX(打卡匯入!$C$3:$C$2002,MATCH($C539&amp;"|"&amp;DAY($A539),打卡匯入!$E$3:$E$2002,0)),"")</f>
        <v/>
      </c>
      <c r="K539" s="80">
        <f>IFERROR(INDEX(打卡匯入!$D$3:$D$2002,MATCH($C539&amp;"|"&amp;DAY($A539),打卡匯入!$E$3:$E$2002,0)),"")</f>
        <v/>
      </c>
      <c r="L539" s="81">
        <f>IF(OR($J539="",$K539=""),"",IFERROR(INDEX(設定!$F$6:$F$18,MATCH($G539,設定!$B$6:$B$18,0)),0))</f>
        <v/>
      </c>
      <c r="M539" s="82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1">
        <f>IF(OR($C539="",$H539="",$J539=""),0,IF(ROUND(($J539-$H539)*1440,0)&gt;設定!$C$42,ROUND(($J539-$H539)*1440,0),0))</f>
        <v/>
      </c>
      <c r="P539" s="81">
        <f>IF(OR($C539="",$I539="",$K539=""),0,IF(ROUND(($I539-$K539)*1440,0)&gt;設定!$C$42,ROUND(($I539-$K539)*1440,0),0))</f>
        <v/>
      </c>
      <c r="Q539" s="82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79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0">
        <f>IF($G540="","",IFERROR(INDEX(設定!$D$6:$D$18,MATCH($G540,設定!$B$6:$B$18,0)),""))</f>
        <v/>
      </c>
      <c r="I540" s="80">
        <f>IF($G540="","",IFERROR(INDEX(設定!$E$6:$E$18,MATCH($G540,設定!$B$6:$B$18,0)),""))</f>
        <v/>
      </c>
      <c r="J540" s="80">
        <f>IFERROR(INDEX(打卡匯入!$C$3:$C$2002,MATCH($C540&amp;"|"&amp;DAY($A540),打卡匯入!$E$3:$E$2002,0)),"")</f>
        <v/>
      </c>
      <c r="K540" s="80">
        <f>IFERROR(INDEX(打卡匯入!$D$3:$D$2002,MATCH($C540&amp;"|"&amp;DAY($A540),打卡匯入!$E$3:$E$2002,0)),"")</f>
        <v/>
      </c>
      <c r="L540" s="81">
        <f>IF(OR($J540="",$K540=""),"",IFERROR(INDEX(設定!$F$6:$F$18,MATCH($G540,設定!$B$6:$B$18,0)),0))</f>
        <v/>
      </c>
      <c r="M540" s="82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1">
        <f>IF(OR($C540="",$H540="",$J540=""),0,IF(ROUND(($J540-$H540)*1440,0)&gt;設定!$C$42,ROUND(($J540-$H540)*1440,0),0))</f>
        <v/>
      </c>
      <c r="P540" s="81">
        <f>IF(OR($C540="",$I540="",$K540=""),0,IF(ROUND(($I540-$K540)*1440,0)&gt;設定!$C$42,ROUND(($I540-$K540)*1440,0),0))</f>
        <v/>
      </c>
      <c r="Q540" s="82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79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0">
        <f>IF($G541="","",IFERROR(INDEX(設定!$D$6:$D$18,MATCH($G541,設定!$B$6:$B$18,0)),""))</f>
        <v/>
      </c>
      <c r="I541" s="80">
        <f>IF($G541="","",IFERROR(INDEX(設定!$E$6:$E$18,MATCH($G541,設定!$B$6:$B$18,0)),""))</f>
        <v/>
      </c>
      <c r="J541" s="80">
        <f>IFERROR(INDEX(打卡匯入!$C$3:$C$2002,MATCH($C541&amp;"|"&amp;DAY($A541),打卡匯入!$E$3:$E$2002,0)),"")</f>
        <v/>
      </c>
      <c r="K541" s="80">
        <f>IFERROR(INDEX(打卡匯入!$D$3:$D$2002,MATCH($C541&amp;"|"&amp;DAY($A541),打卡匯入!$E$3:$E$2002,0)),"")</f>
        <v/>
      </c>
      <c r="L541" s="81">
        <f>IF(OR($J541="",$K541=""),"",IFERROR(INDEX(設定!$F$6:$F$18,MATCH($G541,設定!$B$6:$B$18,0)),0))</f>
        <v/>
      </c>
      <c r="M541" s="82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1">
        <f>IF(OR($C541="",$H541="",$J541=""),0,IF(ROUND(($J541-$H541)*1440,0)&gt;設定!$C$42,ROUND(($J541-$H541)*1440,0),0))</f>
        <v/>
      </c>
      <c r="P541" s="81">
        <f>IF(OR($C541="",$I541="",$K541=""),0,IF(ROUND(($I541-$K541)*1440,0)&gt;設定!$C$42,ROUND(($I541-$K541)*1440,0),0))</f>
        <v/>
      </c>
      <c r="Q541" s="82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79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0">
        <f>IF($G542="","",IFERROR(INDEX(設定!$D$6:$D$18,MATCH($G542,設定!$B$6:$B$18,0)),""))</f>
        <v/>
      </c>
      <c r="I542" s="80">
        <f>IF($G542="","",IFERROR(INDEX(設定!$E$6:$E$18,MATCH($G542,設定!$B$6:$B$18,0)),""))</f>
        <v/>
      </c>
      <c r="J542" s="80">
        <f>IFERROR(INDEX(打卡匯入!$C$3:$C$2002,MATCH($C542&amp;"|"&amp;DAY($A542),打卡匯入!$E$3:$E$2002,0)),"")</f>
        <v/>
      </c>
      <c r="K542" s="80">
        <f>IFERROR(INDEX(打卡匯入!$D$3:$D$2002,MATCH($C542&amp;"|"&amp;DAY($A542),打卡匯入!$E$3:$E$2002,0)),"")</f>
        <v/>
      </c>
      <c r="L542" s="81">
        <f>IF(OR($J542="",$K542=""),"",IFERROR(INDEX(設定!$F$6:$F$18,MATCH($G542,設定!$B$6:$B$18,0)),0))</f>
        <v/>
      </c>
      <c r="M542" s="82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1">
        <f>IF(OR($C542="",$H542="",$J542=""),0,IF(ROUND(($J542-$H542)*1440,0)&gt;設定!$C$42,ROUND(($J542-$H542)*1440,0),0))</f>
        <v/>
      </c>
      <c r="P542" s="81">
        <f>IF(OR($C542="",$I542="",$K542=""),0,IF(ROUND(($I542-$K542)*1440,0)&gt;設定!$C$42,ROUND(($I542-$K542)*1440,0),0))</f>
        <v/>
      </c>
      <c r="Q542" s="82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79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0">
        <f>IF($G543="","",IFERROR(INDEX(設定!$D$6:$D$18,MATCH($G543,設定!$B$6:$B$18,0)),""))</f>
        <v/>
      </c>
      <c r="I543" s="80">
        <f>IF($G543="","",IFERROR(INDEX(設定!$E$6:$E$18,MATCH($G543,設定!$B$6:$B$18,0)),""))</f>
        <v/>
      </c>
      <c r="J543" s="80">
        <f>IFERROR(INDEX(打卡匯入!$C$3:$C$2002,MATCH($C543&amp;"|"&amp;DAY($A543),打卡匯入!$E$3:$E$2002,0)),"")</f>
        <v/>
      </c>
      <c r="K543" s="80">
        <f>IFERROR(INDEX(打卡匯入!$D$3:$D$2002,MATCH($C543&amp;"|"&amp;DAY($A543),打卡匯入!$E$3:$E$2002,0)),"")</f>
        <v/>
      </c>
      <c r="L543" s="81">
        <f>IF(OR($J543="",$K543=""),"",IFERROR(INDEX(設定!$F$6:$F$18,MATCH($G543,設定!$B$6:$B$18,0)),0))</f>
        <v/>
      </c>
      <c r="M543" s="82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1">
        <f>IF(OR($C543="",$H543="",$J543=""),0,IF(ROUND(($J543-$H543)*1440,0)&gt;設定!$C$42,ROUND(($J543-$H543)*1440,0),0))</f>
        <v/>
      </c>
      <c r="P543" s="81">
        <f>IF(OR($C543="",$I543="",$K543=""),0,IF(ROUND(($I543-$K543)*1440,0)&gt;設定!$C$42,ROUND(($I543-$K543)*1440,0),0))</f>
        <v/>
      </c>
      <c r="Q543" s="82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79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0">
        <f>IF($G544="","",IFERROR(INDEX(設定!$D$6:$D$18,MATCH($G544,設定!$B$6:$B$18,0)),""))</f>
        <v/>
      </c>
      <c r="I544" s="80">
        <f>IF($G544="","",IFERROR(INDEX(設定!$E$6:$E$18,MATCH($G544,設定!$B$6:$B$18,0)),""))</f>
        <v/>
      </c>
      <c r="J544" s="80">
        <f>IFERROR(INDEX(打卡匯入!$C$3:$C$2002,MATCH($C544&amp;"|"&amp;DAY($A544),打卡匯入!$E$3:$E$2002,0)),"")</f>
        <v/>
      </c>
      <c r="K544" s="80">
        <f>IFERROR(INDEX(打卡匯入!$D$3:$D$2002,MATCH($C544&amp;"|"&amp;DAY($A544),打卡匯入!$E$3:$E$2002,0)),"")</f>
        <v/>
      </c>
      <c r="L544" s="81">
        <f>IF(OR($J544="",$K544=""),"",IFERROR(INDEX(設定!$F$6:$F$18,MATCH($G544,設定!$B$6:$B$18,0)),0))</f>
        <v/>
      </c>
      <c r="M544" s="82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1">
        <f>IF(OR($C544="",$H544="",$J544=""),0,IF(ROUND(($J544-$H544)*1440,0)&gt;設定!$C$42,ROUND(($J544-$H544)*1440,0),0))</f>
        <v/>
      </c>
      <c r="P544" s="81">
        <f>IF(OR($C544="",$I544="",$K544=""),0,IF(ROUND(($I544-$K544)*1440,0)&gt;設定!$C$42,ROUND(($I544-$K544)*1440,0),0))</f>
        <v/>
      </c>
      <c r="Q544" s="82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79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0">
        <f>IF($G545="","",IFERROR(INDEX(設定!$D$6:$D$18,MATCH($G545,設定!$B$6:$B$18,0)),""))</f>
        <v/>
      </c>
      <c r="I545" s="80">
        <f>IF($G545="","",IFERROR(INDEX(設定!$E$6:$E$18,MATCH($G545,設定!$B$6:$B$18,0)),""))</f>
        <v/>
      </c>
      <c r="J545" s="80">
        <f>IFERROR(INDEX(打卡匯入!$C$3:$C$2002,MATCH($C545&amp;"|"&amp;DAY($A545),打卡匯入!$E$3:$E$2002,0)),"")</f>
        <v/>
      </c>
      <c r="K545" s="80">
        <f>IFERROR(INDEX(打卡匯入!$D$3:$D$2002,MATCH($C545&amp;"|"&amp;DAY($A545),打卡匯入!$E$3:$E$2002,0)),"")</f>
        <v/>
      </c>
      <c r="L545" s="81">
        <f>IF(OR($J545="",$K545=""),"",IFERROR(INDEX(設定!$F$6:$F$18,MATCH($G545,設定!$B$6:$B$18,0)),0))</f>
        <v/>
      </c>
      <c r="M545" s="82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1">
        <f>IF(OR($C545="",$H545="",$J545=""),0,IF(ROUND(($J545-$H545)*1440,0)&gt;設定!$C$42,ROUND(($J545-$H545)*1440,0),0))</f>
        <v/>
      </c>
      <c r="P545" s="81">
        <f>IF(OR($C545="",$I545="",$K545=""),0,IF(ROUND(($I545-$K545)*1440,0)&gt;設定!$C$42,ROUND(($I545-$K545)*1440,0),0))</f>
        <v/>
      </c>
      <c r="Q545" s="82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79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0">
        <f>IF($G546="","",IFERROR(INDEX(設定!$D$6:$D$18,MATCH($G546,設定!$B$6:$B$18,0)),""))</f>
        <v/>
      </c>
      <c r="I546" s="80">
        <f>IF($G546="","",IFERROR(INDEX(設定!$E$6:$E$18,MATCH($G546,設定!$B$6:$B$18,0)),""))</f>
        <v/>
      </c>
      <c r="J546" s="80">
        <f>IFERROR(INDEX(打卡匯入!$C$3:$C$2002,MATCH($C546&amp;"|"&amp;DAY($A546),打卡匯入!$E$3:$E$2002,0)),"")</f>
        <v/>
      </c>
      <c r="K546" s="80">
        <f>IFERROR(INDEX(打卡匯入!$D$3:$D$2002,MATCH($C546&amp;"|"&amp;DAY($A546),打卡匯入!$E$3:$E$2002,0)),"")</f>
        <v/>
      </c>
      <c r="L546" s="81">
        <f>IF(OR($J546="",$K546=""),"",IFERROR(INDEX(設定!$F$6:$F$18,MATCH($G546,設定!$B$6:$B$18,0)),0))</f>
        <v/>
      </c>
      <c r="M546" s="82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1">
        <f>IF(OR($C546="",$H546="",$J546=""),0,IF(ROUND(($J546-$H546)*1440,0)&gt;設定!$C$42,ROUND(($J546-$H546)*1440,0),0))</f>
        <v/>
      </c>
      <c r="P546" s="81">
        <f>IF(OR($C546="",$I546="",$K546=""),0,IF(ROUND(($I546-$K546)*1440,0)&gt;設定!$C$42,ROUND(($I546-$K546)*1440,0),0))</f>
        <v/>
      </c>
      <c r="Q546" s="82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79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0">
        <f>IF($G547="","",IFERROR(INDEX(設定!$D$6:$D$18,MATCH($G547,設定!$B$6:$B$18,0)),""))</f>
        <v/>
      </c>
      <c r="I547" s="80">
        <f>IF($G547="","",IFERROR(INDEX(設定!$E$6:$E$18,MATCH($G547,設定!$B$6:$B$18,0)),""))</f>
        <v/>
      </c>
      <c r="J547" s="80">
        <f>IFERROR(INDEX(打卡匯入!$C$3:$C$2002,MATCH($C547&amp;"|"&amp;DAY($A547),打卡匯入!$E$3:$E$2002,0)),"")</f>
        <v/>
      </c>
      <c r="K547" s="80">
        <f>IFERROR(INDEX(打卡匯入!$D$3:$D$2002,MATCH($C547&amp;"|"&amp;DAY($A547),打卡匯入!$E$3:$E$2002,0)),"")</f>
        <v/>
      </c>
      <c r="L547" s="81">
        <f>IF(OR($J547="",$K547=""),"",IFERROR(INDEX(設定!$F$6:$F$18,MATCH($G547,設定!$B$6:$B$18,0)),0))</f>
        <v/>
      </c>
      <c r="M547" s="82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1">
        <f>IF(OR($C547="",$H547="",$J547=""),0,IF(ROUND(($J547-$H547)*1440,0)&gt;設定!$C$42,ROUND(($J547-$H547)*1440,0),0))</f>
        <v/>
      </c>
      <c r="P547" s="81">
        <f>IF(OR($C547="",$I547="",$K547=""),0,IF(ROUND(($I547-$K547)*1440,0)&gt;設定!$C$42,ROUND(($I547-$K547)*1440,0),0))</f>
        <v/>
      </c>
      <c r="Q547" s="82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79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0">
        <f>IF($G548="","",IFERROR(INDEX(設定!$D$6:$D$18,MATCH($G548,設定!$B$6:$B$18,0)),""))</f>
        <v/>
      </c>
      <c r="I548" s="80">
        <f>IF($G548="","",IFERROR(INDEX(設定!$E$6:$E$18,MATCH($G548,設定!$B$6:$B$18,0)),""))</f>
        <v/>
      </c>
      <c r="J548" s="80">
        <f>IFERROR(INDEX(打卡匯入!$C$3:$C$2002,MATCH($C548&amp;"|"&amp;DAY($A548),打卡匯入!$E$3:$E$2002,0)),"")</f>
        <v/>
      </c>
      <c r="K548" s="80">
        <f>IFERROR(INDEX(打卡匯入!$D$3:$D$2002,MATCH($C548&amp;"|"&amp;DAY($A548),打卡匯入!$E$3:$E$2002,0)),"")</f>
        <v/>
      </c>
      <c r="L548" s="81">
        <f>IF(OR($J548="",$K548=""),"",IFERROR(INDEX(設定!$F$6:$F$18,MATCH($G548,設定!$B$6:$B$18,0)),0))</f>
        <v/>
      </c>
      <c r="M548" s="82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1">
        <f>IF(OR($C548="",$H548="",$J548=""),0,IF(ROUND(($J548-$H548)*1440,0)&gt;設定!$C$42,ROUND(($J548-$H548)*1440,0),0))</f>
        <v/>
      </c>
      <c r="P548" s="81">
        <f>IF(OR($C548="",$I548="",$K548=""),0,IF(ROUND(($I548-$K548)*1440,0)&gt;設定!$C$42,ROUND(($I548-$K548)*1440,0),0))</f>
        <v/>
      </c>
      <c r="Q548" s="82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79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0">
        <f>IF($G549="","",IFERROR(INDEX(設定!$D$6:$D$18,MATCH($G549,設定!$B$6:$B$18,0)),""))</f>
        <v/>
      </c>
      <c r="I549" s="80">
        <f>IF($G549="","",IFERROR(INDEX(設定!$E$6:$E$18,MATCH($G549,設定!$B$6:$B$18,0)),""))</f>
        <v/>
      </c>
      <c r="J549" s="80">
        <f>IFERROR(INDEX(打卡匯入!$C$3:$C$2002,MATCH($C549&amp;"|"&amp;DAY($A549),打卡匯入!$E$3:$E$2002,0)),"")</f>
        <v/>
      </c>
      <c r="K549" s="80">
        <f>IFERROR(INDEX(打卡匯入!$D$3:$D$2002,MATCH($C549&amp;"|"&amp;DAY($A549),打卡匯入!$E$3:$E$2002,0)),"")</f>
        <v/>
      </c>
      <c r="L549" s="81">
        <f>IF(OR($J549="",$K549=""),"",IFERROR(INDEX(設定!$F$6:$F$18,MATCH($G549,設定!$B$6:$B$18,0)),0))</f>
        <v/>
      </c>
      <c r="M549" s="82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1">
        <f>IF(OR($C549="",$H549="",$J549=""),0,IF(ROUND(($J549-$H549)*1440,0)&gt;設定!$C$42,ROUND(($J549-$H549)*1440,0),0))</f>
        <v/>
      </c>
      <c r="P549" s="81">
        <f>IF(OR($C549="",$I549="",$K549=""),0,IF(ROUND(($I549-$K549)*1440,0)&gt;設定!$C$42,ROUND(($I549-$K549)*1440,0),0))</f>
        <v/>
      </c>
      <c r="Q549" s="82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79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0">
        <f>IF($G550="","",IFERROR(INDEX(設定!$D$6:$D$18,MATCH($G550,設定!$B$6:$B$18,0)),""))</f>
        <v/>
      </c>
      <c r="I550" s="80">
        <f>IF($G550="","",IFERROR(INDEX(設定!$E$6:$E$18,MATCH($G550,設定!$B$6:$B$18,0)),""))</f>
        <v/>
      </c>
      <c r="J550" s="80">
        <f>IFERROR(INDEX(打卡匯入!$C$3:$C$2002,MATCH($C550&amp;"|"&amp;DAY($A550),打卡匯入!$E$3:$E$2002,0)),"")</f>
        <v/>
      </c>
      <c r="K550" s="80">
        <f>IFERROR(INDEX(打卡匯入!$D$3:$D$2002,MATCH($C550&amp;"|"&amp;DAY($A550),打卡匯入!$E$3:$E$2002,0)),"")</f>
        <v/>
      </c>
      <c r="L550" s="81">
        <f>IF(OR($J550="",$K550=""),"",IFERROR(INDEX(設定!$F$6:$F$18,MATCH($G550,設定!$B$6:$B$18,0)),0))</f>
        <v/>
      </c>
      <c r="M550" s="82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1">
        <f>IF(OR($C550="",$H550="",$J550=""),0,IF(ROUND(($J550-$H550)*1440,0)&gt;設定!$C$42,ROUND(($J550-$H550)*1440,0),0))</f>
        <v/>
      </c>
      <c r="P550" s="81">
        <f>IF(OR($C550="",$I550="",$K550=""),0,IF(ROUND(($I550-$K550)*1440,0)&gt;設定!$C$42,ROUND(($I550-$K550)*1440,0),0))</f>
        <v/>
      </c>
      <c r="Q550" s="82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79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0">
        <f>IF($G551="","",IFERROR(INDEX(設定!$D$6:$D$18,MATCH($G551,設定!$B$6:$B$18,0)),""))</f>
        <v/>
      </c>
      <c r="I551" s="80">
        <f>IF($G551="","",IFERROR(INDEX(設定!$E$6:$E$18,MATCH($G551,設定!$B$6:$B$18,0)),""))</f>
        <v/>
      </c>
      <c r="J551" s="80">
        <f>IFERROR(INDEX(打卡匯入!$C$3:$C$2002,MATCH($C551&amp;"|"&amp;DAY($A551),打卡匯入!$E$3:$E$2002,0)),"")</f>
        <v/>
      </c>
      <c r="K551" s="80">
        <f>IFERROR(INDEX(打卡匯入!$D$3:$D$2002,MATCH($C551&amp;"|"&amp;DAY($A551),打卡匯入!$E$3:$E$2002,0)),"")</f>
        <v/>
      </c>
      <c r="L551" s="81">
        <f>IF(OR($J551="",$K551=""),"",IFERROR(INDEX(設定!$F$6:$F$18,MATCH($G551,設定!$B$6:$B$18,0)),0))</f>
        <v/>
      </c>
      <c r="M551" s="82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1">
        <f>IF(OR($C551="",$H551="",$J551=""),0,IF(ROUND(($J551-$H551)*1440,0)&gt;設定!$C$42,ROUND(($J551-$H551)*1440,0),0))</f>
        <v/>
      </c>
      <c r="P551" s="81">
        <f>IF(OR($C551="",$I551="",$K551=""),0,IF(ROUND(($I551-$K551)*1440,0)&gt;設定!$C$42,ROUND(($I551-$K551)*1440,0),0))</f>
        <v/>
      </c>
      <c r="Q551" s="82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79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0">
        <f>IF($G552="","",IFERROR(INDEX(設定!$D$6:$D$18,MATCH($G552,設定!$B$6:$B$18,0)),""))</f>
        <v/>
      </c>
      <c r="I552" s="80">
        <f>IF($G552="","",IFERROR(INDEX(設定!$E$6:$E$18,MATCH($G552,設定!$B$6:$B$18,0)),""))</f>
        <v/>
      </c>
      <c r="J552" s="80">
        <f>IFERROR(INDEX(打卡匯入!$C$3:$C$2002,MATCH($C552&amp;"|"&amp;DAY($A552),打卡匯入!$E$3:$E$2002,0)),"")</f>
        <v/>
      </c>
      <c r="K552" s="80">
        <f>IFERROR(INDEX(打卡匯入!$D$3:$D$2002,MATCH($C552&amp;"|"&amp;DAY($A552),打卡匯入!$E$3:$E$2002,0)),"")</f>
        <v/>
      </c>
      <c r="L552" s="81">
        <f>IF(OR($J552="",$K552=""),"",IFERROR(INDEX(設定!$F$6:$F$18,MATCH($G552,設定!$B$6:$B$18,0)),0))</f>
        <v/>
      </c>
      <c r="M552" s="82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1">
        <f>IF(OR($C552="",$H552="",$J552=""),0,IF(ROUND(($J552-$H552)*1440,0)&gt;設定!$C$42,ROUND(($J552-$H552)*1440,0),0))</f>
        <v/>
      </c>
      <c r="P552" s="81">
        <f>IF(OR($C552="",$I552="",$K552=""),0,IF(ROUND(($I552-$K552)*1440,0)&gt;設定!$C$42,ROUND(($I552-$K552)*1440,0),0))</f>
        <v/>
      </c>
      <c r="Q552" s="82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79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0">
        <f>IF($G553="","",IFERROR(INDEX(設定!$D$6:$D$18,MATCH($G553,設定!$B$6:$B$18,0)),""))</f>
        <v/>
      </c>
      <c r="I553" s="80">
        <f>IF($G553="","",IFERROR(INDEX(設定!$E$6:$E$18,MATCH($G553,設定!$B$6:$B$18,0)),""))</f>
        <v/>
      </c>
      <c r="J553" s="80">
        <f>IFERROR(INDEX(打卡匯入!$C$3:$C$2002,MATCH($C553&amp;"|"&amp;DAY($A553),打卡匯入!$E$3:$E$2002,0)),"")</f>
        <v/>
      </c>
      <c r="K553" s="80">
        <f>IFERROR(INDEX(打卡匯入!$D$3:$D$2002,MATCH($C553&amp;"|"&amp;DAY($A553),打卡匯入!$E$3:$E$2002,0)),"")</f>
        <v/>
      </c>
      <c r="L553" s="81">
        <f>IF(OR($J553="",$K553=""),"",IFERROR(INDEX(設定!$F$6:$F$18,MATCH($G553,設定!$B$6:$B$18,0)),0))</f>
        <v/>
      </c>
      <c r="M553" s="82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1">
        <f>IF(OR($C553="",$H553="",$J553=""),0,IF(ROUND(($J553-$H553)*1440,0)&gt;設定!$C$42,ROUND(($J553-$H553)*1440,0),0))</f>
        <v/>
      </c>
      <c r="P553" s="81">
        <f>IF(OR($C553="",$I553="",$K553=""),0,IF(ROUND(($I553-$K553)*1440,0)&gt;設定!$C$42,ROUND(($I553-$K553)*1440,0),0))</f>
        <v/>
      </c>
      <c r="Q553" s="82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79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0">
        <f>IF($G554="","",IFERROR(INDEX(設定!$D$6:$D$18,MATCH($G554,設定!$B$6:$B$18,0)),""))</f>
        <v/>
      </c>
      <c r="I554" s="80">
        <f>IF($G554="","",IFERROR(INDEX(設定!$E$6:$E$18,MATCH($G554,設定!$B$6:$B$18,0)),""))</f>
        <v/>
      </c>
      <c r="J554" s="80">
        <f>IFERROR(INDEX(打卡匯入!$C$3:$C$2002,MATCH($C554&amp;"|"&amp;DAY($A554),打卡匯入!$E$3:$E$2002,0)),"")</f>
        <v/>
      </c>
      <c r="K554" s="80">
        <f>IFERROR(INDEX(打卡匯入!$D$3:$D$2002,MATCH($C554&amp;"|"&amp;DAY($A554),打卡匯入!$E$3:$E$2002,0)),"")</f>
        <v/>
      </c>
      <c r="L554" s="81">
        <f>IF(OR($J554="",$K554=""),"",IFERROR(INDEX(設定!$F$6:$F$18,MATCH($G554,設定!$B$6:$B$18,0)),0))</f>
        <v/>
      </c>
      <c r="M554" s="82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1">
        <f>IF(OR($C554="",$H554="",$J554=""),0,IF(ROUND(($J554-$H554)*1440,0)&gt;設定!$C$42,ROUND(($J554-$H554)*1440,0),0))</f>
        <v/>
      </c>
      <c r="P554" s="81">
        <f>IF(OR($C554="",$I554="",$K554=""),0,IF(ROUND(($I554-$K554)*1440,0)&gt;設定!$C$42,ROUND(($I554-$K554)*1440,0),0))</f>
        <v/>
      </c>
      <c r="Q554" s="82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79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0">
        <f>IF($G555="","",IFERROR(INDEX(設定!$D$6:$D$18,MATCH($G555,設定!$B$6:$B$18,0)),""))</f>
        <v/>
      </c>
      <c r="I555" s="80">
        <f>IF($G555="","",IFERROR(INDEX(設定!$E$6:$E$18,MATCH($G555,設定!$B$6:$B$18,0)),""))</f>
        <v/>
      </c>
      <c r="J555" s="80">
        <f>IFERROR(INDEX(打卡匯入!$C$3:$C$2002,MATCH($C555&amp;"|"&amp;DAY($A555),打卡匯入!$E$3:$E$2002,0)),"")</f>
        <v/>
      </c>
      <c r="K555" s="80">
        <f>IFERROR(INDEX(打卡匯入!$D$3:$D$2002,MATCH($C555&amp;"|"&amp;DAY($A555),打卡匯入!$E$3:$E$2002,0)),"")</f>
        <v/>
      </c>
      <c r="L555" s="81">
        <f>IF(OR($J555="",$K555=""),"",IFERROR(INDEX(設定!$F$6:$F$18,MATCH($G555,設定!$B$6:$B$18,0)),0))</f>
        <v/>
      </c>
      <c r="M555" s="82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1">
        <f>IF(OR($C555="",$H555="",$J555=""),0,IF(ROUND(($J555-$H555)*1440,0)&gt;設定!$C$42,ROUND(($J555-$H555)*1440,0),0))</f>
        <v/>
      </c>
      <c r="P555" s="81">
        <f>IF(OR($C555="",$I555="",$K555=""),0,IF(ROUND(($I555-$K555)*1440,0)&gt;設定!$C$42,ROUND(($I555-$K555)*1440,0),0))</f>
        <v/>
      </c>
      <c r="Q555" s="82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79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0">
        <f>IF($G556="","",IFERROR(INDEX(設定!$D$6:$D$18,MATCH($G556,設定!$B$6:$B$18,0)),""))</f>
        <v/>
      </c>
      <c r="I556" s="80">
        <f>IF($G556="","",IFERROR(INDEX(設定!$E$6:$E$18,MATCH($G556,設定!$B$6:$B$18,0)),""))</f>
        <v/>
      </c>
      <c r="J556" s="80">
        <f>IFERROR(INDEX(打卡匯入!$C$3:$C$2002,MATCH($C556&amp;"|"&amp;DAY($A556),打卡匯入!$E$3:$E$2002,0)),"")</f>
        <v/>
      </c>
      <c r="K556" s="80">
        <f>IFERROR(INDEX(打卡匯入!$D$3:$D$2002,MATCH($C556&amp;"|"&amp;DAY($A556),打卡匯入!$E$3:$E$2002,0)),"")</f>
        <v/>
      </c>
      <c r="L556" s="81">
        <f>IF(OR($J556="",$K556=""),"",IFERROR(INDEX(設定!$F$6:$F$18,MATCH($G556,設定!$B$6:$B$18,0)),0))</f>
        <v/>
      </c>
      <c r="M556" s="82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1">
        <f>IF(OR($C556="",$H556="",$J556=""),0,IF(ROUND(($J556-$H556)*1440,0)&gt;設定!$C$42,ROUND(($J556-$H556)*1440,0),0))</f>
        <v/>
      </c>
      <c r="P556" s="81">
        <f>IF(OR($C556="",$I556="",$K556=""),0,IF(ROUND(($I556-$K556)*1440,0)&gt;設定!$C$42,ROUND(($I556-$K556)*1440,0),0))</f>
        <v/>
      </c>
      <c r="Q556" s="82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79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0">
        <f>IF($G557="","",IFERROR(INDEX(設定!$D$6:$D$18,MATCH($G557,設定!$B$6:$B$18,0)),""))</f>
        <v/>
      </c>
      <c r="I557" s="80">
        <f>IF($G557="","",IFERROR(INDEX(設定!$E$6:$E$18,MATCH($G557,設定!$B$6:$B$18,0)),""))</f>
        <v/>
      </c>
      <c r="J557" s="80">
        <f>IFERROR(INDEX(打卡匯入!$C$3:$C$2002,MATCH($C557&amp;"|"&amp;DAY($A557),打卡匯入!$E$3:$E$2002,0)),"")</f>
        <v/>
      </c>
      <c r="K557" s="80">
        <f>IFERROR(INDEX(打卡匯入!$D$3:$D$2002,MATCH($C557&amp;"|"&amp;DAY($A557),打卡匯入!$E$3:$E$2002,0)),"")</f>
        <v/>
      </c>
      <c r="L557" s="81">
        <f>IF(OR($J557="",$K557=""),"",IFERROR(INDEX(設定!$F$6:$F$18,MATCH($G557,設定!$B$6:$B$18,0)),0))</f>
        <v/>
      </c>
      <c r="M557" s="82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1">
        <f>IF(OR($C557="",$H557="",$J557=""),0,IF(ROUND(($J557-$H557)*1440,0)&gt;設定!$C$42,ROUND(($J557-$H557)*1440,0),0))</f>
        <v/>
      </c>
      <c r="P557" s="81">
        <f>IF(OR($C557="",$I557="",$K557=""),0,IF(ROUND(($I557-$K557)*1440,0)&gt;設定!$C$42,ROUND(($I557-$K557)*1440,0),0))</f>
        <v/>
      </c>
      <c r="Q557" s="82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79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0">
        <f>IF($G558="","",IFERROR(INDEX(設定!$D$6:$D$18,MATCH($G558,設定!$B$6:$B$18,0)),""))</f>
        <v/>
      </c>
      <c r="I558" s="80">
        <f>IF($G558="","",IFERROR(INDEX(設定!$E$6:$E$18,MATCH($G558,設定!$B$6:$B$18,0)),""))</f>
        <v/>
      </c>
      <c r="J558" s="80">
        <f>IFERROR(INDEX(打卡匯入!$C$3:$C$2002,MATCH($C558&amp;"|"&amp;DAY($A558),打卡匯入!$E$3:$E$2002,0)),"")</f>
        <v/>
      </c>
      <c r="K558" s="80">
        <f>IFERROR(INDEX(打卡匯入!$D$3:$D$2002,MATCH($C558&amp;"|"&amp;DAY($A558),打卡匯入!$E$3:$E$2002,0)),"")</f>
        <v/>
      </c>
      <c r="L558" s="81">
        <f>IF(OR($J558="",$K558=""),"",IFERROR(INDEX(設定!$F$6:$F$18,MATCH($G558,設定!$B$6:$B$18,0)),0))</f>
        <v/>
      </c>
      <c r="M558" s="82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1">
        <f>IF(OR($C558="",$H558="",$J558=""),0,IF(ROUND(($J558-$H558)*1440,0)&gt;設定!$C$42,ROUND(($J558-$H558)*1440,0),0))</f>
        <v/>
      </c>
      <c r="P558" s="81">
        <f>IF(OR($C558="",$I558="",$K558=""),0,IF(ROUND(($I558-$K558)*1440,0)&gt;設定!$C$42,ROUND(($I558-$K558)*1440,0),0))</f>
        <v/>
      </c>
      <c r="Q558" s="82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79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0">
        <f>IF($G559="","",IFERROR(INDEX(設定!$D$6:$D$18,MATCH($G559,設定!$B$6:$B$18,0)),""))</f>
        <v/>
      </c>
      <c r="I559" s="80">
        <f>IF($G559="","",IFERROR(INDEX(設定!$E$6:$E$18,MATCH($G559,設定!$B$6:$B$18,0)),""))</f>
        <v/>
      </c>
      <c r="J559" s="80">
        <f>IFERROR(INDEX(打卡匯入!$C$3:$C$2002,MATCH($C559&amp;"|"&amp;DAY($A559),打卡匯入!$E$3:$E$2002,0)),"")</f>
        <v/>
      </c>
      <c r="K559" s="80">
        <f>IFERROR(INDEX(打卡匯入!$D$3:$D$2002,MATCH($C559&amp;"|"&amp;DAY($A559),打卡匯入!$E$3:$E$2002,0)),"")</f>
        <v/>
      </c>
      <c r="L559" s="81">
        <f>IF(OR($J559="",$K559=""),"",IFERROR(INDEX(設定!$F$6:$F$18,MATCH($G559,設定!$B$6:$B$18,0)),0))</f>
        <v/>
      </c>
      <c r="M559" s="82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1">
        <f>IF(OR($C559="",$H559="",$J559=""),0,IF(ROUND(($J559-$H559)*1440,0)&gt;設定!$C$42,ROUND(($J559-$H559)*1440,0),0))</f>
        <v/>
      </c>
      <c r="P559" s="81">
        <f>IF(OR($C559="",$I559="",$K559=""),0,IF(ROUND(($I559-$K559)*1440,0)&gt;設定!$C$42,ROUND(($I559-$K559)*1440,0),0))</f>
        <v/>
      </c>
      <c r="Q559" s="82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79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0">
        <f>IF($G560="","",IFERROR(INDEX(設定!$D$6:$D$18,MATCH($G560,設定!$B$6:$B$18,0)),""))</f>
        <v/>
      </c>
      <c r="I560" s="80">
        <f>IF($G560="","",IFERROR(INDEX(設定!$E$6:$E$18,MATCH($G560,設定!$B$6:$B$18,0)),""))</f>
        <v/>
      </c>
      <c r="J560" s="80">
        <f>IFERROR(INDEX(打卡匯入!$C$3:$C$2002,MATCH($C560&amp;"|"&amp;DAY($A560),打卡匯入!$E$3:$E$2002,0)),"")</f>
        <v/>
      </c>
      <c r="K560" s="80">
        <f>IFERROR(INDEX(打卡匯入!$D$3:$D$2002,MATCH($C560&amp;"|"&amp;DAY($A560),打卡匯入!$E$3:$E$2002,0)),"")</f>
        <v/>
      </c>
      <c r="L560" s="81">
        <f>IF(OR($J560="",$K560=""),"",IFERROR(INDEX(設定!$F$6:$F$18,MATCH($G560,設定!$B$6:$B$18,0)),0))</f>
        <v/>
      </c>
      <c r="M560" s="82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1">
        <f>IF(OR($C560="",$H560="",$J560=""),0,IF(ROUND(($J560-$H560)*1440,0)&gt;設定!$C$42,ROUND(($J560-$H560)*1440,0),0))</f>
        <v/>
      </c>
      <c r="P560" s="81">
        <f>IF(OR($C560="",$I560="",$K560=""),0,IF(ROUND(($I560-$K560)*1440,0)&gt;設定!$C$42,ROUND(($I560-$K560)*1440,0),0))</f>
        <v/>
      </c>
      <c r="Q560" s="82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79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0">
        <f>IF($G561="","",IFERROR(INDEX(設定!$D$6:$D$18,MATCH($G561,設定!$B$6:$B$18,0)),""))</f>
        <v/>
      </c>
      <c r="I561" s="80">
        <f>IF($G561="","",IFERROR(INDEX(設定!$E$6:$E$18,MATCH($G561,設定!$B$6:$B$18,0)),""))</f>
        <v/>
      </c>
      <c r="J561" s="80">
        <f>IFERROR(INDEX(打卡匯入!$C$3:$C$2002,MATCH($C561&amp;"|"&amp;DAY($A561),打卡匯入!$E$3:$E$2002,0)),"")</f>
        <v/>
      </c>
      <c r="K561" s="80">
        <f>IFERROR(INDEX(打卡匯入!$D$3:$D$2002,MATCH($C561&amp;"|"&amp;DAY($A561),打卡匯入!$E$3:$E$2002,0)),"")</f>
        <v/>
      </c>
      <c r="L561" s="81">
        <f>IF(OR($J561="",$K561=""),"",IFERROR(INDEX(設定!$F$6:$F$18,MATCH($G561,設定!$B$6:$B$18,0)),0))</f>
        <v/>
      </c>
      <c r="M561" s="82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1">
        <f>IF(OR($C561="",$H561="",$J561=""),0,IF(ROUND(($J561-$H561)*1440,0)&gt;設定!$C$42,ROUND(($J561-$H561)*1440,0),0))</f>
        <v/>
      </c>
      <c r="P561" s="81">
        <f>IF(OR($C561="",$I561="",$K561=""),0,IF(ROUND(($I561-$K561)*1440,0)&gt;設定!$C$42,ROUND(($I561-$K561)*1440,0),0))</f>
        <v/>
      </c>
      <c r="Q561" s="82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79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0">
        <f>IF($G562="","",IFERROR(INDEX(設定!$D$6:$D$18,MATCH($G562,設定!$B$6:$B$18,0)),""))</f>
        <v/>
      </c>
      <c r="I562" s="80">
        <f>IF($G562="","",IFERROR(INDEX(設定!$E$6:$E$18,MATCH($G562,設定!$B$6:$B$18,0)),""))</f>
        <v/>
      </c>
      <c r="J562" s="80">
        <f>IFERROR(INDEX(打卡匯入!$C$3:$C$2002,MATCH($C562&amp;"|"&amp;DAY($A562),打卡匯入!$E$3:$E$2002,0)),"")</f>
        <v/>
      </c>
      <c r="K562" s="80">
        <f>IFERROR(INDEX(打卡匯入!$D$3:$D$2002,MATCH($C562&amp;"|"&amp;DAY($A562),打卡匯入!$E$3:$E$2002,0)),"")</f>
        <v/>
      </c>
      <c r="L562" s="81">
        <f>IF(OR($J562="",$K562=""),"",IFERROR(INDEX(設定!$F$6:$F$18,MATCH($G562,設定!$B$6:$B$18,0)),0))</f>
        <v/>
      </c>
      <c r="M562" s="82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1">
        <f>IF(OR($C562="",$H562="",$J562=""),0,IF(ROUND(($J562-$H562)*1440,0)&gt;設定!$C$42,ROUND(($J562-$H562)*1440,0),0))</f>
        <v/>
      </c>
      <c r="P562" s="81">
        <f>IF(OR($C562="",$I562="",$K562=""),0,IF(ROUND(($I562-$K562)*1440,0)&gt;設定!$C$42,ROUND(($I562-$K562)*1440,0),0))</f>
        <v/>
      </c>
      <c r="Q562" s="82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79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0">
        <f>IF($G563="","",IFERROR(INDEX(設定!$D$6:$D$18,MATCH($G563,設定!$B$6:$B$18,0)),""))</f>
        <v/>
      </c>
      <c r="I563" s="80">
        <f>IF($G563="","",IFERROR(INDEX(設定!$E$6:$E$18,MATCH($G563,設定!$B$6:$B$18,0)),""))</f>
        <v/>
      </c>
      <c r="J563" s="80">
        <f>IFERROR(INDEX(打卡匯入!$C$3:$C$2002,MATCH($C563&amp;"|"&amp;DAY($A563),打卡匯入!$E$3:$E$2002,0)),"")</f>
        <v/>
      </c>
      <c r="K563" s="80">
        <f>IFERROR(INDEX(打卡匯入!$D$3:$D$2002,MATCH($C563&amp;"|"&amp;DAY($A563),打卡匯入!$E$3:$E$2002,0)),"")</f>
        <v/>
      </c>
      <c r="L563" s="81">
        <f>IF(OR($J563="",$K563=""),"",IFERROR(INDEX(設定!$F$6:$F$18,MATCH($G563,設定!$B$6:$B$18,0)),0))</f>
        <v/>
      </c>
      <c r="M563" s="82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1">
        <f>IF(OR($C563="",$H563="",$J563=""),0,IF(ROUND(($J563-$H563)*1440,0)&gt;設定!$C$42,ROUND(($J563-$H563)*1440,0),0))</f>
        <v/>
      </c>
      <c r="P563" s="81">
        <f>IF(OR($C563="",$I563="",$K563=""),0,IF(ROUND(($I563-$K563)*1440,0)&gt;設定!$C$42,ROUND(($I563-$K563)*1440,0),0))</f>
        <v/>
      </c>
      <c r="Q563" s="82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79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0">
        <f>IF($G564="","",IFERROR(INDEX(設定!$D$6:$D$18,MATCH($G564,設定!$B$6:$B$18,0)),""))</f>
        <v/>
      </c>
      <c r="I564" s="80">
        <f>IF($G564="","",IFERROR(INDEX(設定!$E$6:$E$18,MATCH($G564,設定!$B$6:$B$18,0)),""))</f>
        <v/>
      </c>
      <c r="J564" s="80">
        <f>IFERROR(INDEX(打卡匯入!$C$3:$C$2002,MATCH($C564&amp;"|"&amp;DAY($A564),打卡匯入!$E$3:$E$2002,0)),"")</f>
        <v/>
      </c>
      <c r="K564" s="80">
        <f>IFERROR(INDEX(打卡匯入!$D$3:$D$2002,MATCH($C564&amp;"|"&amp;DAY($A564),打卡匯入!$E$3:$E$2002,0)),"")</f>
        <v/>
      </c>
      <c r="L564" s="81">
        <f>IF(OR($J564="",$K564=""),"",IFERROR(INDEX(設定!$F$6:$F$18,MATCH($G564,設定!$B$6:$B$18,0)),0))</f>
        <v/>
      </c>
      <c r="M564" s="82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1">
        <f>IF(OR($C564="",$H564="",$J564=""),0,IF(ROUND(($J564-$H564)*1440,0)&gt;設定!$C$42,ROUND(($J564-$H564)*1440,0),0))</f>
        <v/>
      </c>
      <c r="P564" s="81">
        <f>IF(OR($C564="",$I564="",$K564=""),0,IF(ROUND(($I564-$K564)*1440,0)&gt;設定!$C$42,ROUND(($I564-$K564)*1440,0),0))</f>
        <v/>
      </c>
      <c r="Q564" s="82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79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0">
        <f>IF($G565="","",IFERROR(INDEX(設定!$D$6:$D$18,MATCH($G565,設定!$B$6:$B$18,0)),""))</f>
        <v/>
      </c>
      <c r="I565" s="80">
        <f>IF($G565="","",IFERROR(INDEX(設定!$E$6:$E$18,MATCH($G565,設定!$B$6:$B$18,0)),""))</f>
        <v/>
      </c>
      <c r="J565" s="80">
        <f>IFERROR(INDEX(打卡匯入!$C$3:$C$2002,MATCH($C565&amp;"|"&amp;DAY($A565),打卡匯入!$E$3:$E$2002,0)),"")</f>
        <v/>
      </c>
      <c r="K565" s="80">
        <f>IFERROR(INDEX(打卡匯入!$D$3:$D$2002,MATCH($C565&amp;"|"&amp;DAY($A565),打卡匯入!$E$3:$E$2002,0)),"")</f>
        <v/>
      </c>
      <c r="L565" s="81">
        <f>IF(OR($J565="",$K565=""),"",IFERROR(INDEX(設定!$F$6:$F$18,MATCH($G565,設定!$B$6:$B$18,0)),0))</f>
        <v/>
      </c>
      <c r="M565" s="82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1">
        <f>IF(OR($C565="",$H565="",$J565=""),0,IF(ROUND(($J565-$H565)*1440,0)&gt;設定!$C$42,ROUND(($J565-$H565)*1440,0),0))</f>
        <v/>
      </c>
      <c r="P565" s="81">
        <f>IF(OR($C565="",$I565="",$K565=""),0,IF(ROUND(($I565-$K565)*1440,0)&gt;設定!$C$42,ROUND(($I565-$K565)*1440,0),0))</f>
        <v/>
      </c>
      <c r="Q565" s="82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79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0">
        <f>IF($G566="","",IFERROR(INDEX(設定!$D$6:$D$18,MATCH($G566,設定!$B$6:$B$18,0)),""))</f>
        <v/>
      </c>
      <c r="I566" s="80">
        <f>IF($G566="","",IFERROR(INDEX(設定!$E$6:$E$18,MATCH($G566,設定!$B$6:$B$18,0)),""))</f>
        <v/>
      </c>
      <c r="J566" s="80">
        <f>IFERROR(INDEX(打卡匯入!$C$3:$C$2002,MATCH($C566&amp;"|"&amp;DAY($A566),打卡匯入!$E$3:$E$2002,0)),"")</f>
        <v/>
      </c>
      <c r="K566" s="80">
        <f>IFERROR(INDEX(打卡匯入!$D$3:$D$2002,MATCH($C566&amp;"|"&amp;DAY($A566),打卡匯入!$E$3:$E$2002,0)),"")</f>
        <v/>
      </c>
      <c r="L566" s="81">
        <f>IF(OR($J566="",$K566=""),"",IFERROR(INDEX(設定!$F$6:$F$18,MATCH($G566,設定!$B$6:$B$18,0)),0))</f>
        <v/>
      </c>
      <c r="M566" s="82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1">
        <f>IF(OR($C566="",$H566="",$J566=""),0,IF(ROUND(($J566-$H566)*1440,0)&gt;設定!$C$42,ROUND(($J566-$H566)*1440,0),0))</f>
        <v/>
      </c>
      <c r="P566" s="81">
        <f>IF(OR($C566="",$I566="",$K566=""),0,IF(ROUND(($I566-$K566)*1440,0)&gt;設定!$C$42,ROUND(($I566-$K566)*1440,0),0))</f>
        <v/>
      </c>
      <c r="Q566" s="82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79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0">
        <f>IF($G567="","",IFERROR(INDEX(設定!$D$6:$D$18,MATCH($G567,設定!$B$6:$B$18,0)),""))</f>
        <v/>
      </c>
      <c r="I567" s="80">
        <f>IF($G567="","",IFERROR(INDEX(設定!$E$6:$E$18,MATCH($G567,設定!$B$6:$B$18,0)),""))</f>
        <v/>
      </c>
      <c r="J567" s="80">
        <f>IFERROR(INDEX(打卡匯入!$C$3:$C$2002,MATCH($C567&amp;"|"&amp;DAY($A567),打卡匯入!$E$3:$E$2002,0)),"")</f>
        <v/>
      </c>
      <c r="K567" s="80">
        <f>IFERROR(INDEX(打卡匯入!$D$3:$D$2002,MATCH($C567&amp;"|"&amp;DAY($A567),打卡匯入!$E$3:$E$2002,0)),"")</f>
        <v/>
      </c>
      <c r="L567" s="81">
        <f>IF(OR($J567="",$K567=""),"",IFERROR(INDEX(設定!$F$6:$F$18,MATCH($G567,設定!$B$6:$B$18,0)),0))</f>
        <v/>
      </c>
      <c r="M567" s="82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1">
        <f>IF(OR($C567="",$H567="",$J567=""),0,IF(ROUND(($J567-$H567)*1440,0)&gt;設定!$C$42,ROUND(($J567-$H567)*1440,0),0))</f>
        <v/>
      </c>
      <c r="P567" s="81">
        <f>IF(OR($C567="",$I567="",$K567=""),0,IF(ROUND(($I567-$K567)*1440,0)&gt;設定!$C$42,ROUND(($I567-$K567)*1440,0),0))</f>
        <v/>
      </c>
      <c r="Q567" s="82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79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0">
        <f>IF($G568="","",IFERROR(INDEX(設定!$D$6:$D$18,MATCH($G568,設定!$B$6:$B$18,0)),""))</f>
        <v/>
      </c>
      <c r="I568" s="80">
        <f>IF($G568="","",IFERROR(INDEX(設定!$E$6:$E$18,MATCH($G568,設定!$B$6:$B$18,0)),""))</f>
        <v/>
      </c>
      <c r="J568" s="80">
        <f>IFERROR(INDEX(打卡匯入!$C$3:$C$2002,MATCH($C568&amp;"|"&amp;DAY($A568),打卡匯入!$E$3:$E$2002,0)),"")</f>
        <v/>
      </c>
      <c r="K568" s="80">
        <f>IFERROR(INDEX(打卡匯入!$D$3:$D$2002,MATCH($C568&amp;"|"&amp;DAY($A568),打卡匯入!$E$3:$E$2002,0)),"")</f>
        <v/>
      </c>
      <c r="L568" s="81">
        <f>IF(OR($J568="",$K568=""),"",IFERROR(INDEX(設定!$F$6:$F$18,MATCH($G568,設定!$B$6:$B$18,0)),0))</f>
        <v/>
      </c>
      <c r="M568" s="82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1">
        <f>IF(OR($C568="",$H568="",$J568=""),0,IF(ROUND(($J568-$H568)*1440,0)&gt;設定!$C$42,ROUND(($J568-$H568)*1440,0),0))</f>
        <v/>
      </c>
      <c r="P568" s="81">
        <f>IF(OR($C568="",$I568="",$K568=""),0,IF(ROUND(($I568-$K568)*1440,0)&gt;設定!$C$42,ROUND(($I568-$K568)*1440,0),0))</f>
        <v/>
      </c>
      <c r="Q568" s="82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79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0">
        <f>IF($G569="","",IFERROR(INDEX(設定!$D$6:$D$18,MATCH($G569,設定!$B$6:$B$18,0)),""))</f>
        <v/>
      </c>
      <c r="I569" s="80">
        <f>IF($G569="","",IFERROR(INDEX(設定!$E$6:$E$18,MATCH($G569,設定!$B$6:$B$18,0)),""))</f>
        <v/>
      </c>
      <c r="J569" s="80">
        <f>IFERROR(INDEX(打卡匯入!$C$3:$C$2002,MATCH($C569&amp;"|"&amp;DAY($A569),打卡匯入!$E$3:$E$2002,0)),"")</f>
        <v/>
      </c>
      <c r="K569" s="80">
        <f>IFERROR(INDEX(打卡匯入!$D$3:$D$2002,MATCH($C569&amp;"|"&amp;DAY($A569),打卡匯入!$E$3:$E$2002,0)),"")</f>
        <v/>
      </c>
      <c r="L569" s="81">
        <f>IF(OR($J569="",$K569=""),"",IFERROR(INDEX(設定!$F$6:$F$18,MATCH($G569,設定!$B$6:$B$18,0)),0))</f>
        <v/>
      </c>
      <c r="M569" s="82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1">
        <f>IF(OR($C569="",$H569="",$J569=""),0,IF(ROUND(($J569-$H569)*1440,0)&gt;設定!$C$42,ROUND(($J569-$H569)*1440,0),0))</f>
        <v/>
      </c>
      <c r="P569" s="81">
        <f>IF(OR($C569="",$I569="",$K569=""),0,IF(ROUND(($I569-$K569)*1440,0)&gt;設定!$C$42,ROUND(($I569-$K569)*1440,0),0))</f>
        <v/>
      </c>
      <c r="Q569" s="82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79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0">
        <f>IF($G570="","",IFERROR(INDEX(設定!$D$6:$D$18,MATCH($G570,設定!$B$6:$B$18,0)),""))</f>
        <v/>
      </c>
      <c r="I570" s="80">
        <f>IF($G570="","",IFERROR(INDEX(設定!$E$6:$E$18,MATCH($G570,設定!$B$6:$B$18,0)),""))</f>
        <v/>
      </c>
      <c r="J570" s="80">
        <f>IFERROR(INDEX(打卡匯入!$C$3:$C$2002,MATCH($C570&amp;"|"&amp;DAY($A570),打卡匯入!$E$3:$E$2002,0)),"")</f>
        <v/>
      </c>
      <c r="K570" s="80">
        <f>IFERROR(INDEX(打卡匯入!$D$3:$D$2002,MATCH($C570&amp;"|"&amp;DAY($A570),打卡匯入!$E$3:$E$2002,0)),"")</f>
        <v/>
      </c>
      <c r="L570" s="81">
        <f>IF(OR($J570="",$K570=""),"",IFERROR(INDEX(設定!$F$6:$F$18,MATCH($G570,設定!$B$6:$B$18,0)),0))</f>
        <v/>
      </c>
      <c r="M570" s="82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1">
        <f>IF(OR($C570="",$H570="",$J570=""),0,IF(ROUND(($J570-$H570)*1440,0)&gt;設定!$C$42,ROUND(($J570-$H570)*1440,0),0))</f>
        <v/>
      </c>
      <c r="P570" s="81">
        <f>IF(OR($C570="",$I570="",$K570=""),0,IF(ROUND(($I570-$K570)*1440,0)&gt;設定!$C$42,ROUND(($I570-$K570)*1440,0),0))</f>
        <v/>
      </c>
      <c r="Q570" s="82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79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0">
        <f>IF($G571="","",IFERROR(INDEX(設定!$D$6:$D$18,MATCH($G571,設定!$B$6:$B$18,0)),""))</f>
        <v/>
      </c>
      <c r="I571" s="80">
        <f>IF($G571="","",IFERROR(INDEX(設定!$E$6:$E$18,MATCH($G571,設定!$B$6:$B$18,0)),""))</f>
        <v/>
      </c>
      <c r="J571" s="80">
        <f>IFERROR(INDEX(打卡匯入!$C$3:$C$2002,MATCH($C571&amp;"|"&amp;DAY($A571),打卡匯入!$E$3:$E$2002,0)),"")</f>
        <v/>
      </c>
      <c r="K571" s="80">
        <f>IFERROR(INDEX(打卡匯入!$D$3:$D$2002,MATCH($C571&amp;"|"&amp;DAY($A571),打卡匯入!$E$3:$E$2002,0)),"")</f>
        <v/>
      </c>
      <c r="L571" s="81">
        <f>IF(OR($J571="",$K571=""),"",IFERROR(INDEX(設定!$F$6:$F$18,MATCH($G571,設定!$B$6:$B$18,0)),0))</f>
        <v/>
      </c>
      <c r="M571" s="82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1">
        <f>IF(OR($C571="",$H571="",$J571=""),0,IF(ROUND(($J571-$H571)*1440,0)&gt;設定!$C$42,ROUND(($J571-$H571)*1440,0),0))</f>
        <v/>
      </c>
      <c r="P571" s="81">
        <f>IF(OR($C571="",$I571="",$K571=""),0,IF(ROUND(($I571-$K571)*1440,0)&gt;設定!$C$42,ROUND(($I571-$K571)*1440,0),0))</f>
        <v/>
      </c>
      <c r="Q571" s="82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79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0">
        <f>IF($G572="","",IFERROR(INDEX(設定!$D$6:$D$18,MATCH($G572,設定!$B$6:$B$18,0)),""))</f>
        <v/>
      </c>
      <c r="I572" s="80">
        <f>IF($G572="","",IFERROR(INDEX(設定!$E$6:$E$18,MATCH($G572,設定!$B$6:$B$18,0)),""))</f>
        <v/>
      </c>
      <c r="J572" s="80">
        <f>IFERROR(INDEX(打卡匯入!$C$3:$C$2002,MATCH($C572&amp;"|"&amp;DAY($A572),打卡匯入!$E$3:$E$2002,0)),"")</f>
        <v/>
      </c>
      <c r="K572" s="80">
        <f>IFERROR(INDEX(打卡匯入!$D$3:$D$2002,MATCH($C572&amp;"|"&amp;DAY($A572),打卡匯入!$E$3:$E$2002,0)),"")</f>
        <v/>
      </c>
      <c r="L572" s="81">
        <f>IF(OR($J572="",$K572=""),"",IFERROR(INDEX(設定!$F$6:$F$18,MATCH($G572,設定!$B$6:$B$18,0)),0))</f>
        <v/>
      </c>
      <c r="M572" s="82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1">
        <f>IF(OR($C572="",$H572="",$J572=""),0,IF(ROUND(($J572-$H572)*1440,0)&gt;設定!$C$42,ROUND(($J572-$H572)*1440,0),0))</f>
        <v/>
      </c>
      <c r="P572" s="81">
        <f>IF(OR($C572="",$I572="",$K572=""),0,IF(ROUND(($I572-$K572)*1440,0)&gt;設定!$C$42,ROUND(($I572-$K572)*1440,0),0))</f>
        <v/>
      </c>
      <c r="Q572" s="82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79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0">
        <f>IF($G573="","",IFERROR(INDEX(設定!$D$6:$D$18,MATCH($G573,設定!$B$6:$B$18,0)),""))</f>
        <v/>
      </c>
      <c r="I573" s="80">
        <f>IF($G573="","",IFERROR(INDEX(設定!$E$6:$E$18,MATCH($G573,設定!$B$6:$B$18,0)),""))</f>
        <v/>
      </c>
      <c r="J573" s="80">
        <f>IFERROR(INDEX(打卡匯入!$C$3:$C$2002,MATCH($C573&amp;"|"&amp;DAY($A573),打卡匯入!$E$3:$E$2002,0)),"")</f>
        <v/>
      </c>
      <c r="K573" s="80">
        <f>IFERROR(INDEX(打卡匯入!$D$3:$D$2002,MATCH($C573&amp;"|"&amp;DAY($A573),打卡匯入!$E$3:$E$2002,0)),"")</f>
        <v/>
      </c>
      <c r="L573" s="81">
        <f>IF(OR($J573="",$K573=""),"",IFERROR(INDEX(設定!$F$6:$F$18,MATCH($G573,設定!$B$6:$B$18,0)),0))</f>
        <v/>
      </c>
      <c r="M573" s="82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1">
        <f>IF(OR($C573="",$H573="",$J573=""),0,IF(ROUND(($J573-$H573)*1440,0)&gt;設定!$C$42,ROUND(($J573-$H573)*1440,0),0))</f>
        <v/>
      </c>
      <c r="P573" s="81">
        <f>IF(OR($C573="",$I573="",$K573=""),0,IF(ROUND(($I573-$K573)*1440,0)&gt;設定!$C$42,ROUND(($I573-$K573)*1440,0),0))</f>
        <v/>
      </c>
      <c r="Q573" s="82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79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0">
        <f>IF($G574="","",IFERROR(INDEX(設定!$D$6:$D$18,MATCH($G574,設定!$B$6:$B$18,0)),""))</f>
        <v/>
      </c>
      <c r="I574" s="80">
        <f>IF($G574="","",IFERROR(INDEX(設定!$E$6:$E$18,MATCH($G574,設定!$B$6:$B$18,0)),""))</f>
        <v/>
      </c>
      <c r="J574" s="80">
        <f>IFERROR(INDEX(打卡匯入!$C$3:$C$2002,MATCH($C574&amp;"|"&amp;DAY($A574),打卡匯入!$E$3:$E$2002,0)),"")</f>
        <v/>
      </c>
      <c r="K574" s="80">
        <f>IFERROR(INDEX(打卡匯入!$D$3:$D$2002,MATCH($C574&amp;"|"&amp;DAY($A574),打卡匯入!$E$3:$E$2002,0)),"")</f>
        <v/>
      </c>
      <c r="L574" s="81">
        <f>IF(OR($J574="",$K574=""),"",IFERROR(INDEX(設定!$F$6:$F$18,MATCH($G574,設定!$B$6:$B$18,0)),0))</f>
        <v/>
      </c>
      <c r="M574" s="82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1">
        <f>IF(OR($C574="",$H574="",$J574=""),0,IF(ROUND(($J574-$H574)*1440,0)&gt;設定!$C$42,ROUND(($J574-$H574)*1440,0),0))</f>
        <v/>
      </c>
      <c r="P574" s="81">
        <f>IF(OR($C574="",$I574="",$K574=""),0,IF(ROUND(($I574-$K574)*1440,0)&gt;設定!$C$42,ROUND(($I574-$K574)*1440,0),0))</f>
        <v/>
      </c>
      <c r="Q574" s="82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79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0">
        <f>IF($G575="","",IFERROR(INDEX(設定!$D$6:$D$18,MATCH($G575,設定!$B$6:$B$18,0)),""))</f>
        <v/>
      </c>
      <c r="I575" s="80">
        <f>IF($G575="","",IFERROR(INDEX(設定!$E$6:$E$18,MATCH($G575,設定!$B$6:$B$18,0)),""))</f>
        <v/>
      </c>
      <c r="J575" s="80">
        <f>IFERROR(INDEX(打卡匯入!$C$3:$C$2002,MATCH($C575&amp;"|"&amp;DAY($A575),打卡匯入!$E$3:$E$2002,0)),"")</f>
        <v/>
      </c>
      <c r="K575" s="80">
        <f>IFERROR(INDEX(打卡匯入!$D$3:$D$2002,MATCH($C575&amp;"|"&amp;DAY($A575),打卡匯入!$E$3:$E$2002,0)),"")</f>
        <v/>
      </c>
      <c r="L575" s="81">
        <f>IF(OR($J575="",$K575=""),"",IFERROR(INDEX(設定!$F$6:$F$18,MATCH($G575,設定!$B$6:$B$18,0)),0))</f>
        <v/>
      </c>
      <c r="M575" s="82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1">
        <f>IF(OR($C575="",$H575="",$J575=""),0,IF(ROUND(($J575-$H575)*1440,0)&gt;設定!$C$42,ROUND(($J575-$H575)*1440,0),0))</f>
        <v/>
      </c>
      <c r="P575" s="81">
        <f>IF(OR($C575="",$I575="",$K575=""),0,IF(ROUND(($I575-$K575)*1440,0)&gt;設定!$C$42,ROUND(($I575-$K575)*1440,0),0))</f>
        <v/>
      </c>
      <c r="Q575" s="82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79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0">
        <f>IF($G576="","",IFERROR(INDEX(設定!$D$6:$D$18,MATCH($G576,設定!$B$6:$B$18,0)),""))</f>
        <v/>
      </c>
      <c r="I576" s="80">
        <f>IF($G576="","",IFERROR(INDEX(設定!$E$6:$E$18,MATCH($G576,設定!$B$6:$B$18,0)),""))</f>
        <v/>
      </c>
      <c r="J576" s="80">
        <f>IFERROR(INDEX(打卡匯入!$C$3:$C$2002,MATCH($C576&amp;"|"&amp;DAY($A576),打卡匯入!$E$3:$E$2002,0)),"")</f>
        <v/>
      </c>
      <c r="K576" s="80">
        <f>IFERROR(INDEX(打卡匯入!$D$3:$D$2002,MATCH($C576&amp;"|"&amp;DAY($A576),打卡匯入!$E$3:$E$2002,0)),"")</f>
        <v/>
      </c>
      <c r="L576" s="81">
        <f>IF(OR($J576="",$K576=""),"",IFERROR(INDEX(設定!$F$6:$F$18,MATCH($G576,設定!$B$6:$B$18,0)),0))</f>
        <v/>
      </c>
      <c r="M576" s="82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1">
        <f>IF(OR($C576="",$H576="",$J576=""),0,IF(ROUND(($J576-$H576)*1440,0)&gt;設定!$C$42,ROUND(($J576-$H576)*1440,0),0))</f>
        <v/>
      </c>
      <c r="P576" s="81">
        <f>IF(OR($C576="",$I576="",$K576=""),0,IF(ROUND(($I576-$K576)*1440,0)&gt;設定!$C$42,ROUND(($I576-$K576)*1440,0),0))</f>
        <v/>
      </c>
      <c r="Q576" s="82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79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0">
        <f>IF($G577="","",IFERROR(INDEX(設定!$D$6:$D$18,MATCH($G577,設定!$B$6:$B$18,0)),""))</f>
        <v/>
      </c>
      <c r="I577" s="80">
        <f>IF($G577="","",IFERROR(INDEX(設定!$E$6:$E$18,MATCH($G577,設定!$B$6:$B$18,0)),""))</f>
        <v/>
      </c>
      <c r="J577" s="80">
        <f>IFERROR(INDEX(打卡匯入!$C$3:$C$2002,MATCH($C577&amp;"|"&amp;DAY($A577),打卡匯入!$E$3:$E$2002,0)),"")</f>
        <v/>
      </c>
      <c r="K577" s="80">
        <f>IFERROR(INDEX(打卡匯入!$D$3:$D$2002,MATCH($C577&amp;"|"&amp;DAY($A577),打卡匯入!$E$3:$E$2002,0)),"")</f>
        <v/>
      </c>
      <c r="L577" s="81">
        <f>IF(OR($J577="",$K577=""),"",IFERROR(INDEX(設定!$F$6:$F$18,MATCH($G577,設定!$B$6:$B$18,0)),0))</f>
        <v/>
      </c>
      <c r="M577" s="82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1">
        <f>IF(OR($C577="",$H577="",$J577=""),0,IF(ROUND(($J577-$H577)*1440,0)&gt;設定!$C$42,ROUND(($J577-$H577)*1440,0),0))</f>
        <v/>
      </c>
      <c r="P577" s="81">
        <f>IF(OR($C577="",$I577="",$K577=""),0,IF(ROUND(($I577-$K577)*1440,0)&gt;設定!$C$42,ROUND(($I577-$K577)*1440,0),0))</f>
        <v/>
      </c>
      <c r="Q577" s="82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79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0">
        <f>IF($G578="","",IFERROR(INDEX(設定!$D$6:$D$18,MATCH($G578,設定!$B$6:$B$18,0)),""))</f>
        <v/>
      </c>
      <c r="I578" s="80">
        <f>IF($G578="","",IFERROR(INDEX(設定!$E$6:$E$18,MATCH($G578,設定!$B$6:$B$18,0)),""))</f>
        <v/>
      </c>
      <c r="J578" s="80">
        <f>IFERROR(INDEX(打卡匯入!$C$3:$C$2002,MATCH($C578&amp;"|"&amp;DAY($A578),打卡匯入!$E$3:$E$2002,0)),"")</f>
        <v/>
      </c>
      <c r="K578" s="80">
        <f>IFERROR(INDEX(打卡匯入!$D$3:$D$2002,MATCH($C578&amp;"|"&amp;DAY($A578),打卡匯入!$E$3:$E$2002,0)),"")</f>
        <v/>
      </c>
      <c r="L578" s="81">
        <f>IF(OR($J578="",$K578=""),"",IFERROR(INDEX(設定!$F$6:$F$18,MATCH($G578,設定!$B$6:$B$18,0)),0))</f>
        <v/>
      </c>
      <c r="M578" s="82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1">
        <f>IF(OR($C578="",$H578="",$J578=""),0,IF(ROUND(($J578-$H578)*1440,0)&gt;設定!$C$42,ROUND(($J578-$H578)*1440,0),0))</f>
        <v/>
      </c>
      <c r="P578" s="81">
        <f>IF(OR($C578="",$I578="",$K578=""),0,IF(ROUND(($I578-$K578)*1440,0)&gt;設定!$C$42,ROUND(($I578-$K578)*1440,0),0))</f>
        <v/>
      </c>
      <c r="Q578" s="82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79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0">
        <f>IF($G579="","",IFERROR(INDEX(設定!$D$6:$D$18,MATCH($G579,設定!$B$6:$B$18,0)),""))</f>
        <v/>
      </c>
      <c r="I579" s="80">
        <f>IF($G579="","",IFERROR(INDEX(設定!$E$6:$E$18,MATCH($G579,設定!$B$6:$B$18,0)),""))</f>
        <v/>
      </c>
      <c r="J579" s="80">
        <f>IFERROR(INDEX(打卡匯入!$C$3:$C$2002,MATCH($C579&amp;"|"&amp;DAY($A579),打卡匯入!$E$3:$E$2002,0)),"")</f>
        <v/>
      </c>
      <c r="K579" s="80">
        <f>IFERROR(INDEX(打卡匯入!$D$3:$D$2002,MATCH($C579&amp;"|"&amp;DAY($A579),打卡匯入!$E$3:$E$2002,0)),"")</f>
        <v/>
      </c>
      <c r="L579" s="81">
        <f>IF(OR($J579="",$K579=""),"",IFERROR(INDEX(設定!$F$6:$F$18,MATCH($G579,設定!$B$6:$B$18,0)),0))</f>
        <v/>
      </c>
      <c r="M579" s="82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1">
        <f>IF(OR($C579="",$H579="",$J579=""),0,IF(ROUND(($J579-$H579)*1440,0)&gt;設定!$C$42,ROUND(($J579-$H579)*1440,0),0))</f>
        <v/>
      </c>
      <c r="P579" s="81">
        <f>IF(OR($C579="",$I579="",$K579=""),0,IF(ROUND(($I579-$K579)*1440,0)&gt;設定!$C$42,ROUND(($I579-$K579)*1440,0),0))</f>
        <v/>
      </c>
      <c r="Q579" s="82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79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0">
        <f>IF($G580="","",IFERROR(INDEX(設定!$D$6:$D$18,MATCH($G580,設定!$B$6:$B$18,0)),""))</f>
        <v/>
      </c>
      <c r="I580" s="80">
        <f>IF($G580="","",IFERROR(INDEX(設定!$E$6:$E$18,MATCH($G580,設定!$B$6:$B$18,0)),""))</f>
        <v/>
      </c>
      <c r="J580" s="80">
        <f>IFERROR(INDEX(打卡匯入!$C$3:$C$2002,MATCH($C580&amp;"|"&amp;DAY($A580),打卡匯入!$E$3:$E$2002,0)),"")</f>
        <v/>
      </c>
      <c r="K580" s="80">
        <f>IFERROR(INDEX(打卡匯入!$D$3:$D$2002,MATCH($C580&amp;"|"&amp;DAY($A580),打卡匯入!$E$3:$E$2002,0)),"")</f>
        <v/>
      </c>
      <c r="L580" s="81">
        <f>IF(OR($J580="",$K580=""),"",IFERROR(INDEX(設定!$F$6:$F$18,MATCH($G580,設定!$B$6:$B$18,0)),0))</f>
        <v/>
      </c>
      <c r="M580" s="82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1">
        <f>IF(OR($C580="",$H580="",$J580=""),0,IF(ROUND(($J580-$H580)*1440,0)&gt;設定!$C$42,ROUND(($J580-$H580)*1440,0),0))</f>
        <v/>
      </c>
      <c r="P580" s="81">
        <f>IF(OR($C580="",$I580="",$K580=""),0,IF(ROUND(($I580-$K580)*1440,0)&gt;設定!$C$42,ROUND(($I580-$K580)*1440,0),0))</f>
        <v/>
      </c>
      <c r="Q580" s="82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79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0">
        <f>IF($G581="","",IFERROR(INDEX(設定!$D$6:$D$18,MATCH($G581,設定!$B$6:$B$18,0)),""))</f>
        <v/>
      </c>
      <c r="I581" s="80">
        <f>IF($G581="","",IFERROR(INDEX(設定!$E$6:$E$18,MATCH($G581,設定!$B$6:$B$18,0)),""))</f>
        <v/>
      </c>
      <c r="J581" s="80">
        <f>IFERROR(INDEX(打卡匯入!$C$3:$C$2002,MATCH($C581&amp;"|"&amp;DAY($A581),打卡匯入!$E$3:$E$2002,0)),"")</f>
        <v/>
      </c>
      <c r="K581" s="80">
        <f>IFERROR(INDEX(打卡匯入!$D$3:$D$2002,MATCH($C581&amp;"|"&amp;DAY($A581),打卡匯入!$E$3:$E$2002,0)),"")</f>
        <v/>
      </c>
      <c r="L581" s="81">
        <f>IF(OR($J581="",$K581=""),"",IFERROR(INDEX(設定!$F$6:$F$18,MATCH($G581,設定!$B$6:$B$18,0)),0))</f>
        <v/>
      </c>
      <c r="M581" s="82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1">
        <f>IF(OR($C581="",$H581="",$J581=""),0,IF(ROUND(($J581-$H581)*1440,0)&gt;設定!$C$42,ROUND(($J581-$H581)*1440,0),0))</f>
        <v/>
      </c>
      <c r="P581" s="81">
        <f>IF(OR($C581="",$I581="",$K581=""),0,IF(ROUND(($I581-$K581)*1440,0)&gt;設定!$C$42,ROUND(($I581-$K581)*1440,0),0))</f>
        <v/>
      </c>
      <c r="Q581" s="82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79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0">
        <f>IF($G582="","",IFERROR(INDEX(設定!$D$6:$D$18,MATCH($G582,設定!$B$6:$B$18,0)),""))</f>
        <v/>
      </c>
      <c r="I582" s="80">
        <f>IF($G582="","",IFERROR(INDEX(設定!$E$6:$E$18,MATCH($G582,設定!$B$6:$B$18,0)),""))</f>
        <v/>
      </c>
      <c r="J582" s="80">
        <f>IFERROR(INDEX(打卡匯入!$C$3:$C$2002,MATCH($C582&amp;"|"&amp;DAY($A582),打卡匯入!$E$3:$E$2002,0)),"")</f>
        <v/>
      </c>
      <c r="K582" s="80">
        <f>IFERROR(INDEX(打卡匯入!$D$3:$D$2002,MATCH($C582&amp;"|"&amp;DAY($A582),打卡匯入!$E$3:$E$2002,0)),"")</f>
        <v/>
      </c>
      <c r="L582" s="81">
        <f>IF(OR($J582="",$K582=""),"",IFERROR(INDEX(設定!$F$6:$F$18,MATCH($G582,設定!$B$6:$B$18,0)),0))</f>
        <v/>
      </c>
      <c r="M582" s="82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1">
        <f>IF(OR($C582="",$H582="",$J582=""),0,IF(ROUND(($J582-$H582)*1440,0)&gt;設定!$C$42,ROUND(($J582-$H582)*1440,0),0))</f>
        <v/>
      </c>
      <c r="P582" s="81">
        <f>IF(OR($C582="",$I582="",$K582=""),0,IF(ROUND(($I582-$K582)*1440,0)&gt;設定!$C$42,ROUND(($I582-$K582)*1440,0),0))</f>
        <v/>
      </c>
      <c r="Q582" s="82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79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0">
        <f>IF($G583="","",IFERROR(INDEX(設定!$D$6:$D$18,MATCH($G583,設定!$B$6:$B$18,0)),""))</f>
        <v/>
      </c>
      <c r="I583" s="80">
        <f>IF($G583="","",IFERROR(INDEX(設定!$E$6:$E$18,MATCH($G583,設定!$B$6:$B$18,0)),""))</f>
        <v/>
      </c>
      <c r="J583" s="80">
        <f>IFERROR(INDEX(打卡匯入!$C$3:$C$2002,MATCH($C583&amp;"|"&amp;DAY($A583),打卡匯入!$E$3:$E$2002,0)),"")</f>
        <v/>
      </c>
      <c r="K583" s="80">
        <f>IFERROR(INDEX(打卡匯入!$D$3:$D$2002,MATCH($C583&amp;"|"&amp;DAY($A583),打卡匯入!$E$3:$E$2002,0)),"")</f>
        <v/>
      </c>
      <c r="L583" s="81">
        <f>IF(OR($J583="",$K583=""),"",IFERROR(INDEX(設定!$F$6:$F$18,MATCH($G583,設定!$B$6:$B$18,0)),0))</f>
        <v/>
      </c>
      <c r="M583" s="82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1">
        <f>IF(OR($C583="",$H583="",$J583=""),0,IF(ROUND(($J583-$H583)*1440,0)&gt;設定!$C$42,ROUND(($J583-$H583)*1440,0),0))</f>
        <v/>
      </c>
      <c r="P583" s="81">
        <f>IF(OR($C583="",$I583="",$K583=""),0,IF(ROUND(($I583-$K583)*1440,0)&gt;設定!$C$42,ROUND(($I583-$K583)*1440,0),0))</f>
        <v/>
      </c>
      <c r="Q583" s="82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79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0">
        <f>IF($G584="","",IFERROR(INDEX(設定!$D$6:$D$18,MATCH($G584,設定!$B$6:$B$18,0)),""))</f>
        <v/>
      </c>
      <c r="I584" s="80">
        <f>IF($G584="","",IFERROR(INDEX(設定!$E$6:$E$18,MATCH($G584,設定!$B$6:$B$18,0)),""))</f>
        <v/>
      </c>
      <c r="J584" s="80">
        <f>IFERROR(INDEX(打卡匯入!$C$3:$C$2002,MATCH($C584&amp;"|"&amp;DAY($A584),打卡匯入!$E$3:$E$2002,0)),"")</f>
        <v/>
      </c>
      <c r="K584" s="80">
        <f>IFERROR(INDEX(打卡匯入!$D$3:$D$2002,MATCH($C584&amp;"|"&amp;DAY($A584),打卡匯入!$E$3:$E$2002,0)),"")</f>
        <v/>
      </c>
      <c r="L584" s="81">
        <f>IF(OR($J584="",$K584=""),"",IFERROR(INDEX(設定!$F$6:$F$18,MATCH($G584,設定!$B$6:$B$18,0)),0))</f>
        <v/>
      </c>
      <c r="M584" s="82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1">
        <f>IF(OR($C584="",$H584="",$J584=""),0,IF(ROUND(($J584-$H584)*1440,0)&gt;設定!$C$42,ROUND(($J584-$H584)*1440,0),0))</f>
        <v/>
      </c>
      <c r="P584" s="81">
        <f>IF(OR($C584="",$I584="",$K584=""),0,IF(ROUND(($I584-$K584)*1440,0)&gt;設定!$C$42,ROUND(($I584-$K584)*1440,0),0))</f>
        <v/>
      </c>
      <c r="Q584" s="82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79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0">
        <f>IF($G585="","",IFERROR(INDEX(設定!$D$6:$D$18,MATCH($G585,設定!$B$6:$B$18,0)),""))</f>
        <v/>
      </c>
      <c r="I585" s="80">
        <f>IF($G585="","",IFERROR(INDEX(設定!$E$6:$E$18,MATCH($G585,設定!$B$6:$B$18,0)),""))</f>
        <v/>
      </c>
      <c r="J585" s="80">
        <f>IFERROR(INDEX(打卡匯入!$C$3:$C$2002,MATCH($C585&amp;"|"&amp;DAY($A585),打卡匯入!$E$3:$E$2002,0)),"")</f>
        <v/>
      </c>
      <c r="K585" s="80">
        <f>IFERROR(INDEX(打卡匯入!$D$3:$D$2002,MATCH($C585&amp;"|"&amp;DAY($A585),打卡匯入!$E$3:$E$2002,0)),"")</f>
        <v/>
      </c>
      <c r="L585" s="81">
        <f>IF(OR($J585="",$K585=""),"",IFERROR(INDEX(設定!$F$6:$F$18,MATCH($G585,設定!$B$6:$B$18,0)),0))</f>
        <v/>
      </c>
      <c r="M585" s="82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1">
        <f>IF(OR($C585="",$H585="",$J585=""),0,IF(ROUND(($J585-$H585)*1440,0)&gt;設定!$C$42,ROUND(($J585-$H585)*1440,0),0))</f>
        <v/>
      </c>
      <c r="P585" s="81">
        <f>IF(OR($C585="",$I585="",$K585=""),0,IF(ROUND(($I585-$K585)*1440,0)&gt;設定!$C$42,ROUND(($I585-$K585)*1440,0),0))</f>
        <v/>
      </c>
      <c r="Q585" s="82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79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0">
        <f>IF($G586="","",IFERROR(INDEX(設定!$D$6:$D$18,MATCH($G586,設定!$B$6:$B$18,0)),""))</f>
        <v/>
      </c>
      <c r="I586" s="80">
        <f>IF($G586="","",IFERROR(INDEX(設定!$E$6:$E$18,MATCH($G586,設定!$B$6:$B$18,0)),""))</f>
        <v/>
      </c>
      <c r="J586" s="80">
        <f>IFERROR(INDEX(打卡匯入!$C$3:$C$2002,MATCH($C586&amp;"|"&amp;DAY($A586),打卡匯入!$E$3:$E$2002,0)),"")</f>
        <v/>
      </c>
      <c r="K586" s="80">
        <f>IFERROR(INDEX(打卡匯入!$D$3:$D$2002,MATCH($C586&amp;"|"&amp;DAY($A586),打卡匯入!$E$3:$E$2002,0)),"")</f>
        <v/>
      </c>
      <c r="L586" s="81">
        <f>IF(OR($J586="",$K586=""),"",IFERROR(INDEX(設定!$F$6:$F$18,MATCH($G586,設定!$B$6:$B$18,0)),0))</f>
        <v/>
      </c>
      <c r="M586" s="82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1">
        <f>IF(OR($C586="",$H586="",$J586=""),0,IF(ROUND(($J586-$H586)*1440,0)&gt;設定!$C$42,ROUND(($J586-$H586)*1440,0),0))</f>
        <v/>
      </c>
      <c r="P586" s="81">
        <f>IF(OR($C586="",$I586="",$K586=""),0,IF(ROUND(($I586-$K586)*1440,0)&gt;設定!$C$42,ROUND(($I586-$K586)*1440,0),0))</f>
        <v/>
      </c>
      <c r="Q586" s="82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79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0">
        <f>IF($G587="","",IFERROR(INDEX(設定!$D$6:$D$18,MATCH($G587,設定!$B$6:$B$18,0)),""))</f>
        <v/>
      </c>
      <c r="I587" s="80">
        <f>IF($G587="","",IFERROR(INDEX(設定!$E$6:$E$18,MATCH($G587,設定!$B$6:$B$18,0)),""))</f>
        <v/>
      </c>
      <c r="J587" s="80">
        <f>IFERROR(INDEX(打卡匯入!$C$3:$C$2002,MATCH($C587&amp;"|"&amp;DAY($A587),打卡匯入!$E$3:$E$2002,0)),"")</f>
        <v/>
      </c>
      <c r="K587" s="80">
        <f>IFERROR(INDEX(打卡匯入!$D$3:$D$2002,MATCH($C587&amp;"|"&amp;DAY($A587),打卡匯入!$E$3:$E$2002,0)),"")</f>
        <v/>
      </c>
      <c r="L587" s="81">
        <f>IF(OR($J587="",$K587=""),"",IFERROR(INDEX(設定!$F$6:$F$18,MATCH($G587,設定!$B$6:$B$18,0)),0))</f>
        <v/>
      </c>
      <c r="M587" s="82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1">
        <f>IF(OR($C587="",$H587="",$J587=""),0,IF(ROUND(($J587-$H587)*1440,0)&gt;設定!$C$42,ROUND(($J587-$H587)*1440,0),0))</f>
        <v/>
      </c>
      <c r="P587" s="81">
        <f>IF(OR($C587="",$I587="",$K587=""),0,IF(ROUND(($I587-$K587)*1440,0)&gt;設定!$C$42,ROUND(($I587-$K587)*1440,0),0))</f>
        <v/>
      </c>
      <c r="Q587" s="82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79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0">
        <f>IF($G588="","",IFERROR(INDEX(設定!$D$6:$D$18,MATCH($G588,設定!$B$6:$B$18,0)),""))</f>
        <v/>
      </c>
      <c r="I588" s="80">
        <f>IF($G588="","",IFERROR(INDEX(設定!$E$6:$E$18,MATCH($G588,設定!$B$6:$B$18,0)),""))</f>
        <v/>
      </c>
      <c r="J588" s="80">
        <f>IFERROR(INDEX(打卡匯入!$C$3:$C$2002,MATCH($C588&amp;"|"&amp;DAY($A588),打卡匯入!$E$3:$E$2002,0)),"")</f>
        <v/>
      </c>
      <c r="K588" s="80">
        <f>IFERROR(INDEX(打卡匯入!$D$3:$D$2002,MATCH($C588&amp;"|"&amp;DAY($A588),打卡匯入!$E$3:$E$2002,0)),"")</f>
        <v/>
      </c>
      <c r="L588" s="81">
        <f>IF(OR($J588="",$K588=""),"",IFERROR(INDEX(設定!$F$6:$F$18,MATCH($G588,設定!$B$6:$B$18,0)),0))</f>
        <v/>
      </c>
      <c r="M588" s="82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1">
        <f>IF(OR($C588="",$H588="",$J588=""),0,IF(ROUND(($J588-$H588)*1440,0)&gt;設定!$C$42,ROUND(($J588-$H588)*1440,0),0))</f>
        <v/>
      </c>
      <c r="P588" s="81">
        <f>IF(OR($C588="",$I588="",$K588=""),0,IF(ROUND(($I588-$K588)*1440,0)&gt;設定!$C$42,ROUND(($I588-$K588)*1440,0),0))</f>
        <v/>
      </c>
      <c r="Q588" s="82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79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0">
        <f>IF($G589="","",IFERROR(INDEX(設定!$D$6:$D$18,MATCH($G589,設定!$B$6:$B$18,0)),""))</f>
        <v/>
      </c>
      <c r="I589" s="80">
        <f>IF($G589="","",IFERROR(INDEX(設定!$E$6:$E$18,MATCH($G589,設定!$B$6:$B$18,0)),""))</f>
        <v/>
      </c>
      <c r="J589" s="80">
        <f>IFERROR(INDEX(打卡匯入!$C$3:$C$2002,MATCH($C589&amp;"|"&amp;DAY($A589),打卡匯入!$E$3:$E$2002,0)),"")</f>
        <v/>
      </c>
      <c r="K589" s="80">
        <f>IFERROR(INDEX(打卡匯入!$D$3:$D$2002,MATCH($C589&amp;"|"&amp;DAY($A589),打卡匯入!$E$3:$E$2002,0)),"")</f>
        <v/>
      </c>
      <c r="L589" s="81">
        <f>IF(OR($J589="",$K589=""),"",IFERROR(INDEX(設定!$F$6:$F$18,MATCH($G589,設定!$B$6:$B$18,0)),0))</f>
        <v/>
      </c>
      <c r="M589" s="82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1">
        <f>IF(OR($C589="",$H589="",$J589=""),0,IF(ROUND(($J589-$H589)*1440,0)&gt;設定!$C$42,ROUND(($J589-$H589)*1440,0),0))</f>
        <v/>
      </c>
      <c r="P589" s="81">
        <f>IF(OR($C589="",$I589="",$K589=""),0,IF(ROUND(($I589-$K589)*1440,0)&gt;設定!$C$42,ROUND(($I589-$K589)*1440,0),0))</f>
        <v/>
      </c>
      <c r="Q589" s="82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79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0">
        <f>IF($G590="","",IFERROR(INDEX(設定!$D$6:$D$18,MATCH($G590,設定!$B$6:$B$18,0)),""))</f>
        <v/>
      </c>
      <c r="I590" s="80">
        <f>IF($G590="","",IFERROR(INDEX(設定!$E$6:$E$18,MATCH($G590,設定!$B$6:$B$18,0)),""))</f>
        <v/>
      </c>
      <c r="J590" s="80">
        <f>IFERROR(INDEX(打卡匯入!$C$3:$C$2002,MATCH($C590&amp;"|"&amp;DAY($A590),打卡匯入!$E$3:$E$2002,0)),"")</f>
        <v/>
      </c>
      <c r="K590" s="80">
        <f>IFERROR(INDEX(打卡匯入!$D$3:$D$2002,MATCH($C590&amp;"|"&amp;DAY($A590),打卡匯入!$E$3:$E$2002,0)),"")</f>
        <v/>
      </c>
      <c r="L590" s="81">
        <f>IF(OR($J590="",$K590=""),"",IFERROR(INDEX(設定!$F$6:$F$18,MATCH($G590,設定!$B$6:$B$18,0)),0))</f>
        <v/>
      </c>
      <c r="M590" s="82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1">
        <f>IF(OR($C590="",$H590="",$J590=""),0,IF(ROUND(($J590-$H590)*1440,0)&gt;設定!$C$42,ROUND(($J590-$H590)*1440,0),0))</f>
        <v/>
      </c>
      <c r="P590" s="81">
        <f>IF(OR($C590="",$I590="",$K590=""),0,IF(ROUND(($I590-$K590)*1440,0)&gt;設定!$C$42,ROUND(($I590-$K590)*1440,0),0))</f>
        <v/>
      </c>
      <c r="Q590" s="82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79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0">
        <f>IF($G591="","",IFERROR(INDEX(設定!$D$6:$D$18,MATCH($G591,設定!$B$6:$B$18,0)),""))</f>
        <v/>
      </c>
      <c r="I591" s="80">
        <f>IF($G591="","",IFERROR(INDEX(設定!$E$6:$E$18,MATCH($G591,設定!$B$6:$B$18,0)),""))</f>
        <v/>
      </c>
      <c r="J591" s="80">
        <f>IFERROR(INDEX(打卡匯入!$C$3:$C$2002,MATCH($C591&amp;"|"&amp;DAY($A591),打卡匯入!$E$3:$E$2002,0)),"")</f>
        <v/>
      </c>
      <c r="K591" s="80">
        <f>IFERROR(INDEX(打卡匯入!$D$3:$D$2002,MATCH($C591&amp;"|"&amp;DAY($A591),打卡匯入!$E$3:$E$2002,0)),"")</f>
        <v/>
      </c>
      <c r="L591" s="81">
        <f>IF(OR($J591="",$K591=""),"",IFERROR(INDEX(設定!$F$6:$F$18,MATCH($G591,設定!$B$6:$B$18,0)),0))</f>
        <v/>
      </c>
      <c r="M591" s="82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1">
        <f>IF(OR($C591="",$H591="",$J591=""),0,IF(ROUND(($J591-$H591)*1440,0)&gt;設定!$C$42,ROUND(($J591-$H591)*1440,0),0))</f>
        <v/>
      </c>
      <c r="P591" s="81">
        <f>IF(OR($C591="",$I591="",$K591=""),0,IF(ROUND(($I591-$K591)*1440,0)&gt;設定!$C$42,ROUND(($I591-$K591)*1440,0),0))</f>
        <v/>
      </c>
      <c r="Q591" s="82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79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0">
        <f>IF($G592="","",IFERROR(INDEX(設定!$D$6:$D$18,MATCH($G592,設定!$B$6:$B$18,0)),""))</f>
        <v/>
      </c>
      <c r="I592" s="80">
        <f>IF($G592="","",IFERROR(INDEX(設定!$E$6:$E$18,MATCH($G592,設定!$B$6:$B$18,0)),""))</f>
        <v/>
      </c>
      <c r="J592" s="80">
        <f>IFERROR(INDEX(打卡匯入!$C$3:$C$2002,MATCH($C592&amp;"|"&amp;DAY($A592),打卡匯入!$E$3:$E$2002,0)),"")</f>
        <v/>
      </c>
      <c r="K592" s="80">
        <f>IFERROR(INDEX(打卡匯入!$D$3:$D$2002,MATCH($C592&amp;"|"&amp;DAY($A592),打卡匯入!$E$3:$E$2002,0)),"")</f>
        <v/>
      </c>
      <c r="L592" s="81">
        <f>IF(OR($J592="",$K592=""),"",IFERROR(INDEX(設定!$F$6:$F$18,MATCH($G592,設定!$B$6:$B$18,0)),0))</f>
        <v/>
      </c>
      <c r="M592" s="82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1">
        <f>IF(OR($C592="",$H592="",$J592=""),0,IF(ROUND(($J592-$H592)*1440,0)&gt;設定!$C$42,ROUND(($J592-$H592)*1440,0),0))</f>
        <v/>
      </c>
      <c r="P592" s="81">
        <f>IF(OR($C592="",$I592="",$K592=""),0,IF(ROUND(($I592-$K592)*1440,0)&gt;設定!$C$42,ROUND(($I592-$K592)*1440,0),0))</f>
        <v/>
      </c>
      <c r="Q592" s="82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79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0">
        <f>IF($G593="","",IFERROR(INDEX(設定!$D$6:$D$18,MATCH($G593,設定!$B$6:$B$18,0)),""))</f>
        <v/>
      </c>
      <c r="I593" s="80">
        <f>IF($G593="","",IFERROR(INDEX(設定!$E$6:$E$18,MATCH($G593,設定!$B$6:$B$18,0)),""))</f>
        <v/>
      </c>
      <c r="J593" s="80">
        <f>IFERROR(INDEX(打卡匯入!$C$3:$C$2002,MATCH($C593&amp;"|"&amp;DAY($A593),打卡匯入!$E$3:$E$2002,0)),"")</f>
        <v/>
      </c>
      <c r="K593" s="80">
        <f>IFERROR(INDEX(打卡匯入!$D$3:$D$2002,MATCH($C593&amp;"|"&amp;DAY($A593),打卡匯入!$E$3:$E$2002,0)),"")</f>
        <v/>
      </c>
      <c r="L593" s="81">
        <f>IF(OR($J593="",$K593=""),"",IFERROR(INDEX(設定!$F$6:$F$18,MATCH($G593,設定!$B$6:$B$18,0)),0))</f>
        <v/>
      </c>
      <c r="M593" s="82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1">
        <f>IF(OR($C593="",$H593="",$J593=""),0,IF(ROUND(($J593-$H593)*1440,0)&gt;設定!$C$42,ROUND(($J593-$H593)*1440,0),0))</f>
        <v/>
      </c>
      <c r="P593" s="81">
        <f>IF(OR($C593="",$I593="",$K593=""),0,IF(ROUND(($I593-$K593)*1440,0)&gt;設定!$C$42,ROUND(($I593-$K593)*1440,0),0))</f>
        <v/>
      </c>
      <c r="Q593" s="82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79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0">
        <f>IF($G594="","",IFERROR(INDEX(設定!$D$6:$D$18,MATCH($G594,設定!$B$6:$B$18,0)),""))</f>
        <v/>
      </c>
      <c r="I594" s="80">
        <f>IF($G594="","",IFERROR(INDEX(設定!$E$6:$E$18,MATCH($G594,設定!$B$6:$B$18,0)),""))</f>
        <v/>
      </c>
      <c r="J594" s="80">
        <f>IFERROR(INDEX(打卡匯入!$C$3:$C$2002,MATCH($C594&amp;"|"&amp;DAY($A594),打卡匯入!$E$3:$E$2002,0)),"")</f>
        <v/>
      </c>
      <c r="K594" s="80">
        <f>IFERROR(INDEX(打卡匯入!$D$3:$D$2002,MATCH($C594&amp;"|"&amp;DAY($A594),打卡匯入!$E$3:$E$2002,0)),"")</f>
        <v/>
      </c>
      <c r="L594" s="81">
        <f>IF(OR($J594="",$K594=""),"",IFERROR(INDEX(設定!$F$6:$F$18,MATCH($G594,設定!$B$6:$B$18,0)),0))</f>
        <v/>
      </c>
      <c r="M594" s="82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1">
        <f>IF(OR($C594="",$H594="",$J594=""),0,IF(ROUND(($J594-$H594)*1440,0)&gt;設定!$C$42,ROUND(($J594-$H594)*1440,0),0))</f>
        <v/>
      </c>
      <c r="P594" s="81">
        <f>IF(OR($C594="",$I594="",$K594=""),0,IF(ROUND(($I594-$K594)*1440,0)&gt;設定!$C$42,ROUND(($I594-$K594)*1440,0),0))</f>
        <v/>
      </c>
      <c r="Q594" s="82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79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0">
        <f>IF($G595="","",IFERROR(INDEX(設定!$D$6:$D$18,MATCH($G595,設定!$B$6:$B$18,0)),""))</f>
        <v/>
      </c>
      <c r="I595" s="80">
        <f>IF($G595="","",IFERROR(INDEX(設定!$E$6:$E$18,MATCH($G595,設定!$B$6:$B$18,0)),""))</f>
        <v/>
      </c>
      <c r="J595" s="80">
        <f>IFERROR(INDEX(打卡匯入!$C$3:$C$2002,MATCH($C595&amp;"|"&amp;DAY($A595),打卡匯入!$E$3:$E$2002,0)),"")</f>
        <v/>
      </c>
      <c r="K595" s="80">
        <f>IFERROR(INDEX(打卡匯入!$D$3:$D$2002,MATCH($C595&amp;"|"&amp;DAY($A595),打卡匯入!$E$3:$E$2002,0)),"")</f>
        <v/>
      </c>
      <c r="L595" s="81">
        <f>IF(OR($J595="",$K595=""),"",IFERROR(INDEX(設定!$F$6:$F$18,MATCH($G595,設定!$B$6:$B$18,0)),0))</f>
        <v/>
      </c>
      <c r="M595" s="82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1">
        <f>IF(OR($C595="",$H595="",$J595=""),0,IF(ROUND(($J595-$H595)*1440,0)&gt;設定!$C$42,ROUND(($J595-$H595)*1440,0),0))</f>
        <v/>
      </c>
      <c r="P595" s="81">
        <f>IF(OR($C595="",$I595="",$K595=""),0,IF(ROUND(($I595-$K595)*1440,0)&gt;設定!$C$42,ROUND(($I595-$K595)*1440,0),0))</f>
        <v/>
      </c>
      <c r="Q595" s="82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79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0">
        <f>IF($G596="","",IFERROR(INDEX(設定!$D$6:$D$18,MATCH($G596,設定!$B$6:$B$18,0)),""))</f>
        <v/>
      </c>
      <c r="I596" s="80">
        <f>IF($G596="","",IFERROR(INDEX(設定!$E$6:$E$18,MATCH($G596,設定!$B$6:$B$18,0)),""))</f>
        <v/>
      </c>
      <c r="J596" s="80">
        <f>IFERROR(INDEX(打卡匯入!$C$3:$C$2002,MATCH($C596&amp;"|"&amp;DAY($A596),打卡匯入!$E$3:$E$2002,0)),"")</f>
        <v/>
      </c>
      <c r="K596" s="80">
        <f>IFERROR(INDEX(打卡匯入!$D$3:$D$2002,MATCH($C596&amp;"|"&amp;DAY($A596),打卡匯入!$E$3:$E$2002,0)),"")</f>
        <v/>
      </c>
      <c r="L596" s="81">
        <f>IF(OR($J596="",$K596=""),"",IFERROR(INDEX(設定!$F$6:$F$18,MATCH($G596,設定!$B$6:$B$18,0)),0))</f>
        <v/>
      </c>
      <c r="M596" s="82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1">
        <f>IF(OR($C596="",$H596="",$J596=""),0,IF(ROUND(($J596-$H596)*1440,0)&gt;設定!$C$42,ROUND(($J596-$H596)*1440,0),0))</f>
        <v/>
      </c>
      <c r="P596" s="81">
        <f>IF(OR($C596="",$I596="",$K596=""),0,IF(ROUND(($I596-$K596)*1440,0)&gt;設定!$C$42,ROUND(($I596-$K596)*1440,0),0))</f>
        <v/>
      </c>
      <c r="Q596" s="82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79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0">
        <f>IF($G597="","",IFERROR(INDEX(設定!$D$6:$D$18,MATCH($G597,設定!$B$6:$B$18,0)),""))</f>
        <v/>
      </c>
      <c r="I597" s="80">
        <f>IF($G597="","",IFERROR(INDEX(設定!$E$6:$E$18,MATCH($G597,設定!$B$6:$B$18,0)),""))</f>
        <v/>
      </c>
      <c r="J597" s="80">
        <f>IFERROR(INDEX(打卡匯入!$C$3:$C$2002,MATCH($C597&amp;"|"&amp;DAY($A597),打卡匯入!$E$3:$E$2002,0)),"")</f>
        <v/>
      </c>
      <c r="K597" s="80">
        <f>IFERROR(INDEX(打卡匯入!$D$3:$D$2002,MATCH($C597&amp;"|"&amp;DAY($A597),打卡匯入!$E$3:$E$2002,0)),"")</f>
        <v/>
      </c>
      <c r="L597" s="81">
        <f>IF(OR($J597="",$K597=""),"",IFERROR(INDEX(設定!$F$6:$F$18,MATCH($G597,設定!$B$6:$B$18,0)),0))</f>
        <v/>
      </c>
      <c r="M597" s="82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1">
        <f>IF(OR($C597="",$H597="",$J597=""),0,IF(ROUND(($J597-$H597)*1440,0)&gt;設定!$C$42,ROUND(($J597-$H597)*1440,0),0))</f>
        <v/>
      </c>
      <c r="P597" s="81">
        <f>IF(OR($C597="",$I597="",$K597=""),0,IF(ROUND(($I597-$K597)*1440,0)&gt;設定!$C$42,ROUND(($I597-$K597)*1440,0),0))</f>
        <v/>
      </c>
      <c r="Q597" s="82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79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0">
        <f>IF($G598="","",IFERROR(INDEX(設定!$D$6:$D$18,MATCH($G598,設定!$B$6:$B$18,0)),""))</f>
        <v/>
      </c>
      <c r="I598" s="80">
        <f>IF($G598="","",IFERROR(INDEX(設定!$E$6:$E$18,MATCH($G598,設定!$B$6:$B$18,0)),""))</f>
        <v/>
      </c>
      <c r="J598" s="80">
        <f>IFERROR(INDEX(打卡匯入!$C$3:$C$2002,MATCH($C598&amp;"|"&amp;DAY($A598),打卡匯入!$E$3:$E$2002,0)),"")</f>
        <v/>
      </c>
      <c r="K598" s="80">
        <f>IFERROR(INDEX(打卡匯入!$D$3:$D$2002,MATCH($C598&amp;"|"&amp;DAY($A598),打卡匯入!$E$3:$E$2002,0)),"")</f>
        <v/>
      </c>
      <c r="L598" s="81">
        <f>IF(OR($J598="",$K598=""),"",IFERROR(INDEX(設定!$F$6:$F$18,MATCH($G598,設定!$B$6:$B$18,0)),0))</f>
        <v/>
      </c>
      <c r="M598" s="82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1">
        <f>IF(OR($C598="",$H598="",$J598=""),0,IF(ROUND(($J598-$H598)*1440,0)&gt;設定!$C$42,ROUND(($J598-$H598)*1440,0),0))</f>
        <v/>
      </c>
      <c r="P598" s="81">
        <f>IF(OR($C598="",$I598="",$K598=""),0,IF(ROUND(($I598-$K598)*1440,0)&gt;設定!$C$42,ROUND(($I598-$K598)*1440,0),0))</f>
        <v/>
      </c>
      <c r="Q598" s="82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79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0">
        <f>IF($G599="","",IFERROR(INDEX(設定!$D$6:$D$18,MATCH($G599,設定!$B$6:$B$18,0)),""))</f>
        <v/>
      </c>
      <c r="I599" s="80">
        <f>IF($G599="","",IFERROR(INDEX(設定!$E$6:$E$18,MATCH($G599,設定!$B$6:$B$18,0)),""))</f>
        <v/>
      </c>
      <c r="J599" s="80">
        <f>IFERROR(INDEX(打卡匯入!$C$3:$C$2002,MATCH($C599&amp;"|"&amp;DAY($A599),打卡匯入!$E$3:$E$2002,0)),"")</f>
        <v/>
      </c>
      <c r="K599" s="80">
        <f>IFERROR(INDEX(打卡匯入!$D$3:$D$2002,MATCH($C599&amp;"|"&amp;DAY($A599),打卡匯入!$E$3:$E$2002,0)),"")</f>
        <v/>
      </c>
      <c r="L599" s="81">
        <f>IF(OR($J599="",$K599=""),"",IFERROR(INDEX(設定!$F$6:$F$18,MATCH($G599,設定!$B$6:$B$18,0)),0))</f>
        <v/>
      </c>
      <c r="M599" s="82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1">
        <f>IF(OR($C599="",$H599="",$J599=""),0,IF(ROUND(($J599-$H599)*1440,0)&gt;設定!$C$42,ROUND(($J599-$H599)*1440,0),0))</f>
        <v/>
      </c>
      <c r="P599" s="81">
        <f>IF(OR($C599="",$I599="",$K599=""),0,IF(ROUND(($I599-$K599)*1440,0)&gt;設定!$C$42,ROUND(($I599-$K599)*1440,0),0))</f>
        <v/>
      </c>
      <c r="Q599" s="82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79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0">
        <f>IF($G600="","",IFERROR(INDEX(設定!$D$6:$D$18,MATCH($G600,設定!$B$6:$B$18,0)),""))</f>
        <v/>
      </c>
      <c r="I600" s="80">
        <f>IF($G600="","",IFERROR(INDEX(設定!$E$6:$E$18,MATCH($G600,設定!$B$6:$B$18,0)),""))</f>
        <v/>
      </c>
      <c r="J600" s="80">
        <f>IFERROR(INDEX(打卡匯入!$C$3:$C$2002,MATCH($C600&amp;"|"&amp;DAY($A600),打卡匯入!$E$3:$E$2002,0)),"")</f>
        <v/>
      </c>
      <c r="K600" s="80">
        <f>IFERROR(INDEX(打卡匯入!$D$3:$D$2002,MATCH($C600&amp;"|"&amp;DAY($A600),打卡匯入!$E$3:$E$2002,0)),"")</f>
        <v/>
      </c>
      <c r="L600" s="81">
        <f>IF(OR($J600="",$K600=""),"",IFERROR(INDEX(設定!$F$6:$F$18,MATCH($G600,設定!$B$6:$B$18,0)),0))</f>
        <v/>
      </c>
      <c r="M600" s="82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1">
        <f>IF(OR($C600="",$H600="",$J600=""),0,IF(ROUND(($J600-$H600)*1440,0)&gt;設定!$C$42,ROUND(($J600-$H600)*1440,0),0))</f>
        <v/>
      </c>
      <c r="P600" s="81">
        <f>IF(OR($C600="",$I600="",$K600=""),0,IF(ROUND(($I600-$K600)*1440,0)&gt;設定!$C$42,ROUND(($I600-$K600)*1440,0),0))</f>
        <v/>
      </c>
      <c r="Q600" s="82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79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0">
        <f>IF($G601="","",IFERROR(INDEX(設定!$D$6:$D$18,MATCH($G601,設定!$B$6:$B$18,0)),""))</f>
        <v/>
      </c>
      <c r="I601" s="80">
        <f>IF($G601="","",IFERROR(INDEX(設定!$E$6:$E$18,MATCH($G601,設定!$B$6:$B$18,0)),""))</f>
        <v/>
      </c>
      <c r="J601" s="80">
        <f>IFERROR(INDEX(打卡匯入!$C$3:$C$2002,MATCH($C601&amp;"|"&amp;DAY($A601),打卡匯入!$E$3:$E$2002,0)),"")</f>
        <v/>
      </c>
      <c r="K601" s="80">
        <f>IFERROR(INDEX(打卡匯入!$D$3:$D$2002,MATCH($C601&amp;"|"&amp;DAY($A601),打卡匯入!$E$3:$E$2002,0)),"")</f>
        <v/>
      </c>
      <c r="L601" s="81">
        <f>IF(OR($J601="",$K601=""),"",IFERROR(INDEX(設定!$F$6:$F$18,MATCH($G601,設定!$B$6:$B$18,0)),0))</f>
        <v/>
      </c>
      <c r="M601" s="82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1">
        <f>IF(OR($C601="",$H601="",$J601=""),0,IF(ROUND(($J601-$H601)*1440,0)&gt;設定!$C$42,ROUND(($J601-$H601)*1440,0),0))</f>
        <v/>
      </c>
      <c r="P601" s="81">
        <f>IF(OR($C601="",$I601="",$K601=""),0,IF(ROUND(($I601-$K601)*1440,0)&gt;設定!$C$42,ROUND(($I601-$K601)*1440,0),0))</f>
        <v/>
      </c>
      <c r="Q601" s="82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79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0">
        <f>IF($G602="","",IFERROR(INDEX(設定!$D$6:$D$18,MATCH($G602,設定!$B$6:$B$18,0)),""))</f>
        <v/>
      </c>
      <c r="I602" s="80">
        <f>IF($G602="","",IFERROR(INDEX(設定!$E$6:$E$18,MATCH($G602,設定!$B$6:$B$18,0)),""))</f>
        <v/>
      </c>
      <c r="J602" s="80">
        <f>IFERROR(INDEX(打卡匯入!$C$3:$C$2002,MATCH($C602&amp;"|"&amp;DAY($A602),打卡匯入!$E$3:$E$2002,0)),"")</f>
        <v/>
      </c>
      <c r="K602" s="80">
        <f>IFERROR(INDEX(打卡匯入!$D$3:$D$2002,MATCH($C602&amp;"|"&amp;DAY($A602),打卡匯入!$E$3:$E$2002,0)),"")</f>
        <v/>
      </c>
      <c r="L602" s="81">
        <f>IF(OR($J602="",$K602=""),"",IFERROR(INDEX(設定!$F$6:$F$18,MATCH($G602,設定!$B$6:$B$18,0)),0))</f>
        <v/>
      </c>
      <c r="M602" s="82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1">
        <f>IF(OR($C602="",$H602="",$J602=""),0,IF(ROUND(($J602-$H602)*1440,0)&gt;設定!$C$42,ROUND(($J602-$H602)*1440,0),0))</f>
        <v/>
      </c>
      <c r="P602" s="81">
        <f>IF(OR($C602="",$I602="",$K602=""),0,IF(ROUND(($I602-$K602)*1440,0)&gt;設定!$C$42,ROUND(($I602-$K602)*1440,0),0))</f>
        <v/>
      </c>
      <c r="Q602" s="82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79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0">
        <f>IF($G603="","",IFERROR(INDEX(設定!$D$6:$D$18,MATCH($G603,設定!$B$6:$B$18,0)),""))</f>
        <v/>
      </c>
      <c r="I603" s="80">
        <f>IF($G603="","",IFERROR(INDEX(設定!$E$6:$E$18,MATCH($G603,設定!$B$6:$B$18,0)),""))</f>
        <v/>
      </c>
      <c r="J603" s="80">
        <f>IFERROR(INDEX(打卡匯入!$C$3:$C$2002,MATCH($C603&amp;"|"&amp;DAY($A603),打卡匯入!$E$3:$E$2002,0)),"")</f>
        <v/>
      </c>
      <c r="K603" s="80">
        <f>IFERROR(INDEX(打卡匯入!$D$3:$D$2002,MATCH($C603&amp;"|"&amp;DAY($A603),打卡匯入!$E$3:$E$2002,0)),"")</f>
        <v/>
      </c>
      <c r="L603" s="81">
        <f>IF(OR($J603="",$K603=""),"",IFERROR(INDEX(設定!$F$6:$F$18,MATCH($G603,設定!$B$6:$B$18,0)),0))</f>
        <v/>
      </c>
      <c r="M603" s="82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1">
        <f>IF(OR($C603="",$H603="",$J603=""),0,IF(ROUND(($J603-$H603)*1440,0)&gt;設定!$C$42,ROUND(($J603-$H603)*1440,0),0))</f>
        <v/>
      </c>
      <c r="P603" s="81">
        <f>IF(OR($C603="",$I603="",$K603=""),0,IF(ROUND(($I603-$K603)*1440,0)&gt;設定!$C$42,ROUND(($I603-$K603)*1440,0),0))</f>
        <v/>
      </c>
      <c r="Q603" s="82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79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0">
        <f>IF($G604="","",IFERROR(INDEX(設定!$D$6:$D$18,MATCH($G604,設定!$B$6:$B$18,0)),""))</f>
        <v/>
      </c>
      <c r="I604" s="80">
        <f>IF($G604="","",IFERROR(INDEX(設定!$E$6:$E$18,MATCH($G604,設定!$B$6:$B$18,0)),""))</f>
        <v/>
      </c>
      <c r="J604" s="80">
        <f>IFERROR(INDEX(打卡匯入!$C$3:$C$2002,MATCH($C604&amp;"|"&amp;DAY($A604),打卡匯入!$E$3:$E$2002,0)),"")</f>
        <v/>
      </c>
      <c r="K604" s="80">
        <f>IFERROR(INDEX(打卡匯入!$D$3:$D$2002,MATCH($C604&amp;"|"&amp;DAY($A604),打卡匯入!$E$3:$E$2002,0)),"")</f>
        <v/>
      </c>
      <c r="L604" s="81">
        <f>IF(OR($J604="",$K604=""),"",IFERROR(INDEX(設定!$F$6:$F$18,MATCH($G604,設定!$B$6:$B$18,0)),0))</f>
        <v/>
      </c>
      <c r="M604" s="82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1">
        <f>IF(OR($C604="",$H604="",$J604=""),0,IF(ROUND(($J604-$H604)*1440,0)&gt;設定!$C$42,ROUND(($J604-$H604)*1440,0),0))</f>
        <v/>
      </c>
      <c r="P604" s="81">
        <f>IF(OR($C604="",$I604="",$K604=""),0,IF(ROUND(($I604-$K604)*1440,0)&gt;設定!$C$42,ROUND(($I604-$K604)*1440,0),0))</f>
        <v/>
      </c>
      <c r="Q604" s="82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79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0">
        <f>IF($G605="","",IFERROR(INDEX(設定!$D$6:$D$18,MATCH($G605,設定!$B$6:$B$18,0)),""))</f>
        <v/>
      </c>
      <c r="I605" s="80">
        <f>IF($G605="","",IFERROR(INDEX(設定!$E$6:$E$18,MATCH($G605,設定!$B$6:$B$18,0)),""))</f>
        <v/>
      </c>
      <c r="J605" s="80">
        <f>IFERROR(INDEX(打卡匯入!$C$3:$C$2002,MATCH($C605&amp;"|"&amp;DAY($A605),打卡匯入!$E$3:$E$2002,0)),"")</f>
        <v/>
      </c>
      <c r="K605" s="80">
        <f>IFERROR(INDEX(打卡匯入!$D$3:$D$2002,MATCH($C605&amp;"|"&amp;DAY($A605),打卡匯入!$E$3:$E$2002,0)),"")</f>
        <v/>
      </c>
      <c r="L605" s="81">
        <f>IF(OR($J605="",$K605=""),"",IFERROR(INDEX(設定!$F$6:$F$18,MATCH($G605,設定!$B$6:$B$18,0)),0))</f>
        <v/>
      </c>
      <c r="M605" s="82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1">
        <f>IF(OR($C605="",$H605="",$J605=""),0,IF(ROUND(($J605-$H605)*1440,0)&gt;設定!$C$42,ROUND(($J605-$H605)*1440,0),0))</f>
        <v/>
      </c>
      <c r="P605" s="81">
        <f>IF(OR($C605="",$I605="",$K605=""),0,IF(ROUND(($I605-$K605)*1440,0)&gt;設定!$C$42,ROUND(($I605-$K605)*1440,0),0))</f>
        <v/>
      </c>
      <c r="Q605" s="82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79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0">
        <f>IF($G606="","",IFERROR(INDEX(設定!$D$6:$D$18,MATCH($G606,設定!$B$6:$B$18,0)),""))</f>
        <v/>
      </c>
      <c r="I606" s="80">
        <f>IF($G606="","",IFERROR(INDEX(設定!$E$6:$E$18,MATCH($G606,設定!$B$6:$B$18,0)),""))</f>
        <v/>
      </c>
      <c r="J606" s="80">
        <f>IFERROR(INDEX(打卡匯入!$C$3:$C$2002,MATCH($C606&amp;"|"&amp;DAY($A606),打卡匯入!$E$3:$E$2002,0)),"")</f>
        <v/>
      </c>
      <c r="K606" s="80">
        <f>IFERROR(INDEX(打卡匯入!$D$3:$D$2002,MATCH($C606&amp;"|"&amp;DAY($A606),打卡匯入!$E$3:$E$2002,0)),"")</f>
        <v/>
      </c>
      <c r="L606" s="81">
        <f>IF(OR($J606="",$K606=""),"",IFERROR(INDEX(設定!$F$6:$F$18,MATCH($G606,設定!$B$6:$B$18,0)),0))</f>
        <v/>
      </c>
      <c r="M606" s="82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1">
        <f>IF(OR($C606="",$H606="",$J606=""),0,IF(ROUND(($J606-$H606)*1440,0)&gt;設定!$C$42,ROUND(($J606-$H606)*1440,0),0))</f>
        <v/>
      </c>
      <c r="P606" s="81">
        <f>IF(OR($C606="",$I606="",$K606=""),0,IF(ROUND(($I606-$K606)*1440,0)&gt;設定!$C$42,ROUND(($I606-$K606)*1440,0),0))</f>
        <v/>
      </c>
      <c r="Q606" s="82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79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0">
        <f>IF($G607="","",IFERROR(INDEX(設定!$D$6:$D$18,MATCH($G607,設定!$B$6:$B$18,0)),""))</f>
        <v/>
      </c>
      <c r="I607" s="80">
        <f>IF($G607="","",IFERROR(INDEX(設定!$E$6:$E$18,MATCH($G607,設定!$B$6:$B$18,0)),""))</f>
        <v/>
      </c>
      <c r="J607" s="80">
        <f>IFERROR(INDEX(打卡匯入!$C$3:$C$2002,MATCH($C607&amp;"|"&amp;DAY($A607),打卡匯入!$E$3:$E$2002,0)),"")</f>
        <v/>
      </c>
      <c r="K607" s="80">
        <f>IFERROR(INDEX(打卡匯入!$D$3:$D$2002,MATCH($C607&amp;"|"&amp;DAY($A607),打卡匯入!$E$3:$E$2002,0)),"")</f>
        <v/>
      </c>
      <c r="L607" s="81">
        <f>IF(OR($J607="",$K607=""),"",IFERROR(INDEX(設定!$F$6:$F$18,MATCH($G607,設定!$B$6:$B$18,0)),0))</f>
        <v/>
      </c>
      <c r="M607" s="82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1">
        <f>IF(OR($C607="",$H607="",$J607=""),0,IF(ROUND(($J607-$H607)*1440,0)&gt;設定!$C$42,ROUND(($J607-$H607)*1440,0),0))</f>
        <v/>
      </c>
      <c r="P607" s="81">
        <f>IF(OR($C607="",$I607="",$K607=""),0,IF(ROUND(($I607-$K607)*1440,0)&gt;設定!$C$42,ROUND(($I607-$K607)*1440,0),0))</f>
        <v/>
      </c>
      <c r="Q607" s="82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79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0">
        <f>IF($G608="","",IFERROR(INDEX(設定!$D$6:$D$18,MATCH($G608,設定!$B$6:$B$18,0)),""))</f>
        <v/>
      </c>
      <c r="I608" s="80">
        <f>IF($G608="","",IFERROR(INDEX(設定!$E$6:$E$18,MATCH($G608,設定!$B$6:$B$18,0)),""))</f>
        <v/>
      </c>
      <c r="J608" s="80">
        <f>IFERROR(INDEX(打卡匯入!$C$3:$C$2002,MATCH($C608&amp;"|"&amp;DAY($A608),打卡匯入!$E$3:$E$2002,0)),"")</f>
        <v/>
      </c>
      <c r="K608" s="80">
        <f>IFERROR(INDEX(打卡匯入!$D$3:$D$2002,MATCH($C608&amp;"|"&amp;DAY($A608),打卡匯入!$E$3:$E$2002,0)),"")</f>
        <v/>
      </c>
      <c r="L608" s="81">
        <f>IF(OR($J608="",$K608=""),"",IFERROR(INDEX(設定!$F$6:$F$18,MATCH($G608,設定!$B$6:$B$18,0)),0))</f>
        <v/>
      </c>
      <c r="M608" s="82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1">
        <f>IF(OR($C608="",$H608="",$J608=""),0,IF(ROUND(($J608-$H608)*1440,0)&gt;設定!$C$42,ROUND(($J608-$H608)*1440,0),0))</f>
        <v/>
      </c>
      <c r="P608" s="81">
        <f>IF(OR($C608="",$I608="",$K608=""),0,IF(ROUND(($I608-$K608)*1440,0)&gt;設定!$C$42,ROUND(($I608-$K608)*1440,0),0))</f>
        <v/>
      </c>
      <c r="Q608" s="82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79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0">
        <f>IF($G609="","",IFERROR(INDEX(設定!$D$6:$D$18,MATCH($G609,設定!$B$6:$B$18,0)),""))</f>
        <v/>
      </c>
      <c r="I609" s="80">
        <f>IF($G609="","",IFERROR(INDEX(設定!$E$6:$E$18,MATCH($G609,設定!$B$6:$B$18,0)),""))</f>
        <v/>
      </c>
      <c r="J609" s="80">
        <f>IFERROR(INDEX(打卡匯入!$C$3:$C$2002,MATCH($C609&amp;"|"&amp;DAY($A609),打卡匯入!$E$3:$E$2002,0)),"")</f>
        <v/>
      </c>
      <c r="K609" s="80">
        <f>IFERROR(INDEX(打卡匯入!$D$3:$D$2002,MATCH($C609&amp;"|"&amp;DAY($A609),打卡匯入!$E$3:$E$2002,0)),"")</f>
        <v/>
      </c>
      <c r="L609" s="81">
        <f>IF(OR($J609="",$K609=""),"",IFERROR(INDEX(設定!$F$6:$F$18,MATCH($G609,設定!$B$6:$B$18,0)),0))</f>
        <v/>
      </c>
      <c r="M609" s="82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1">
        <f>IF(OR($C609="",$H609="",$J609=""),0,IF(ROUND(($J609-$H609)*1440,0)&gt;設定!$C$42,ROUND(($J609-$H609)*1440,0),0))</f>
        <v/>
      </c>
      <c r="P609" s="81">
        <f>IF(OR($C609="",$I609="",$K609=""),0,IF(ROUND(($I609-$K609)*1440,0)&gt;設定!$C$42,ROUND(($I609-$K609)*1440,0),0))</f>
        <v/>
      </c>
      <c r="Q609" s="82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79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0">
        <f>IF($G610="","",IFERROR(INDEX(設定!$D$6:$D$18,MATCH($G610,設定!$B$6:$B$18,0)),""))</f>
        <v/>
      </c>
      <c r="I610" s="80">
        <f>IF($G610="","",IFERROR(INDEX(設定!$E$6:$E$18,MATCH($G610,設定!$B$6:$B$18,0)),""))</f>
        <v/>
      </c>
      <c r="J610" s="80">
        <f>IFERROR(INDEX(打卡匯入!$C$3:$C$2002,MATCH($C610&amp;"|"&amp;DAY($A610),打卡匯入!$E$3:$E$2002,0)),"")</f>
        <v/>
      </c>
      <c r="K610" s="80">
        <f>IFERROR(INDEX(打卡匯入!$D$3:$D$2002,MATCH($C610&amp;"|"&amp;DAY($A610),打卡匯入!$E$3:$E$2002,0)),"")</f>
        <v/>
      </c>
      <c r="L610" s="81">
        <f>IF(OR($J610="",$K610=""),"",IFERROR(INDEX(設定!$F$6:$F$18,MATCH($G610,設定!$B$6:$B$18,0)),0))</f>
        <v/>
      </c>
      <c r="M610" s="82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1">
        <f>IF(OR($C610="",$H610="",$J610=""),0,IF(ROUND(($J610-$H610)*1440,0)&gt;設定!$C$42,ROUND(($J610-$H610)*1440,0),0))</f>
        <v/>
      </c>
      <c r="P610" s="81">
        <f>IF(OR($C610="",$I610="",$K610=""),0,IF(ROUND(($I610-$K610)*1440,0)&gt;設定!$C$42,ROUND(($I610-$K610)*1440,0),0))</f>
        <v/>
      </c>
      <c r="Q610" s="82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79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0">
        <f>IF($G611="","",IFERROR(INDEX(設定!$D$6:$D$18,MATCH($G611,設定!$B$6:$B$18,0)),""))</f>
        <v/>
      </c>
      <c r="I611" s="80">
        <f>IF($G611="","",IFERROR(INDEX(設定!$E$6:$E$18,MATCH($G611,設定!$B$6:$B$18,0)),""))</f>
        <v/>
      </c>
      <c r="J611" s="80">
        <f>IFERROR(INDEX(打卡匯入!$C$3:$C$2002,MATCH($C611&amp;"|"&amp;DAY($A611),打卡匯入!$E$3:$E$2002,0)),"")</f>
        <v/>
      </c>
      <c r="K611" s="80">
        <f>IFERROR(INDEX(打卡匯入!$D$3:$D$2002,MATCH($C611&amp;"|"&amp;DAY($A611),打卡匯入!$E$3:$E$2002,0)),"")</f>
        <v/>
      </c>
      <c r="L611" s="81">
        <f>IF(OR($J611="",$K611=""),"",IFERROR(INDEX(設定!$F$6:$F$18,MATCH($G611,設定!$B$6:$B$18,0)),0))</f>
        <v/>
      </c>
      <c r="M611" s="82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1">
        <f>IF(OR($C611="",$H611="",$J611=""),0,IF(ROUND(($J611-$H611)*1440,0)&gt;設定!$C$42,ROUND(($J611-$H611)*1440,0),0))</f>
        <v/>
      </c>
      <c r="P611" s="81">
        <f>IF(OR($C611="",$I611="",$K611=""),0,IF(ROUND(($I611-$K611)*1440,0)&gt;設定!$C$42,ROUND(($I611-$K611)*1440,0),0))</f>
        <v/>
      </c>
      <c r="Q611" s="82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79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0">
        <f>IF($G612="","",IFERROR(INDEX(設定!$D$6:$D$18,MATCH($G612,設定!$B$6:$B$18,0)),""))</f>
        <v/>
      </c>
      <c r="I612" s="80">
        <f>IF($G612="","",IFERROR(INDEX(設定!$E$6:$E$18,MATCH($G612,設定!$B$6:$B$18,0)),""))</f>
        <v/>
      </c>
      <c r="J612" s="80">
        <f>IFERROR(INDEX(打卡匯入!$C$3:$C$2002,MATCH($C612&amp;"|"&amp;DAY($A612),打卡匯入!$E$3:$E$2002,0)),"")</f>
        <v/>
      </c>
      <c r="K612" s="80">
        <f>IFERROR(INDEX(打卡匯入!$D$3:$D$2002,MATCH($C612&amp;"|"&amp;DAY($A612),打卡匯入!$E$3:$E$2002,0)),"")</f>
        <v/>
      </c>
      <c r="L612" s="81">
        <f>IF(OR($J612="",$K612=""),"",IFERROR(INDEX(設定!$F$6:$F$18,MATCH($G612,設定!$B$6:$B$18,0)),0))</f>
        <v/>
      </c>
      <c r="M612" s="82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1">
        <f>IF(OR($C612="",$H612="",$J612=""),0,IF(ROUND(($J612-$H612)*1440,0)&gt;設定!$C$42,ROUND(($J612-$H612)*1440,0),0))</f>
        <v/>
      </c>
      <c r="P612" s="81">
        <f>IF(OR($C612="",$I612="",$K612=""),0,IF(ROUND(($I612-$K612)*1440,0)&gt;設定!$C$42,ROUND(($I612-$K612)*1440,0),0))</f>
        <v/>
      </c>
      <c r="Q612" s="82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79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0">
        <f>IF($G613="","",IFERROR(INDEX(設定!$D$6:$D$18,MATCH($G613,設定!$B$6:$B$18,0)),""))</f>
        <v/>
      </c>
      <c r="I613" s="80">
        <f>IF($G613="","",IFERROR(INDEX(設定!$E$6:$E$18,MATCH($G613,設定!$B$6:$B$18,0)),""))</f>
        <v/>
      </c>
      <c r="J613" s="80">
        <f>IFERROR(INDEX(打卡匯入!$C$3:$C$2002,MATCH($C613&amp;"|"&amp;DAY($A613),打卡匯入!$E$3:$E$2002,0)),"")</f>
        <v/>
      </c>
      <c r="K613" s="80">
        <f>IFERROR(INDEX(打卡匯入!$D$3:$D$2002,MATCH($C613&amp;"|"&amp;DAY($A613),打卡匯入!$E$3:$E$2002,0)),"")</f>
        <v/>
      </c>
      <c r="L613" s="81">
        <f>IF(OR($J613="",$K613=""),"",IFERROR(INDEX(設定!$F$6:$F$18,MATCH($G613,設定!$B$6:$B$18,0)),0))</f>
        <v/>
      </c>
      <c r="M613" s="82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1">
        <f>IF(OR($C613="",$H613="",$J613=""),0,IF(ROUND(($J613-$H613)*1440,0)&gt;設定!$C$42,ROUND(($J613-$H613)*1440,0),0))</f>
        <v/>
      </c>
      <c r="P613" s="81">
        <f>IF(OR($C613="",$I613="",$K613=""),0,IF(ROUND(($I613-$K613)*1440,0)&gt;設定!$C$42,ROUND(($I613-$K613)*1440,0),0))</f>
        <v/>
      </c>
      <c r="Q613" s="82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79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0">
        <f>IF($G614="","",IFERROR(INDEX(設定!$D$6:$D$18,MATCH($G614,設定!$B$6:$B$18,0)),""))</f>
        <v/>
      </c>
      <c r="I614" s="80">
        <f>IF($G614="","",IFERROR(INDEX(設定!$E$6:$E$18,MATCH($G614,設定!$B$6:$B$18,0)),""))</f>
        <v/>
      </c>
      <c r="J614" s="80">
        <f>IFERROR(INDEX(打卡匯入!$C$3:$C$2002,MATCH($C614&amp;"|"&amp;DAY($A614),打卡匯入!$E$3:$E$2002,0)),"")</f>
        <v/>
      </c>
      <c r="K614" s="80">
        <f>IFERROR(INDEX(打卡匯入!$D$3:$D$2002,MATCH($C614&amp;"|"&amp;DAY($A614),打卡匯入!$E$3:$E$2002,0)),"")</f>
        <v/>
      </c>
      <c r="L614" s="81">
        <f>IF(OR($J614="",$K614=""),"",IFERROR(INDEX(設定!$F$6:$F$18,MATCH($G614,設定!$B$6:$B$18,0)),0))</f>
        <v/>
      </c>
      <c r="M614" s="82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1">
        <f>IF(OR($C614="",$H614="",$J614=""),0,IF(ROUND(($J614-$H614)*1440,0)&gt;設定!$C$42,ROUND(($J614-$H614)*1440,0),0))</f>
        <v/>
      </c>
      <c r="P614" s="81">
        <f>IF(OR($C614="",$I614="",$K614=""),0,IF(ROUND(($I614-$K614)*1440,0)&gt;設定!$C$42,ROUND(($I614-$K614)*1440,0),0))</f>
        <v/>
      </c>
      <c r="Q614" s="82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79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0">
        <f>IF($G615="","",IFERROR(INDEX(設定!$D$6:$D$18,MATCH($G615,設定!$B$6:$B$18,0)),""))</f>
        <v/>
      </c>
      <c r="I615" s="80">
        <f>IF($G615="","",IFERROR(INDEX(設定!$E$6:$E$18,MATCH($G615,設定!$B$6:$B$18,0)),""))</f>
        <v/>
      </c>
      <c r="J615" s="80">
        <f>IFERROR(INDEX(打卡匯入!$C$3:$C$2002,MATCH($C615&amp;"|"&amp;DAY($A615),打卡匯入!$E$3:$E$2002,0)),"")</f>
        <v/>
      </c>
      <c r="K615" s="80">
        <f>IFERROR(INDEX(打卡匯入!$D$3:$D$2002,MATCH($C615&amp;"|"&amp;DAY($A615),打卡匯入!$E$3:$E$2002,0)),"")</f>
        <v/>
      </c>
      <c r="L615" s="81">
        <f>IF(OR($J615="",$K615=""),"",IFERROR(INDEX(設定!$F$6:$F$18,MATCH($G615,設定!$B$6:$B$18,0)),0))</f>
        <v/>
      </c>
      <c r="M615" s="82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1">
        <f>IF(OR($C615="",$H615="",$J615=""),0,IF(ROUND(($J615-$H615)*1440,0)&gt;設定!$C$42,ROUND(($J615-$H615)*1440,0),0))</f>
        <v/>
      </c>
      <c r="P615" s="81">
        <f>IF(OR($C615="",$I615="",$K615=""),0,IF(ROUND(($I615-$K615)*1440,0)&gt;設定!$C$42,ROUND(($I615-$K615)*1440,0),0))</f>
        <v/>
      </c>
      <c r="Q615" s="82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79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0">
        <f>IF($G616="","",IFERROR(INDEX(設定!$D$6:$D$18,MATCH($G616,設定!$B$6:$B$18,0)),""))</f>
        <v/>
      </c>
      <c r="I616" s="80">
        <f>IF($G616="","",IFERROR(INDEX(設定!$E$6:$E$18,MATCH($G616,設定!$B$6:$B$18,0)),""))</f>
        <v/>
      </c>
      <c r="J616" s="80">
        <f>IFERROR(INDEX(打卡匯入!$C$3:$C$2002,MATCH($C616&amp;"|"&amp;DAY($A616),打卡匯入!$E$3:$E$2002,0)),"")</f>
        <v/>
      </c>
      <c r="K616" s="80">
        <f>IFERROR(INDEX(打卡匯入!$D$3:$D$2002,MATCH($C616&amp;"|"&amp;DAY($A616),打卡匯入!$E$3:$E$2002,0)),"")</f>
        <v/>
      </c>
      <c r="L616" s="81">
        <f>IF(OR($J616="",$K616=""),"",IFERROR(INDEX(設定!$F$6:$F$18,MATCH($G616,設定!$B$6:$B$18,0)),0))</f>
        <v/>
      </c>
      <c r="M616" s="82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1">
        <f>IF(OR($C616="",$H616="",$J616=""),0,IF(ROUND(($J616-$H616)*1440,0)&gt;設定!$C$42,ROUND(($J616-$H616)*1440,0),0))</f>
        <v/>
      </c>
      <c r="P616" s="81">
        <f>IF(OR($C616="",$I616="",$K616=""),0,IF(ROUND(($I616-$K616)*1440,0)&gt;設定!$C$42,ROUND(($I616-$K616)*1440,0),0))</f>
        <v/>
      </c>
      <c r="Q616" s="82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79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0">
        <f>IF($G617="","",IFERROR(INDEX(設定!$D$6:$D$18,MATCH($G617,設定!$B$6:$B$18,0)),""))</f>
        <v/>
      </c>
      <c r="I617" s="80">
        <f>IF($G617="","",IFERROR(INDEX(設定!$E$6:$E$18,MATCH($G617,設定!$B$6:$B$18,0)),""))</f>
        <v/>
      </c>
      <c r="J617" s="80">
        <f>IFERROR(INDEX(打卡匯入!$C$3:$C$2002,MATCH($C617&amp;"|"&amp;DAY($A617),打卡匯入!$E$3:$E$2002,0)),"")</f>
        <v/>
      </c>
      <c r="K617" s="80">
        <f>IFERROR(INDEX(打卡匯入!$D$3:$D$2002,MATCH($C617&amp;"|"&amp;DAY($A617),打卡匯入!$E$3:$E$2002,0)),"")</f>
        <v/>
      </c>
      <c r="L617" s="81">
        <f>IF(OR($J617="",$K617=""),"",IFERROR(INDEX(設定!$F$6:$F$18,MATCH($G617,設定!$B$6:$B$18,0)),0))</f>
        <v/>
      </c>
      <c r="M617" s="82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1">
        <f>IF(OR($C617="",$H617="",$J617=""),0,IF(ROUND(($J617-$H617)*1440,0)&gt;設定!$C$42,ROUND(($J617-$H617)*1440,0),0))</f>
        <v/>
      </c>
      <c r="P617" s="81">
        <f>IF(OR($C617="",$I617="",$K617=""),0,IF(ROUND(($I617-$K617)*1440,0)&gt;設定!$C$42,ROUND(($I617-$K617)*1440,0),0))</f>
        <v/>
      </c>
      <c r="Q617" s="82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79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0">
        <f>IF($G618="","",IFERROR(INDEX(設定!$D$6:$D$18,MATCH($G618,設定!$B$6:$B$18,0)),""))</f>
        <v/>
      </c>
      <c r="I618" s="80">
        <f>IF($G618="","",IFERROR(INDEX(設定!$E$6:$E$18,MATCH($G618,設定!$B$6:$B$18,0)),""))</f>
        <v/>
      </c>
      <c r="J618" s="80">
        <f>IFERROR(INDEX(打卡匯入!$C$3:$C$2002,MATCH($C618&amp;"|"&amp;DAY($A618),打卡匯入!$E$3:$E$2002,0)),"")</f>
        <v/>
      </c>
      <c r="K618" s="80">
        <f>IFERROR(INDEX(打卡匯入!$D$3:$D$2002,MATCH($C618&amp;"|"&amp;DAY($A618),打卡匯入!$E$3:$E$2002,0)),"")</f>
        <v/>
      </c>
      <c r="L618" s="81">
        <f>IF(OR($J618="",$K618=""),"",IFERROR(INDEX(設定!$F$6:$F$18,MATCH($G618,設定!$B$6:$B$18,0)),0))</f>
        <v/>
      </c>
      <c r="M618" s="82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1">
        <f>IF(OR($C618="",$H618="",$J618=""),0,IF(ROUND(($J618-$H618)*1440,0)&gt;設定!$C$42,ROUND(($J618-$H618)*1440,0),0))</f>
        <v/>
      </c>
      <c r="P618" s="81">
        <f>IF(OR($C618="",$I618="",$K618=""),0,IF(ROUND(($I618-$K618)*1440,0)&gt;設定!$C$42,ROUND(($I618-$K618)*1440,0),0))</f>
        <v/>
      </c>
      <c r="Q618" s="82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79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0">
        <f>IF($G619="","",IFERROR(INDEX(設定!$D$6:$D$18,MATCH($G619,設定!$B$6:$B$18,0)),""))</f>
        <v/>
      </c>
      <c r="I619" s="80">
        <f>IF($G619="","",IFERROR(INDEX(設定!$E$6:$E$18,MATCH($G619,設定!$B$6:$B$18,0)),""))</f>
        <v/>
      </c>
      <c r="J619" s="80">
        <f>IFERROR(INDEX(打卡匯入!$C$3:$C$2002,MATCH($C619&amp;"|"&amp;DAY($A619),打卡匯入!$E$3:$E$2002,0)),"")</f>
        <v/>
      </c>
      <c r="K619" s="80">
        <f>IFERROR(INDEX(打卡匯入!$D$3:$D$2002,MATCH($C619&amp;"|"&amp;DAY($A619),打卡匯入!$E$3:$E$2002,0)),"")</f>
        <v/>
      </c>
      <c r="L619" s="81">
        <f>IF(OR($J619="",$K619=""),"",IFERROR(INDEX(設定!$F$6:$F$18,MATCH($G619,設定!$B$6:$B$18,0)),0))</f>
        <v/>
      </c>
      <c r="M619" s="82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1">
        <f>IF(OR($C619="",$H619="",$J619=""),0,IF(ROUND(($J619-$H619)*1440,0)&gt;設定!$C$42,ROUND(($J619-$H619)*1440,0),0))</f>
        <v/>
      </c>
      <c r="P619" s="81">
        <f>IF(OR($C619="",$I619="",$K619=""),0,IF(ROUND(($I619-$K619)*1440,0)&gt;設定!$C$42,ROUND(($I619-$K619)*1440,0),0))</f>
        <v/>
      </c>
      <c r="Q619" s="82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79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0">
        <f>IF($G620="","",IFERROR(INDEX(設定!$D$6:$D$18,MATCH($G620,設定!$B$6:$B$18,0)),""))</f>
        <v/>
      </c>
      <c r="I620" s="80">
        <f>IF($G620="","",IFERROR(INDEX(設定!$E$6:$E$18,MATCH($G620,設定!$B$6:$B$18,0)),""))</f>
        <v/>
      </c>
      <c r="J620" s="80">
        <f>IFERROR(INDEX(打卡匯入!$C$3:$C$2002,MATCH($C620&amp;"|"&amp;DAY($A620),打卡匯入!$E$3:$E$2002,0)),"")</f>
        <v/>
      </c>
      <c r="K620" s="80">
        <f>IFERROR(INDEX(打卡匯入!$D$3:$D$2002,MATCH($C620&amp;"|"&amp;DAY($A620),打卡匯入!$E$3:$E$2002,0)),"")</f>
        <v/>
      </c>
      <c r="L620" s="81">
        <f>IF(OR($J620="",$K620=""),"",IFERROR(INDEX(設定!$F$6:$F$18,MATCH($G620,設定!$B$6:$B$18,0)),0))</f>
        <v/>
      </c>
      <c r="M620" s="82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1">
        <f>IF(OR($C620="",$H620="",$J620=""),0,IF(ROUND(($J620-$H620)*1440,0)&gt;設定!$C$42,ROUND(($J620-$H620)*1440,0),0))</f>
        <v/>
      </c>
      <c r="P620" s="81">
        <f>IF(OR($C620="",$I620="",$K620=""),0,IF(ROUND(($I620-$K620)*1440,0)&gt;設定!$C$42,ROUND(($I620-$K620)*1440,0),0))</f>
        <v/>
      </c>
      <c r="Q620" s="82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79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0">
        <f>IF($G621="","",IFERROR(INDEX(設定!$D$6:$D$18,MATCH($G621,設定!$B$6:$B$18,0)),""))</f>
        <v/>
      </c>
      <c r="I621" s="80">
        <f>IF($G621="","",IFERROR(INDEX(設定!$E$6:$E$18,MATCH($G621,設定!$B$6:$B$18,0)),""))</f>
        <v/>
      </c>
      <c r="J621" s="80">
        <f>IFERROR(INDEX(打卡匯入!$C$3:$C$2002,MATCH($C621&amp;"|"&amp;DAY($A621),打卡匯入!$E$3:$E$2002,0)),"")</f>
        <v/>
      </c>
      <c r="K621" s="80">
        <f>IFERROR(INDEX(打卡匯入!$D$3:$D$2002,MATCH($C621&amp;"|"&amp;DAY($A621),打卡匯入!$E$3:$E$2002,0)),"")</f>
        <v/>
      </c>
      <c r="L621" s="81">
        <f>IF(OR($J621="",$K621=""),"",IFERROR(INDEX(設定!$F$6:$F$18,MATCH($G621,設定!$B$6:$B$18,0)),0))</f>
        <v/>
      </c>
      <c r="M621" s="82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1">
        <f>IF(OR($C621="",$H621="",$J621=""),0,IF(ROUND(($J621-$H621)*1440,0)&gt;設定!$C$42,ROUND(($J621-$H621)*1440,0),0))</f>
        <v/>
      </c>
      <c r="P621" s="81">
        <f>IF(OR($C621="",$I621="",$K621=""),0,IF(ROUND(($I621-$K621)*1440,0)&gt;設定!$C$42,ROUND(($I621-$K621)*1440,0),0))</f>
        <v/>
      </c>
      <c r="Q621" s="82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79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0">
        <f>IF($G622="","",IFERROR(INDEX(設定!$D$6:$D$18,MATCH($G622,設定!$B$6:$B$18,0)),""))</f>
        <v/>
      </c>
      <c r="I622" s="80">
        <f>IF($G622="","",IFERROR(INDEX(設定!$E$6:$E$18,MATCH($G622,設定!$B$6:$B$18,0)),""))</f>
        <v/>
      </c>
      <c r="J622" s="80">
        <f>IFERROR(INDEX(打卡匯入!$C$3:$C$2002,MATCH($C622&amp;"|"&amp;DAY($A622),打卡匯入!$E$3:$E$2002,0)),"")</f>
        <v/>
      </c>
      <c r="K622" s="80">
        <f>IFERROR(INDEX(打卡匯入!$D$3:$D$2002,MATCH($C622&amp;"|"&amp;DAY($A622),打卡匯入!$E$3:$E$2002,0)),"")</f>
        <v/>
      </c>
      <c r="L622" s="81">
        <f>IF(OR($J622="",$K622=""),"",IFERROR(INDEX(設定!$F$6:$F$18,MATCH($G622,設定!$B$6:$B$18,0)),0))</f>
        <v/>
      </c>
      <c r="M622" s="82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1">
        <f>IF(OR($C622="",$H622="",$J622=""),0,IF(ROUND(($J622-$H622)*1440,0)&gt;設定!$C$42,ROUND(($J622-$H622)*1440,0),0))</f>
        <v/>
      </c>
      <c r="P622" s="81">
        <f>IF(OR($C622="",$I622="",$K622=""),0,IF(ROUND(($I622-$K622)*1440,0)&gt;設定!$C$42,ROUND(($I622-$K622)*1440,0),0))</f>
        <v/>
      </c>
      <c r="Q622" s="82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79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0">
        <f>IF($G623="","",IFERROR(INDEX(設定!$D$6:$D$18,MATCH($G623,設定!$B$6:$B$18,0)),""))</f>
        <v/>
      </c>
      <c r="I623" s="80">
        <f>IF($G623="","",IFERROR(INDEX(設定!$E$6:$E$18,MATCH($G623,設定!$B$6:$B$18,0)),""))</f>
        <v/>
      </c>
      <c r="J623" s="80">
        <f>IFERROR(INDEX(打卡匯入!$C$3:$C$2002,MATCH($C623&amp;"|"&amp;DAY($A623),打卡匯入!$E$3:$E$2002,0)),"")</f>
        <v/>
      </c>
      <c r="K623" s="80">
        <f>IFERROR(INDEX(打卡匯入!$D$3:$D$2002,MATCH($C623&amp;"|"&amp;DAY($A623),打卡匯入!$E$3:$E$2002,0)),"")</f>
        <v/>
      </c>
      <c r="L623" s="81">
        <f>IF(OR($J623="",$K623=""),"",IFERROR(INDEX(設定!$F$6:$F$18,MATCH($G623,設定!$B$6:$B$18,0)),0))</f>
        <v/>
      </c>
      <c r="M623" s="82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1">
        <f>IF(OR($C623="",$H623="",$J623=""),0,IF(ROUND(($J623-$H623)*1440,0)&gt;設定!$C$42,ROUND(($J623-$H623)*1440,0),0))</f>
        <v/>
      </c>
      <c r="P623" s="81">
        <f>IF(OR($C623="",$I623="",$K623=""),0,IF(ROUND(($I623-$K623)*1440,0)&gt;設定!$C$42,ROUND(($I623-$K623)*1440,0),0))</f>
        <v/>
      </c>
      <c r="Q623" s="82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79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0">
        <f>IF($G624="","",IFERROR(INDEX(設定!$D$6:$D$18,MATCH($G624,設定!$B$6:$B$18,0)),""))</f>
        <v/>
      </c>
      <c r="I624" s="80">
        <f>IF($G624="","",IFERROR(INDEX(設定!$E$6:$E$18,MATCH($G624,設定!$B$6:$B$18,0)),""))</f>
        <v/>
      </c>
      <c r="J624" s="80">
        <f>IFERROR(INDEX(打卡匯入!$C$3:$C$2002,MATCH($C624&amp;"|"&amp;DAY($A624),打卡匯入!$E$3:$E$2002,0)),"")</f>
        <v/>
      </c>
      <c r="K624" s="80">
        <f>IFERROR(INDEX(打卡匯入!$D$3:$D$2002,MATCH($C624&amp;"|"&amp;DAY($A624),打卡匯入!$E$3:$E$2002,0)),"")</f>
        <v/>
      </c>
      <c r="L624" s="81">
        <f>IF(OR($J624="",$K624=""),"",IFERROR(INDEX(設定!$F$6:$F$18,MATCH($G624,設定!$B$6:$B$18,0)),0))</f>
        <v/>
      </c>
      <c r="M624" s="82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1">
        <f>IF(OR($C624="",$H624="",$J624=""),0,IF(ROUND(($J624-$H624)*1440,0)&gt;設定!$C$42,ROUND(($J624-$H624)*1440,0),0))</f>
        <v/>
      </c>
      <c r="P624" s="81">
        <f>IF(OR($C624="",$I624="",$K624=""),0,IF(ROUND(($I624-$K624)*1440,0)&gt;設定!$C$42,ROUND(($I624-$K624)*1440,0),0))</f>
        <v/>
      </c>
      <c r="Q624" s="82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79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0">
        <f>IF($G625="","",IFERROR(INDEX(設定!$D$6:$D$18,MATCH($G625,設定!$B$6:$B$18,0)),""))</f>
        <v/>
      </c>
      <c r="I625" s="80">
        <f>IF($G625="","",IFERROR(INDEX(設定!$E$6:$E$18,MATCH($G625,設定!$B$6:$B$18,0)),""))</f>
        <v/>
      </c>
      <c r="J625" s="80">
        <f>IFERROR(INDEX(打卡匯入!$C$3:$C$2002,MATCH($C625&amp;"|"&amp;DAY($A625),打卡匯入!$E$3:$E$2002,0)),"")</f>
        <v/>
      </c>
      <c r="K625" s="80">
        <f>IFERROR(INDEX(打卡匯入!$D$3:$D$2002,MATCH($C625&amp;"|"&amp;DAY($A625),打卡匯入!$E$3:$E$2002,0)),"")</f>
        <v/>
      </c>
      <c r="L625" s="81">
        <f>IF(OR($J625="",$K625=""),"",IFERROR(INDEX(設定!$F$6:$F$18,MATCH($G625,設定!$B$6:$B$18,0)),0))</f>
        <v/>
      </c>
      <c r="M625" s="82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1">
        <f>IF(OR($C625="",$H625="",$J625=""),0,IF(ROUND(($J625-$H625)*1440,0)&gt;設定!$C$42,ROUND(($J625-$H625)*1440,0),0))</f>
        <v/>
      </c>
      <c r="P625" s="81">
        <f>IF(OR($C625="",$I625="",$K625=""),0,IF(ROUND(($I625-$K625)*1440,0)&gt;設定!$C$42,ROUND(($I625-$K625)*1440,0),0))</f>
        <v/>
      </c>
      <c r="Q625" s="82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79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0">
        <f>IF($G626="","",IFERROR(INDEX(設定!$D$6:$D$18,MATCH($G626,設定!$B$6:$B$18,0)),""))</f>
        <v/>
      </c>
      <c r="I626" s="80">
        <f>IF($G626="","",IFERROR(INDEX(設定!$E$6:$E$18,MATCH($G626,設定!$B$6:$B$18,0)),""))</f>
        <v/>
      </c>
      <c r="J626" s="80">
        <f>IFERROR(INDEX(打卡匯入!$C$3:$C$2002,MATCH($C626&amp;"|"&amp;DAY($A626),打卡匯入!$E$3:$E$2002,0)),"")</f>
        <v/>
      </c>
      <c r="K626" s="80">
        <f>IFERROR(INDEX(打卡匯入!$D$3:$D$2002,MATCH($C626&amp;"|"&amp;DAY($A626),打卡匯入!$E$3:$E$2002,0)),"")</f>
        <v/>
      </c>
      <c r="L626" s="81">
        <f>IF(OR($J626="",$K626=""),"",IFERROR(INDEX(設定!$F$6:$F$18,MATCH($G626,設定!$B$6:$B$18,0)),0))</f>
        <v/>
      </c>
      <c r="M626" s="82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1">
        <f>IF(OR($C626="",$H626="",$J626=""),0,IF(ROUND(($J626-$H626)*1440,0)&gt;設定!$C$42,ROUND(($J626-$H626)*1440,0),0))</f>
        <v/>
      </c>
      <c r="P626" s="81">
        <f>IF(OR($C626="",$I626="",$K626=""),0,IF(ROUND(($I626-$K626)*1440,0)&gt;設定!$C$42,ROUND(($I626-$K626)*1440,0),0))</f>
        <v/>
      </c>
      <c r="Q626" s="82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79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0">
        <f>IF($G627="","",IFERROR(INDEX(設定!$D$6:$D$18,MATCH($G627,設定!$B$6:$B$18,0)),""))</f>
        <v/>
      </c>
      <c r="I627" s="80">
        <f>IF($G627="","",IFERROR(INDEX(設定!$E$6:$E$18,MATCH($G627,設定!$B$6:$B$18,0)),""))</f>
        <v/>
      </c>
      <c r="J627" s="80">
        <f>IFERROR(INDEX(打卡匯入!$C$3:$C$2002,MATCH($C627&amp;"|"&amp;DAY($A627),打卡匯入!$E$3:$E$2002,0)),"")</f>
        <v/>
      </c>
      <c r="K627" s="80">
        <f>IFERROR(INDEX(打卡匯入!$D$3:$D$2002,MATCH($C627&amp;"|"&amp;DAY($A627),打卡匯入!$E$3:$E$2002,0)),"")</f>
        <v/>
      </c>
      <c r="L627" s="81">
        <f>IF(OR($J627="",$K627=""),"",IFERROR(INDEX(設定!$F$6:$F$18,MATCH($G627,設定!$B$6:$B$18,0)),0))</f>
        <v/>
      </c>
      <c r="M627" s="82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1">
        <f>IF(OR($C627="",$H627="",$J627=""),0,IF(ROUND(($J627-$H627)*1440,0)&gt;設定!$C$42,ROUND(($J627-$H627)*1440,0),0))</f>
        <v/>
      </c>
      <c r="P627" s="81">
        <f>IF(OR($C627="",$I627="",$K627=""),0,IF(ROUND(($I627-$K627)*1440,0)&gt;設定!$C$42,ROUND(($I627-$K627)*1440,0),0))</f>
        <v/>
      </c>
      <c r="Q627" s="82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79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0">
        <f>IF($G628="","",IFERROR(INDEX(設定!$D$6:$D$18,MATCH($G628,設定!$B$6:$B$18,0)),""))</f>
        <v/>
      </c>
      <c r="I628" s="80">
        <f>IF($G628="","",IFERROR(INDEX(設定!$E$6:$E$18,MATCH($G628,設定!$B$6:$B$18,0)),""))</f>
        <v/>
      </c>
      <c r="J628" s="80">
        <f>IFERROR(INDEX(打卡匯入!$C$3:$C$2002,MATCH($C628&amp;"|"&amp;DAY($A628),打卡匯入!$E$3:$E$2002,0)),"")</f>
        <v/>
      </c>
      <c r="K628" s="80">
        <f>IFERROR(INDEX(打卡匯入!$D$3:$D$2002,MATCH($C628&amp;"|"&amp;DAY($A628),打卡匯入!$E$3:$E$2002,0)),"")</f>
        <v/>
      </c>
      <c r="L628" s="81">
        <f>IF(OR($J628="",$K628=""),"",IFERROR(INDEX(設定!$F$6:$F$18,MATCH($G628,設定!$B$6:$B$18,0)),0))</f>
        <v/>
      </c>
      <c r="M628" s="82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1">
        <f>IF(OR($C628="",$H628="",$J628=""),0,IF(ROUND(($J628-$H628)*1440,0)&gt;設定!$C$42,ROUND(($J628-$H628)*1440,0),0))</f>
        <v/>
      </c>
      <c r="P628" s="81">
        <f>IF(OR($C628="",$I628="",$K628=""),0,IF(ROUND(($I628-$K628)*1440,0)&gt;設定!$C$42,ROUND(($I628-$K628)*1440,0),0))</f>
        <v/>
      </c>
      <c r="Q628" s="82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79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0">
        <f>IF($G629="","",IFERROR(INDEX(設定!$D$6:$D$18,MATCH($G629,設定!$B$6:$B$18,0)),""))</f>
        <v/>
      </c>
      <c r="I629" s="80">
        <f>IF($G629="","",IFERROR(INDEX(設定!$E$6:$E$18,MATCH($G629,設定!$B$6:$B$18,0)),""))</f>
        <v/>
      </c>
      <c r="J629" s="80">
        <f>IFERROR(INDEX(打卡匯入!$C$3:$C$2002,MATCH($C629&amp;"|"&amp;DAY($A629),打卡匯入!$E$3:$E$2002,0)),"")</f>
        <v/>
      </c>
      <c r="K629" s="80">
        <f>IFERROR(INDEX(打卡匯入!$D$3:$D$2002,MATCH($C629&amp;"|"&amp;DAY($A629),打卡匯入!$E$3:$E$2002,0)),"")</f>
        <v/>
      </c>
      <c r="L629" s="81">
        <f>IF(OR($J629="",$K629=""),"",IFERROR(INDEX(設定!$F$6:$F$18,MATCH($G629,設定!$B$6:$B$18,0)),0))</f>
        <v/>
      </c>
      <c r="M629" s="82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1">
        <f>IF(OR($C629="",$H629="",$J629=""),0,IF(ROUND(($J629-$H629)*1440,0)&gt;設定!$C$42,ROUND(($J629-$H629)*1440,0),0))</f>
        <v/>
      </c>
      <c r="P629" s="81">
        <f>IF(OR($C629="",$I629="",$K629=""),0,IF(ROUND(($I629-$K629)*1440,0)&gt;設定!$C$42,ROUND(($I629-$K629)*1440,0),0))</f>
        <v/>
      </c>
      <c r="Q629" s="82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79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0">
        <f>IF($G630="","",IFERROR(INDEX(設定!$D$6:$D$18,MATCH($G630,設定!$B$6:$B$18,0)),""))</f>
        <v/>
      </c>
      <c r="I630" s="80">
        <f>IF($G630="","",IFERROR(INDEX(設定!$E$6:$E$18,MATCH($G630,設定!$B$6:$B$18,0)),""))</f>
        <v/>
      </c>
      <c r="J630" s="80">
        <f>IFERROR(INDEX(打卡匯入!$C$3:$C$2002,MATCH($C630&amp;"|"&amp;DAY($A630),打卡匯入!$E$3:$E$2002,0)),"")</f>
        <v/>
      </c>
      <c r="K630" s="80">
        <f>IFERROR(INDEX(打卡匯入!$D$3:$D$2002,MATCH($C630&amp;"|"&amp;DAY($A630),打卡匯入!$E$3:$E$2002,0)),"")</f>
        <v/>
      </c>
      <c r="L630" s="81">
        <f>IF(OR($J630="",$K630=""),"",IFERROR(INDEX(設定!$F$6:$F$18,MATCH($G630,設定!$B$6:$B$18,0)),0))</f>
        <v/>
      </c>
      <c r="M630" s="82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1">
        <f>IF(OR($C630="",$H630="",$J630=""),0,IF(ROUND(($J630-$H630)*1440,0)&gt;設定!$C$42,ROUND(($J630-$H630)*1440,0),0))</f>
        <v/>
      </c>
      <c r="P630" s="81">
        <f>IF(OR($C630="",$I630="",$K630=""),0,IF(ROUND(($I630-$K630)*1440,0)&gt;設定!$C$42,ROUND(($I630-$K630)*1440,0),0))</f>
        <v/>
      </c>
      <c r="Q630" s="82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79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0">
        <f>IF($G631="","",IFERROR(INDEX(設定!$D$6:$D$18,MATCH($G631,設定!$B$6:$B$18,0)),""))</f>
        <v/>
      </c>
      <c r="I631" s="80">
        <f>IF($G631="","",IFERROR(INDEX(設定!$E$6:$E$18,MATCH($G631,設定!$B$6:$B$18,0)),""))</f>
        <v/>
      </c>
      <c r="J631" s="80">
        <f>IFERROR(INDEX(打卡匯入!$C$3:$C$2002,MATCH($C631&amp;"|"&amp;DAY($A631),打卡匯入!$E$3:$E$2002,0)),"")</f>
        <v/>
      </c>
      <c r="K631" s="80">
        <f>IFERROR(INDEX(打卡匯入!$D$3:$D$2002,MATCH($C631&amp;"|"&amp;DAY($A631),打卡匯入!$E$3:$E$2002,0)),"")</f>
        <v/>
      </c>
      <c r="L631" s="81">
        <f>IF(OR($J631="",$K631=""),"",IFERROR(INDEX(設定!$F$6:$F$18,MATCH($G631,設定!$B$6:$B$18,0)),0))</f>
        <v/>
      </c>
      <c r="M631" s="82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1">
        <f>IF(OR($C631="",$H631="",$J631=""),0,IF(ROUND(($J631-$H631)*1440,0)&gt;設定!$C$42,ROUND(($J631-$H631)*1440,0),0))</f>
        <v/>
      </c>
      <c r="P631" s="81">
        <f>IF(OR($C631="",$I631="",$K631=""),0,IF(ROUND(($I631-$K631)*1440,0)&gt;設定!$C$42,ROUND(($I631-$K631)*1440,0),0))</f>
        <v/>
      </c>
      <c r="Q631" s="82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79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0">
        <f>IF($G632="","",IFERROR(INDEX(設定!$D$6:$D$18,MATCH($G632,設定!$B$6:$B$18,0)),""))</f>
        <v/>
      </c>
      <c r="I632" s="80">
        <f>IF($G632="","",IFERROR(INDEX(設定!$E$6:$E$18,MATCH($G632,設定!$B$6:$B$18,0)),""))</f>
        <v/>
      </c>
      <c r="J632" s="80">
        <f>IFERROR(INDEX(打卡匯入!$C$3:$C$2002,MATCH($C632&amp;"|"&amp;DAY($A632),打卡匯入!$E$3:$E$2002,0)),"")</f>
        <v/>
      </c>
      <c r="K632" s="80">
        <f>IFERROR(INDEX(打卡匯入!$D$3:$D$2002,MATCH($C632&amp;"|"&amp;DAY($A632),打卡匯入!$E$3:$E$2002,0)),"")</f>
        <v/>
      </c>
      <c r="L632" s="81">
        <f>IF(OR($J632="",$K632=""),"",IFERROR(INDEX(設定!$F$6:$F$18,MATCH($G632,設定!$B$6:$B$18,0)),0))</f>
        <v/>
      </c>
      <c r="M632" s="82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1">
        <f>IF(OR($C632="",$H632="",$J632=""),0,IF(ROUND(($J632-$H632)*1440,0)&gt;設定!$C$42,ROUND(($J632-$H632)*1440,0),0))</f>
        <v/>
      </c>
      <c r="P632" s="81">
        <f>IF(OR($C632="",$I632="",$K632=""),0,IF(ROUND(($I632-$K632)*1440,0)&gt;設定!$C$42,ROUND(($I632-$K632)*1440,0),0))</f>
        <v/>
      </c>
      <c r="Q632" s="82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79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0">
        <f>IF($G633="","",IFERROR(INDEX(設定!$D$6:$D$18,MATCH($G633,設定!$B$6:$B$18,0)),""))</f>
        <v/>
      </c>
      <c r="I633" s="80">
        <f>IF($G633="","",IFERROR(INDEX(設定!$E$6:$E$18,MATCH($G633,設定!$B$6:$B$18,0)),""))</f>
        <v/>
      </c>
      <c r="J633" s="80">
        <f>IFERROR(INDEX(打卡匯入!$C$3:$C$2002,MATCH($C633&amp;"|"&amp;DAY($A633),打卡匯入!$E$3:$E$2002,0)),"")</f>
        <v/>
      </c>
      <c r="K633" s="80">
        <f>IFERROR(INDEX(打卡匯入!$D$3:$D$2002,MATCH($C633&amp;"|"&amp;DAY($A633),打卡匯入!$E$3:$E$2002,0)),"")</f>
        <v/>
      </c>
      <c r="L633" s="81">
        <f>IF(OR($J633="",$K633=""),"",IFERROR(INDEX(設定!$F$6:$F$18,MATCH($G633,設定!$B$6:$B$18,0)),0))</f>
        <v/>
      </c>
      <c r="M633" s="82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1">
        <f>IF(OR($C633="",$H633="",$J633=""),0,IF(ROUND(($J633-$H633)*1440,0)&gt;設定!$C$42,ROUND(($J633-$H633)*1440,0),0))</f>
        <v/>
      </c>
      <c r="P633" s="81">
        <f>IF(OR($C633="",$I633="",$K633=""),0,IF(ROUND(($I633-$K633)*1440,0)&gt;設定!$C$42,ROUND(($I633-$K633)*1440,0),0))</f>
        <v/>
      </c>
      <c r="Q633" s="82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79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0">
        <f>IF($G634="","",IFERROR(INDEX(設定!$D$6:$D$18,MATCH($G634,設定!$B$6:$B$18,0)),""))</f>
        <v/>
      </c>
      <c r="I634" s="80">
        <f>IF($G634="","",IFERROR(INDEX(設定!$E$6:$E$18,MATCH($G634,設定!$B$6:$B$18,0)),""))</f>
        <v/>
      </c>
      <c r="J634" s="80">
        <f>IFERROR(INDEX(打卡匯入!$C$3:$C$2002,MATCH($C634&amp;"|"&amp;DAY($A634),打卡匯入!$E$3:$E$2002,0)),"")</f>
        <v/>
      </c>
      <c r="K634" s="80">
        <f>IFERROR(INDEX(打卡匯入!$D$3:$D$2002,MATCH($C634&amp;"|"&amp;DAY($A634),打卡匯入!$E$3:$E$2002,0)),"")</f>
        <v/>
      </c>
      <c r="L634" s="81">
        <f>IF(OR($J634="",$K634=""),"",IFERROR(INDEX(設定!$F$6:$F$18,MATCH($G634,設定!$B$6:$B$18,0)),0))</f>
        <v/>
      </c>
      <c r="M634" s="82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1">
        <f>IF(OR($C634="",$H634="",$J634=""),0,IF(ROUND(($J634-$H634)*1440,0)&gt;設定!$C$42,ROUND(($J634-$H634)*1440,0),0))</f>
        <v/>
      </c>
      <c r="P634" s="81">
        <f>IF(OR($C634="",$I634="",$K634=""),0,IF(ROUND(($I634-$K634)*1440,0)&gt;設定!$C$42,ROUND(($I634-$K634)*1440,0),0))</f>
        <v/>
      </c>
      <c r="Q634" s="82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79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0">
        <f>IF($G635="","",IFERROR(INDEX(設定!$D$6:$D$18,MATCH($G635,設定!$B$6:$B$18,0)),""))</f>
        <v/>
      </c>
      <c r="I635" s="80">
        <f>IF($G635="","",IFERROR(INDEX(設定!$E$6:$E$18,MATCH($G635,設定!$B$6:$B$18,0)),""))</f>
        <v/>
      </c>
      <c r="J635" s="80">
        <f>IFERROR(INDEX(打卡匯入!$C$3:$C$2002,MATCH($C635&amp;"|"&amp;DAY($A635),打卡匯入!$E$3:$E$2002,0)),"")</f>
        <v/>
      </c>
      <c r="K635" s="80">
        <f>IFERROR(INDEX(打卡匯入!$D$3:$D$2002,MATCH($C635&amp;"|"&amp;DAY($A635),打卡匯入!$E$3:$E$2002,0)),"")</f>
        <v/>
      </c>
      <c r="L635" s="81">
        <f>IF(OR($J635="",$K635=""),"",IFERROR(INDEX(設定!$F$6:$F$18,MATCH($G635,設定!$B$6:$B$18,0)),0))</f>
        <v/>
      </c>
      <c r="M635" s="82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1">
        <f>IF(OR($C635="",$H635="",$J635=""),0,IF(ROUND(($J635-$H635)*1440,0)&gt;設定!$C$42,ROUND(($J635-$H635)*1440,0),0))</f>
        <v/>
      </c>
      <c r="P635" s="81">
        <f>IF(OR($C635="",$I635="",$K635=""),0,IF(ROUND(($I635-$K635)*1440,0)&gt;設定!$C$42,ROUND(($I635-$K635)*1440,0),0))</f>
        <v/>
      </c>
      <c r="Q635" s="82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79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0">
        <f>IF($G636="","",IFERROR(INDEX(設定!$D$6:$D$18,MATCH($G636,設定!$B$6:$B$18,0)),""))</f>
        <v/>
      </c>
      <c r="I636" s="80">
        <f>IF($G636="","",IFERROR(INDEX(設定!$E$6:$E$18,MATCH($G636,設定!$B$6:$B$18,0)),""))</f>
        <v/>
      </c>
      <c r="J636" s="80">
        <f>IFERROR(INDEX(打卡匯入!$C$3:$C$2002,MATCH($C636&amp;"|"&amp;DAY($A636),打卡匯入!$E$3:$E$2002,0)),"")</f>
        <v/>
      </c>
      <c r="K636" s="80">
        <f>IFERROR(INDEX(打卡匯入!$D$3:$D$2002,MATCH($C636&amp;"|"&amp;DAY($A636),打卡匯入!$E$3:$E$2002,0)),"")</f>
        <v/>
      </c>
      <c r="L636" s="81">
        <f>IF(OR($J636="",$K636=""),"",IFERROR(INDEX(設定!$F$6:$F$18,MATCH($G636,設定!$B$6:$B$18,0)),0))</f>
        <v/>
      </c>
      <c r="M636" s="82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1">
        <f>IF(OR($C636="",$H636="",$J636=""),0,IF(ROUND(($J636-$H636)*1440,0)&gt;設定!$C$42,ROUND(($J636-$H636)*1440,0),0))</f>
        <v/>
      </c>
      <c r="P636" s="81">
        <f>IF(OR($C636="",$I636="",$K636=""),0,IF(ROUND(($I636-$K636)*1440,0)&gt;設定!$C$42,ROUND(($I636-$K636)*1440,0),0))</f>
        <v/>
      </c>
      <c r="Q636" s="82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79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0">
        <f>IF($G637="","",IFERROR(INDEX(設定!$D$6:$D$18,MATCH($G637,設定!$B$6:$B$18,0)),""))</f>
        <v/>
      </c>
      <c r="I637" s="80">
        <f>IF($G637="","",IFERROR(INDEX(設定!$E$6:$E$18,MATCH($G637,設定!$B$6:$B$18,0)),""))</f>
        <v/>
      </c>
      <c r="J637" s="80">
        <f>IFERROR(INDEX(打卡匯入!$C$3:$C$2002,MATCH($C637&amp;"|"&amp;DAY($A637),打卡匯入!$E$3:$E$2002,0)),"")</f>
        <v/>
      </c>
      <c r="K637" s="80">
        <f>IFERROR(INDEX(打卡匯入!$D$3:$D$2002,MATCH($C637&amp;"|"&amp;DAY($A637),打卡匯入!$E$3:$E$2002,0)),"")</f>
        <v/>
      </c>
      <c r="L637" s="81">
        <f>IF(OR($J637="",$K637=""),"",IFERROR(INDEX(設定!$F$6:$F$18,MATCH($G637,設定!$B$6:$B$18,0)),0))</f>
        <v/>
      </c>
      <c r="M637" s="82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1">
        <f>IF(OR($C637="",$H637="",$J637=""),0,IF(ROUND(($J637-$H637)*1440,0)&gt;設定!$C$42,ROUND(($J637-$H637)*1440,0),0))</f>
        <v/>
      </c>
      <c r="P637" s="81">
        <f>IF(OR($C637="",$I637="",$K637=""),0,IF(ROUND(($I637-$K637)*1440,0)&gt;設定!$C$42,ROUND(($I637-$K637)*1440,0),0))</f>
        <v/>
      </c>
      <c r="Q637" s="82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79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0">
        <f>IF($G638="","",IFERROR(INDEX(設定!$D$6:$D$18,MATCH($G638,設定!$B$6:$B$18,0)),""))</f>
        <v/>
      </c>
      <c r="I638" s="80">
        <f>IF($G638="","",IFERROR(INDEX(設定!$E$6:$E$18,MATCH($G638,設定!$B$6:$B$18,0)),""))</f>
        <v/>
      </c>
      <c r="J638" s="80">
        <f>IFERROR(INDEX(打卡匯入!$C$3:$C$2002,MATCH($C638&amp;"|"&amp;DAY($A638),打卡匯入!$E$3:$E$2002,0)),"")</f>
        <v/>
      </c>
      <c r="K638" s="80">
        <f>IFERROR(INDEX(打卡匯入!$D$3:$D$2002,MATCH($C638&amp;"|"&amp;DAY($A638),打卡匯入!$E$3:$E$2002,0)),"")</f>
        <v/>
      </c>
      <c r="L638" s="81">
        <f>IF(OR($J638="",$K638=""),"",IFERROR(INDEX(設定!$F$6:$F$18,MATCH($G638,設定!$B$6:$B$18,0)),0))</f>
        <v/>
      </c>
      <c r="M638" s="82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1">
        <f>IF(OR($C638="",$H638="",$J638=""),0,IF(ROUND(($J638-$H638)*1440,0)&gt;設定!$C$42,ROUND(($J638-$H638)*1440,0),0))</f>
        <v/>
      </c>
      <c r="P638" s="81">
        <f>IF(OR($C638="",$I638="",$K638=""),0,IF(ROUND(($I638-$K638)*1440,0)&gt;設定!$C$42,ROUND(($I638-$K638)*1440,0),0))</f>
        <v/>
      </c>
      <c r="Q638" s="82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79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0">
        <f>IF($G639="","",IFERROR(INDEX(設定!$D$6:$D$18,MATCH($G639,設定!$B$6:$B$18,0)),""))</f>
        <v/>
      </c>
      <c r="I639" s="80">
        <f>IF($G639="","",IFERROR(INDEX(設定!$E$6:$E$18,MATCH($G639,設定!$B$6:$B$18,0)),""))</f>
        <v/>
      </c>
      <c r="J639" s="80">
        <f>IFERROR(INDEX(打卡匯入!$C$3:$C$2002,MATCH($C639&amp;"|"&amp;DAY($A639),打卡匯入!$E$3:$E$2002,0)),"")</f>
        <v/>
      </c>
      <c r="K639" s="80">
        <f>IFERROR(INDEX(打卡匯入!$D$3:$D$2002,MATCH($C639&amp;"|"&amp;DAY($A639),打卡匯入!$E$3:$E$2002,0)),"")</f>
        <v/>
      </c>
      <c r="L639" s="81">
        <f>IF(OR($J639="",$K639=""),"",IFERROR(INDEX(設定!$F$6:$F$18,MATCH($G639,設定!$B$6:$B$18,0)),0))</f>
        <v/>
      </c>
      <c r="M639" s="82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1">
        <f>IF(OR($C639="",$H639="",$J639=""),0,IF(ROUND(($J639-$H639)*1440,0)&gt;設定!$C$42,ROUND(($J639-$H639)*1440,0),0))</f>
        <v/>
      </c>
      <c r="P639" s="81">
        <f>IF(OR($C639="",$I639="",$K639=""),0,IF(ROUND(($I639-$K639)*1440,0)&gt;設定!$C$42,ROUND(($I639-$K639)*1440,0),0))</f>
        <v/>
      </c>
      <c r="Q639" s="82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79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0">
        <f>IF($G640="","",IFERROR(INDEX(設定!$D$6:$D$18,MATCH($G640,設定!$B$6:$B$18,0)),""))</f>
        <v/>
      </c>
      <c r="I640" s="80">
        <f>IF($G640="","",IFERROR(INDEX(設定!$E$6:$E$18,MATCH($G640,設定!$B$6:$B$18,0)),""))</f>
        <v/>
      </c>
      <c r="J640" s="80">
        <f>IFERROR(INDEX(打卡匯入!$C$3:$C$2002,MATCH($C640&amp;"|"&amp;DAY($A640),打卡匯入!$E$3:$E$2002,0)),"")</f>
        <v/>
      </c>
      <c r="K640" s="80">
        <f>IFERROR(INDEX(打卡匯入!$D$3:$D$2002,MATCH($C640&amp;"|"&amp;DAY($A640),打卡匯入!$E$3:$E$2002,0)),"")</f>
        <v/>
      </c>
      <c r="L640" s="81">
        <f>IF(OR($J640="",$K640=""),"",IFERROR(INDEX(設定!$F$6:$F$18,MATCH($G640,設定!$B$6:$B$18,0)),0))</f>
        <v/>
      </c>
      <c r="M640" s="82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1">
        <f>IF(OR($C640="",$H640="",$J640=""),0,IF(ROUND(($J640-$H640)*1440,0)&gt;設定!$C$42,ROUND(($J640-$H640)*1440,0),0))</f>
        <v/>
      </c>
      <c r="P640" s="81">
        <f>IF(OR($C640="",$I640="",$K640=""),0,IF(ROUND(($I640-$K640)*1440,0)&gt;設定!$C$42,ROUND(($I640-$K640)*1440,0),0))</f>
        <v/>
      </c>
      <c r="Q640" s="82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79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0">
        <f>IF($G641="","",IFERROR(INDEX(設定!$D$6:$D$18,MATCH($G641,設定!$B$6:$B$18,0)),""))</f>
        <v/>
      </c>
      <c r="I641" s="80">
        <f>IF($G641="","",IFERROR(INDEX(設定!$E$6:$E$18,MATCH($G641,設定!$B$6:$B$18,0)),""))</f>
        <v/>
      </c>
      <c r="J641" s="80">
        <f>IFERROR(INDEX(打卡匯入!$C$3:$C$2002,MATCH($C641&amp;"|"&amp;DAY($A641),打卡匯入!$E$3:$E$2002,0)),"")</f>
        <v/>
      </c>
      <c r="K641" s="80">
        <f>IFERROR(INDEX(打卡匯入!$D$3:$D$2002,MATCH($C641&amp;"|"&amp;DAY($A641),打卡匯入!$E$3:$E$2002,0)),"")</f>
        <v/>
      </c>
      <c r="L641" s="81">
        <f>IF(OR($J641="",$K641=""),"",IFERROR(INDEX(設定!$F$6:$F$18,MATCH($G641,設定!$B$6:$B$18,0)),0))</f>
        <v/>
      </c>
      <c r="M641" s="82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1">
        <f>IF(OR($C641="",$H641="",$J641=""),0,IF(ROUND(($J641-$H641)*1440,0)&gt;設定!$C$42,ROUND(($J641-$H641)*1440,0),0))</f>
        <v/>
      </c>
      <c r="P641" s="81">
        <f>IF(OR($C641="",$I641="",$K641=""),0,IF(ROUND(($I641-$K641)*1440,0)&gt;設定!$C$42,ROUND(($I641-$K641)*1440,0),0))</f>
        <v/>
      </c>
      <c r="Q641" s="82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79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0">
        <f>IF($G642="","",IFERROR(INDEX(設定!$D$6:$D$18,MATCH($G642,設定!$B$6:$B$18,0)),""))</f>
        <v/>
      </c>
      <c r="I642" s="80">
        <f>IF($G642="","",IFERROR(INDEX(設定!$E$6:$E$18,MATCH($G642,設定!$B$6:$B$18,0)),""))</f>
        <v/>
      </c>
      <c r="J642" s="80">
        <f>IFERROR(INDEX(打卡匯入!$C$3:$C$2002,MATCH($C642&amp;"|"&amp;DAY($A642),打卡匯入!$E$3:$E$2002,0)),"")</f>
        <v/>
      </c>
      <c r="K642" s="80">
        <f>IFERROR(INDEX(打卡匯入!$D$3:$D$2002,MATCH($C642&amp;"|"&amp;DAY($A642),打卡匯入!$E$3:$E$2002,0)),"")</f>
        <v/>
      </c>
      <c r="L642" s="81">
        <f>IF(OR($J642="",$K642=""),"",IFERROR(INDEX(設定!$F$6:$F$18,MATCH($G642,設定!$B$6:$B$18,0)),0))</f>
        <v/>
      </c>
      <c r="M642" s="82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1">
        <f>IF(OR($C642="",$H642="",$J642=""),0,IF(ROUND(($J642-$H642)*1440,0)&gt;設定!$C$42,ROUND(($J642-$H642)*1440,0),0))</f>
        <v/>
      </c>
      <c r="P642" s="81">
        <f>IF(OR($C642="",$I642="",$K642=""),0,IF(ROUND(($I642-$K642)*1440,0)&gt;設定!$C$42,ROUND(($I642-$K642)*1440,0),0))</f>
        <v/>
      </c>
      <c r="Q642" s="82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79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0">
        <f>IF($G643="","",IFERROR(INDEX(設定!$D$6:$D$18,MATCH($G643,設定!$B$6:$B$18,0)),""))</f>
        <v/>
      </c>
      <c r="I643" s="80">
        <f>IF($G643="","",IFERROR(INDEX(設定!$E$6:$E$18,MATCH($G643,設定!$B$6:$B$18,0)),""))</f>
        <v/>
      </c>
      <c r="J643" s="80">
        <f>IFERROR(INDEX(打卡匯入!$C$3:$C$2002,MATCH($C643&amp;"|"&amp;DAY($A643),打卡匯入!$E$3:$E$2002,0)),"")</f>
        <v/>
      </c>
      <c r="K643" s="80">
        <f>IFERROR(INDEX(打卡匯入!$D$3:$D$2002,MATCH($C643&amp;"|"&amp;DAY($A643),打卡匯入!$E$3:$E$2002,0)),"")</f>
        <v/>
      </c>
      <c r="L643" s="81">
        <f>IF(OR($J643="",$K643=""),"",IFERROR(INDEX(設定!$F$6:$F$18,MATCH($G643,設定!$B$6:$B$18,0)),0))</f>
        <v/>
      </c>
      <c r="M643" s="82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1">
        <f>IF(OR($C643="",$H643="",$J643=""),0,IF(ROUND(($J643-$H643)*1440,0)&gt;設定!$C$42,ROUND(($J643-$H643)*1440,0),0))</f>
        <v/>
      </c>
      <c r="P643" s="81">
        <f>IF(OR($C643="",$I643="",$K643=""),0,IF(ROUND(($I643-$K643)*1440,0)&gt;設定!$C$42,ROUND(($I643-$K643)*1440,0),0))</f>
        <v/>
      </c>
      <c r="Q643" s="82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79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0">
        <f>IF($G644="","",IFERROR(INDEX(設定!$D$6:$D$18,MATCH($G644,設定!$B$6:$B$18,0)),""))</f>
        <v/>
      </c>
      <c r="I644" s="80">
        <f>IF($G644="","",IFERROR(INDEX(設定!$E$6:$E$18,MATCH($G644,設定!$B$6:$B$18,0)),""))</f>
        <v/>
      </c>
      <c r="J644" s="80">
        <f>IFERROR(INDEX(打卡匯入!$C$3:$C$2002,MATCH($C644&amp;"|"&amp;DAY($A644),打卡匯入!$E$3:$E$2002,0)),"")</f>
        <v/>
      </c>
      <c r="K644" s="80">
        <f>IFERROR(INDEX(打卡匯入!$D$3:$D$2002,MATCH($C644&amp;"|"&amp;DAY($A644),打卡匯入!$E$3:$E$2002,0)),"")</f>
        <v/>
      </c>
      <c r="L644" s="81">
        <f>IF(OR($J644="",$K644=""),"",IFERROR(INDEX(設定!$F$6:$F$18,MATCH($G644,設定!$B$6:$B$18,0)),0))</f>
        <v/>
      </c>
      <c r="M644" s="82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1">
        <f>IF(OR($C644="",$H644="",$J644=""),0,IF(ROUND(($J644-$H644)*1440,0)&gt;設定!$C$42,ROUND(($J644-$H644)*1440,0),0))</f>
        <v/>
      </c>
      <c r="P644" s="81">
        <f>IF(OR($C644="",$I644="",$K644=""),0,IF(ROUND(($I644-$K644)*1440,0)&gt;設定!$C$42,ROUND(($I644-$K644)*1440,0),0))</f>
        <v/>
      </c>
      <c r="Q644" s="82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79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0">
        <f>IF($G645="","",IFERROR(INDEX(設定!$D$6:$D$18,MATCH($G645,設定!$B$6:$B$18,0)),""))</f>
        <v/>
      </c>
      <c r="I645" s="80">
        <f>IF($G645="","",IFERROR(INDEX(設定!$E$6:$E$18,MATCH($G645,設定!$B$6:$B$18,0)),""))</f>
        <v/>
      </c>
      <c r="J645" s="80">
        <f>IFERROR(INDEX(打卡匯入!$C$3:$C$2002,MATCH($C645&amp;"|"&amp;DAY($A645),打卡匯入!$E$3:$E$2002,0)),"")</f>
        <v/>
      </c>
      <c r="K645" s="80">
        <f>IFERROR(INDEX(打卡匯入!$D$3:$D$2002,MATCH($C645&amp;"|"&amp;DAY($A645),打卡匯入!$E$3:$E$2002,0)),"")</f>
        <v/>
      </c>
      <c r="L645" s="81">
        <f>IF(OR($J645="",$K645=""),"",IFERROR(INDEX(設定!$F$6:$F$18,MATCH($G645,設定!$B$6:$B$18,0)),0))</f>
        <v/>
      </c>
      <c r="M645" s="82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1">
        <f>IF(OR($C645="",$H645="",$J645=""),0,IF(ROUND(($J645-$H645)*1440,0)&gt;設定!$C$42,ROUND(($J645-$H645)*1440,0),0))</f>
        <v/>
      </c>
      <c r="P645" s="81">
        <f>IF(OR($C645="",$I645="",$K645=""),0,IF(ROUND(($I645-$K645)*1440,0)&gt;設定!$C$42,ROUND(($I645-$K645)*1440,0),0))</f>
        <v/>
      </c>
      <c r="Q645" s="82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79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0">
        <f>IF($G646="","",IFERROR(INDEX(設定!$D$6:$D$18,MATCH($G646,設定!$B$6:$B$18,0)),""))</f>
        <v/>
      </c>
      <c r="I646" s="80">
        <f>IF($G646="","",IFERROR(INDEX(設定!$E$6:$E$18,MATCH($G646,設定!$B$6:$B$18,0)),""))</f>
        <v/>
      </c>
      <c r="J646" s="80">
        <f>IFERROR(INDEX(打卡匯入!$C$3:$C$2002,MATCH($C646&amp;"|"&amp;DAY($A646),打卡匯入!$E$3:$E$2002,0)),"")</f>
        <v/>
      </c>
      <c r="K646" s="80">
        <f>IFERROR(INDEX(打卡匯入!$D$3:$D$2002,MATCH($C646&amp;"|"&amp;DAY($A646),打卡匯入!$E$3:$E$2002,0)),"")</f>
        <v/>
      </c>
      <c r="L646" s="81">
        <f>IF(OR($J646="",$K646=""),"",IFERROR(INDEX(設定!$F$6:$F$18,MATCH($G646,設定!$B$6:$B$18,0)),0))</f>
        <v/>
      </c>
      <c r="M646" s="82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1">
        <f>IF(OR($C646="",$H646="",$J646=""),0,IF(ROUND(($J646-$H646)*1440,0)&gt;設定!$C$42,ROUND(($J646-$H646)*1440,0),0))</f>
        <v/>
      </c>
      <c r="P646" s="81">
        <f>IF(OR($C646="",$I646="",$K646=""),0,IF(ROUND(($I646-$K646)*1440,0)&gt;設定!$C$42,ROUND(($I646-$K646)*1440,0),0))</f>
        <v/>
      </c>
      <c r="Q646" s="82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79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0">
        <f>IF($G647="","",IFERROR(INDEX(設定!$D$6:$D$18,MATCH($G647,設定!$B$6:$B$18,0)),""))</f>
        <v/>
      </c>
      <c r="I647" s="80">
        <f>IF($G647="","",IFERROR(INDEX(設定!$E$6:$E$18,MATCH($G647,設定!$B$6:$B$18,0)),""))</f>
        <v/>
      </c>
      <c r="J647" s="80">
        <f>IFERROR(INDEX(打卡匯入!$C$3:$C$2002,MATCH($C647&amp;"|"&amp;DAY($A647),打卡匯入!$E$3:$E$2002,0)),"")</f>
        <v/>
      </c>
      <c r="K647" s="80">
        <f>IFERROR(INDEX(打卡匯入!$D$3:$D$2002,MATCH($C647&amp;"|"&amp;DAY($A647),打卡匯入!$E$3:$E$2002,0)),"")</f>
        <v/>
      </c>
      <c r="L647" s="81">
        <f>IF(OR($J647="",$K647=""),"",IFERROR(INDEX(設定!$F$6:$F$18,MATCH($G647,設定!$B$6:$B$18,0)),0))</f>
        <v/>
      </c>
      <c r="M647" s="82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1">
        <f>IF(OR($C647="",$H647="",$J647=""),0,IF(ROUND(($J647-$H647)*1440,0)&gt;設定!$C$42,ROUND(($J647-$H647)*1440,0),0))</f>
        <v/>
      </c>
      <c r="P647" s="81">
        <f>IF(OR($C647="",$I647="",$K647=""),0,IF(ROUND(($I647-$K647)*1440,0)&gt;設定!$C$42,ROUND(($I647-$K647)*1440,0),0))</f>
        <v/>
      </c>
      <c r="Q647" s="82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79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0">
        <f>IF($G648="","",IFERROR(INDEX(設定!$D$6:$D$18,MATCH($G648,設定!$B$6:$B$18,0)),""))</f>
        <v/>
      </c>
      <c r="I648" s="80">
        <f>IF($G648="","",IFERROR(INDEX(設定!$E$6:$E$18,MATCH($G648,設定!$B$6:$B$18,0)),""))</f>
        <v/>
      </c>
      <c r="J648" s="80">
        <f>IFERROR(INDEX(打卡匯入!$C$3:$C$2002,MATCH($C648&amp;"|"&amp;DAY($A648),打卡匯入!$E$3:$E$2002,0)),"")</f>
        <v/>
      </c>
      <c r="K648" s="80">
        <f>IFERROR(INDEX(打卡匯入!$D$3:$D$2002,MATCH($C648&amp;"|"&amp;DAY($A648),打卡匯入!$E$3:$E$2002,0)),"")</f>
        <v/>
      </c>
      <c r="L648" s="81">
        <f>IF(OR($J648="",$K648=""),"",IFERROR(INDEX(設定!$F$6:$F$18,MATCH($G648,設定!$B$6:$B$18,0)),0))</f>
        <v/>
      </c>
      <c r="M648" s="82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1">
        <f>IF(OR($C648="",$H648="",$J648=""),0,IF(ROUND(($J648-$H648)*1440,0)&gt;設定!$C$42,ROUND(($J648-$H648)*1440,0),0))</f>
        <v/>
      </c>
      <c r="P648" s="81">
        <f>IF(OR($C648="",$I648="",$K648=""),0,IF(ROUND(($I648-$K648)*1440,0)&gt;設定!$C$42,ROUND(($I648-$K648)*1440,0),0))</f>
        <v/>
      </c>
      <c r="Q648" s="82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79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0">
        <f>IF($G649="","",IFERROR(INDEX(設定!$D$6:$D$18,MATCH($G649,設定!$B$6:$B$18,0)),""))</f>
        <v/>
      </c>
      <c r="I649" s="80">
        <f>IF($G649="","",IFERROR(INDEX(設定!$E$6:$E$18,MATCH($G649,設定!$B$6:$B$18,0)),""))</f>
        <v/>
      </c>
      <c r="J649" s="80">
        <f>IFERROR(INDEX(打卡匯入!$C$3:$C$2002,MATCH($C649&amp;"|"&amp;DAY($A649),打卡匯入!$E$3:$E$2002,0)),"")</f>
        <v/>
      </c>
      <c r="K649" s="80">
        <f>IFERROR(INDEX(打卡匯入!$D$3:$D$2002,MATCH($C649&amp;"|"&amp;DAY($A649),打卡匯入!$E$3:$E$2002,0)),"")</f>
        <v/>
      </c>
      <c r="L649" s="81">
        <f>IF(OR($J649="",$K649=""),"",IFERROR(INDEX(設定!$F$6:$F$18,MATCH($G649,設定!$B$6:$B$18,0)),0))</f>
        <v/>
      </c>
      <c r="M649" s="82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1">
        <f>IF(OR($C649="",$H649="",$J649=""),0,IF(ROUND(($J649-$H649)*1440,0)&gt;設定!$C$42,ROUND(($J649-$H649)*1440,0),0))</f>
        <v/>
      </c>
      <c r="P649" s="81">
        <f>IF(OR($C649="",$I649="",$K649=""),0,IF(ROUND(($I649-$K649)*1440,0)&gt;設定!$C$42,ROUND(($I649-$K649)*1440,0),0))</f>
        <v/>
      </c>
      <c r="Q649" s="82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79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0">
        <f>IF($G650="","",IFERROR(INDEX(設定!$D$6:$D$18,MATCH($G650,設定!$B$6:$B$18,0)),""))</f>
        <v/>
      </c>
      <c r="I650" s="80">
        <f>IF($G650="","",IFERROR(INDEX(設定!$E$6:$E$18,MATCH($G650,設定!$B$6:$B$18,0)),""))</f>
        <v/>
      </c>
      <c r="J650" s="80">
        <f>IFERROR(INDEX(打卡匯入!$C$3:$C$2002,MATCH($C650&amp;"|"&amp;DAY($A650),打卡匯入!$E$3:$E$2002,0)),"")</f>
        <v/>
      </c>
      <c r="K650" s="80">
        <f>IFERROR(INDEX(打卡匯入!$D$3:$D$2002,MATCH($C650&amp;"|"&amp;DAY($A650),打卡匯入!$E$3:$E$2002,0)),"")</f>
        <v/>
      </c>
      <c r="L650" s="81">
        <f>IF(OR($J650="",$K650=""),"",IFERROR(INDEX(設定!$F$6:$F$18,MATCH($G650,設定!$B$6:$B$18,0)),0))</f>
        <v/>
      </c>
      <c r="M650" s="82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1">
        <f>IF(OR($C650="",$H650="",$J650=""),0,IF(ROUND(($J650-$H650)*1440,0)&gt;設定!$C$42,ROUND(($J650-$H650)*1440,0),0))</f>
        <v/>
      </c>
      <c r="P650" s="81">
        <f>IF(OR($C650="",$I650="",$K650=""),0,IF(ROUND(($I650-$K650)*1440,0)&gt;設定!$C$42,ROUND(($I650-$K650)*1440,0),0))</f>
        <v/>
      </c>
      <c r="Q650" s="82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79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0">
        <f>IF($G651="","",IFERROR(INDEX(設定!$D$6:$D$18,MATCH($G651,設定!$B$6:$B$18,0)),""))</f>
        <v/>
      </c>
      <c r="I651" s="80">
        <f>IF($G651="","",IFERROR(INDEX(設定!$E$6:$E$18,MATCH($G651,設定!$B$6:$B$18,0)),""))</f>
        <v/>
      </c>
      <c r="J651" s="80">
        <f>IFERROR(INDEX(打卡匯入!$C$3:$C$2002,MATCH($C651&amp;"|"&amp;DAY($A651),打卡匯入!$E$3:$E$2002,0)),"")</f>
        <v/>
      </c>
      <c r="K651" s="80">
        <f>IFERROR(INDEX(打卡匯入!$D$3:$D$2002,MATCH($C651&amp;"|"&amp;DAY($A651),打卡匯入!$E$3:$E$2002,0)),"")</f>
        <v/>
      </c>
      <c r="L651" s="81">
        <f>IF(OR($J651="",$K651=""),"",IFERROR(INDEX(設定!$F$6:$F$18,MATCH($G651,設定!$B$6:$B$18,0)),0))</f>
        <v/>
      </c>
      <c r="M651" s="82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1">
        <f>IF(OR($C651="",$H651="",$J651=""),0,IF(ROUND(($J651-$H651)*1440,0)&gt;設定!$C$42,ROUND(($J651-$H651)*1440,0),0))</f>
        <v/>
      </c>
      <c r="P651" s="81">
        <f>IF(OR($C651="",$I651="",$K651=""),0,IF(ROUND(($I651-$K651)*1440,0)&gt;設定!$C$42,ROUND(($I651-$K651)*1440,0),0))</f>
        <v/>
      </c>
      <c r="Q651" s="82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79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0">
        <f>IF($G652="","",IFERROR(INDEX(設定!$D$6:$D$18,MATCH($G652,設定!$B$6:$B$18,0)),""))</f>
        <v/>
      </c>
      <c r="I652" s="80">
        <f>IF($G652="","",IFERROR(INDEX(設定!$E$6:$E$18,MATCH($G652,設定!$B$6:$B$18,0)),""))</f>
        <v/>
      </c>
      <c r="J652" s="80">
        <f>IFERROR(INDEX(打卡匯入!$C$3:$C$2002,MATCH($C652&amp;"|"&amp;DAY($A652),打卡匯入!$E$3:$E$2002,0)),"")</f>
        <v/>
      </c>
      <c r="K652" s="80">
        <f>IFERROR(INDEX(打卡匯入!$D$3:$D$2002,MATCH($C652&amp;"|"&amp;DAY($A652),打卡匯入!$E$3:$E$2002,0)),"")</f>
        <v/>
      </c>
      <c r="L652" s="81">
        <f>IF(OR($J652="",$K652=""),"",IFERROR(INDEX(設定!$F$6:$F$18,MATCH($G652,設定!$B$6:$B$18,0)),0))</f>
        <v/>
      </c>
      <c r="M652" s="82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1">
        <f>IF(OR($C652="",$H652="",$J652=""),0,IF(ROUND(($J652-$H652)*1440,0)&gt;設定!$C$42,ROUND(($J652-$H652)*1440,0),0))</f>
        <v/>
      </c>
      <c r="P652" s="81">
        <f>IF(OR($C652="",$I652="",$K652=""),0,IF(ROUND(($I652-$K652)*1440,0)&gt;設定!$C$42,ROUND(($I652-$K652)*1440,0),0))</f>
        <v/>
      </c>
      <c r="Q652" s="82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79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0">
        <f>IF($G653="","",IFERROR(INDEX(設定!$D$6:$D$18,MATCH($G653,設定!$B$6:$B$18,0)),""))</f>
        <v/>
      </c>
      <c r="I653" s="80">
        <f>IF($G653="","",IFERROR(INDEX(設定!$E$6:$E$18,MATCH($G653,設定!$B$6:$B$18,0)),""))</f>
        <v/>
      </c>
      <c r="J653" s="80">
        <f>IFERROR(INDEX(打卡匯入!$C$3:$C$2002,MATCH($C653&amp;"|"&amp;DAY($A653),打卡匯入!$E$3:$E$2002,0)),"")</f>
        <v/>
      </c>
      <c r="K653" s="80">
        <f>IFERROR(INDEX(打卡匯入!$D$3:$D$2002,MATCH($C653&amp;"|"&amp;DAY($A653),打卡匯入!$E$3:$E$2002,0)),"")</f>
        <v/>
      </c>
      <c r="L653" s="81">
        <f>IF(OR($J653="",$K653=""),"",IFERROR(INDEX(設定!$F$6:$F$18,MATCH($G653,設定!$B$6:$B$18,0)),0))</f>
        <v/>
      </c>
      <c r="M653" s="82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1">
        <f>IF(OR($C653="",$H653="",$J653=""),0,IF(ROUND(($J653-$H653)*1440,0)&gt;設定!$C$42,ROUND(($J653-$H653)*1440,0),0))</f>
        <v/>
      </c>
      <c r="P653" s="81">
        <f>IF(OR($C653="",$I653="",$K653=""),0,IF(ROUND(($I653-$K653)*1440,0)&gt;設定!$C$42,ROUND(($I653-$K653)*1440,0),0))</f>
        <v/>
      </c>
      <c r="Q653" s="82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79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0">
        <f>IF($G654="","",IFERROR(INDEX(設定!$D$6:$D$18,MATCH($G654,設定!$B$6:$B$18,0)),""))</f>
        <v/>
      </c>
      <c r="I654" s="80">
        <f>IF($G654="","",IFERROR(INDEX(設定!$E$6:$E$18,MATCH($G654,設定!$B$6:$B$18,0)),""))</f>
        <v/>
      </c>
      <c r="J654" s="80">
        <f>IFERROR(INDEX(打卡匯入!$C$3:$C$2002,MATCH($C654&amp;"|"&amp;DAY($A654),打卡匯入!$E$3:$E$2002,0)),"")</f>
        <v/>
      </c>
      <c r="K654" s="80">
        <f>IFERROR(INDEX(打卡匯入!$D$3:$D$2002,MATCH($C654&amp;"|"&amp;DAY($A654),打卡匯入!$E$3:$E$2002,0)),"")</f>
        <v/>
      </c>
      <c r="L654" s="81">
        <f>IF(OR($J654="",$K654=""),"",IFERROR(INDEX(設定!$F$6:$F$18,MATCH($G654,設定!$B$6:$B$18,0)),0))</f>
        <v/>
      </c>
      <c r="M654" s="82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1">
        <f>IF(OR($C654="",$H654="",$J654=""),0,IF(ROUND(($J654-$H654)*1440,0)&gt;設定!$C$42,ROUND(($J654-$H654)*1440,0),0))</f>
        <v/>
      </c>
      <c r="P654" s="81">
        <f>IF(OR($C654="",$I654="",$K654=""),0,IF(ROUND(($I654-$K654)*1440,0)&gt;設定!$C$42,ROUND(($I654-$K654)*1440,0),0))</f>
        <v/>
      </c>
      <c r="Q654" s="82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79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0">
        <f>IF($G655="","",IFERROR(INDEX(設定!$D$6:$D$18,MATCH($G655,設定!$B$6:$B$18,0)),""))</f>
        <v/>
      </c>
      <c r="I655" s="80">
        <f>IF($G655="","",IFERROR(INDEX(設定!$E$6:$E$18,MATCH($G655,設定!$B$6:$B$18,0)),""))</f>
        <v/>
      </c>
      <c r="J655" s="80">
        <f>IFERROR(INDEX(打卡匯入!$C$3:$C$2002,MATCH($C655&amp;"|"&amp;DAY($A655),打卡匯入!$E$3:$E$2002,0)),"")</f>
        <v/>
      </c>
      <c r="K655" s="80">
        <f>IFERROR(INDEX(打卡匯入!$D$3:$D$2002,MATCH($C655&amp;"|"&amp;DAY($A655),打卡匯入!$E$3:$E$2002,0)),"")</f>
        <v/>
      </c>
      <c r="L655" s="81">
        <f>IF(OR($J655="",$K655=""),"",IFERROR(INDEX(設定!$F$6:$F$18,MATCH($G655,設定!$B$6:$B$18,0)),0))</f>
        <v/>
      </c>
      <c r="M655" s="82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1">
        <f>IF(OR($C655="",$H655="",$J655=""),0,IF(ROUND(($J655-$H655)*1440,0)&gt;設定!$C$42,ROUND(($J655-$H655)*1440,0),0))</f>
        <v/>
      </c>
      <c r="P655" s="81">
        <f>IF(OR($C655="",$I655="",$K655=""),0,IF(ROUND(($I655-$K655)*1440,0)&gt;設定!$C$42,ROUND(($I655-$K655)*1440,0),0))</f>
        <v/>
      </c>
      <c r="Q655" s="82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79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0">
        <f>IF($G656="","",IFERROR(INDEX(設定!$D$6:$D$18,MATCH($G656,設定!$B$6:$B$18,0)),""))</f>
        <v/>
      </c>
      <c r="I656" s="80">
        <f>IF($G656="","",IFERROR(INDEX(設定!$E$6:$E$18,MATCH($G656,設定!$B$6:$B$18,0)),""))</f>
        <v/>
      </c>
      <c r="J656" s="80">
        <f>IFERROR(INDEX(打卡匯入!$C$3:$C$2002,MATCH($C656&amp;"|"&amp;DAY($A656),打卡匯入!$E$3:$E$2002,0)),"")</f>
        <v/>
      </c>
      <c r="K656" s="80">
        <f>IFERROR(INDEX(打卡匯入!$D$3:$D$2002,MATCH($C656&amp;"|"&amp;DAY($A656),打卡匯入!$E$3:$E$2002,0)),"")</f>
        <v/>
      </c>
      <c r="L656" s="81">
        <f>IF(OR($J656="",$K656=""),"",IFERROR(INDEX(設定!$F$6:$F$18,MATCH($G656,設定!$B$6:$B$18,0)),0))</f>
        <v/>
      </c>
      <c r="M656" s="82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1">
        <f>IF(OR($C656="",$H656="",$J656=""),0,IF(ROUND(($J656-$H656)*1440,0)&gt;設定!$C$42,ROUND(($J656-$H656)*1440,0),0))</f>
        <v/>
      </c>
      <c r="P656" s="81">
        <f>IF(OR($C656="",$I656="",$K656=""),0,IF(ROUND(($I656-$K656)*1440,0)&gt;設定!$C$42,ROUND(($I656-$K656)*1440,0),0))</f>
        <v/>
      </c>
      <c r="Q656" s="82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79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0">
        <f>IF($G657="","",IFERROR(INDEX(設定!$D$6:$D$18,MATCH($G657,設定!$B$6:$B$18,0)),""))</f>
        <v/>
      </c>
      <c r="I657" s="80">
        <f>IF($G657="","",IFERROR(INDEX(設定!$E$6:$E$18,MATCH($G657,設定!$B$6:$B$18,0)),""))</f>
        <v/>
      </c>
      <c r="J657" s="80">
        <f>IFERROR(INDEX(打卡匯入!$C$3:$C$2002,MATCH($C657&amp;"|"&amp;DAY($A657),打卡匯入!$E$3:$E$2002,0)),"")</f>
        <v/>
      </c>
      <c r="K657" s="80">
        <f>IFERROR(INDEX(打卡匯入!$D$3:$D$2002,MATCH($C657&amp;"|"&amp;DAY($A657),打卡匯入!$E$3:$E$2002,0)),"")</f>
        <v/>
      </c>
      <c r="L657" s="81">
        <f>IF(OR($J657="",$K657=""),"",IFERROR(INDEX(設定!$F$6:$F$18,MATCH($G657,設定!$B$6:$B$18,0)),0))</f>
        <v/>
      </c>
      <c r="M657" s="82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1">
        <f>IF(OR($C657="",$H657="",$J657=""),0,IF(ROUND(($J657-$H657)*1440,0)&gt;設定!$C$42,ROUND(($J657-$H657)*1440,0),0))</f>
        <v/>
      </c>
      <c r="P657" s="81">
        <f>IF(OR($C657="",$I657="",$K657=""),0,IF(ROUND(($I657-$K657)*1440,0)&gt;設定!$C$42,ROUND(($I657-$K657)*1440,0),0))</f>
        <v/>
      </c>
      <c r="Q657" s="82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79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0">
        <f>IF($G658="","",IFERROR(INDEX(設定!$D$6:$D$18,MATCH($G658,設定!$B$6:$B$18,0)),""))</f>
        <v/>
      </c>
      <c r="I658" s="80">
        <f>IF($G658="","",IFERROR(INDEX(設定!$E$6:$E$18,MATCH($G658,設定!$B$6:$B$18,0)),""))</f>
        <v/>
      </c>
      <c r="J658" s="80">
        <f>IFERROR(INDEX(打卡匯入!$C$3:$C$2002,MATCH($C658&amp;"|"&amp;DAY($A658),打卡匯入!$E$3:$E$2002,0)),"")</f>
        <v/>
      </c>
      <c r="K658" s="80">
        <f>IFERROR(INDEX(打卡匯入!$D$3:$D$2002,MATCH($C658&amp;"|"&amp;DAY($A658),打卡匯入!$E$3:$E$2002,0)),"")</f>
        <v/>
      </c>
      <c r="L658" s="81">
        <f>IF(OR($J658="",$K658=""),"",IFERROR(INDEX(設定!$F$6:$F$18,MATCH($G658,設定!$B$6:$B$18,0)),0))</f>
        <v/>
      </c>
      <c r="M658" s="82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1">
        <f>IF(OR($C658="",$H658="",$J658=""),0,IF(ROUND(($J658-$H658)*1440,0)&gt;設定!$C$42,ROUND(($J658-$H658)*1440,0),0))</f>
        <v/>
      </c>
      <c r="P658" s="81">
        <f>IF(OR($C658="",$I658="",$K658=""),0,IF(ROUND(($I658-$K658)*1440,0)&gt;設定!$C$42,ROUND(($I658-$K658)*1440,0),0))</f>
        <v/>
      </c>
      <c r="Q658" s="82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79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0">
        <f>IF($G659="","",IFERROR(INDEX(設定!$D$6:$D$18,MATCH($G659,設定!$B$6:$B$18,0)),""))</f>
        <v/>
      </c>
      <c r="I659" s="80">
        <f>IF($G659="","",IFERROR(INDEX(設定!$E$6:$E$18,MATCH($G659,設定!$B$6:$B$18,0)),""))</f>
        <v/>
      </c>
      <c r="J659" s="80">
        <f>IFERROR(INDEX(打卡匯入!$C$3:$C$2002,MATCH($C659&amp;"|"&amp;DAY($A659),打卡匯入!$E$3:$E$2002,0)),"")</f>
        <v/>
      </c>
      <c r="K659" s="80">
        <f>IFERROR(INDEX(打卡匯入!$D$3:$D$2002,MATCH($C659&amp;"|"&amp;DAY($A659),打卡匯入!$E$3:$E$2002,0)),"")</f>
        <v/>
      </c>
      <c r="L659" s="81">
        <f>IF(OR($J659="",$K659=""),"",IFERROR(INDEX(設定!$F$6:$F$18,MATCH($G659,設定!$B$6:$B$18,0)),0))</f>
        <v/>
      </c>
      <c r="M659" s="82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1">
        <f>IF(OR($C659="",$H659="",$J659=""),0,IF(ROUND(($J659-$H659)*1440,0)&gt;設定!$C$42,ROUND(($J659-$H659)*1440,0),0))</f>
        <v/>
      </c>
      <c r="P659" s="81">
        <f>IF(OR($C659="",$I659="",$K659=""),0,IF(ROUND(($I659-$K659)*1440,0)&gt;設定!$C$42,ROUND(($I659-$K659)*1440,0),0))</f>
        <v/>
      </c>
      <c r="Q659" s="82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79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0">
        <f>IF($G660="","",IFERROR(INDEX(設定!$D$6:$D$18,MATCH($G660,設定!$B$6:$B$18,0)),""))</f>
        <v/>
      </c>
      <c r="I660" s="80">
        <f>IF($G660="","",IFERROR(INDEX(設定!$E$6:$E$18,MATCH($G660,設定!$B$6:$B$18,0)),""))</f>
        <v/>
      </c>
      <c r="J660" s="80">
        <f>IFERROR(INDEX(打卡匯入!$C$3:$C$2002,MATCH($C660&amp;"|"&amp;DAY($A660),打卡匯入!$E$3:$E$2002,0)),"")</f>
        <v/>
      </c>
      <c r="K660" s="80">
        <f>IFERROR(INDEX(打卡匯入!$D$3:$D$2002,MATCH($C660&amp;"|"&amp;DAY($A660),打卡匯入!$E$3:$E$2002,0)),"")</f>
        <v/>
      </c>
      <c r="L660" s="81">
        <f>IF(OR($J660="",$K660=""),"",IFERROR(INDEX(設定!$F$6:$F$18,MATCH($G660,設定!$B$6:$B$18,0)),0))</f>
        <v/>
      </c>
      <c r="M660" s="82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1">
        <f>IF(OR($C660="",$H660="",$J660=""),0,IF(ROUND(($J660-$H660)*1440,0)&gt;設定!$C$42,ROUND(($J660-$H660)*1440,0),0))</f>
        <v/>
      </c>
      <c r="P660" s="81">
        <f>IF(OR($C660="",$I660="",$K660=""),0,IF(ROUND(($I660-$K660)*1440,0)&gt;設定!$C$42,ROUND(($I660-$K660)*1440,0),0))</f>
        <v/>
      </c>
      <c r="Q660" s="82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79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0">
        <f>IF($G661="","",IFERROR(INDEX(設定!$D$6:$D$18,MATCH($G661,設定!$B$6:$B$18,0)),""))</f>
        <v/>
      </c>
      <c r="I661" s="80">
        <f>IF($G661="","",IFERROR(INDEX(設定!$E$6:$E$18,MATCH($G661,設定!$B$6:$B$18,0)),""))</f>
        <v/>
      </c>
      <c r="J661" s="80">
        <f>IFERROR(INDEX(打卡匯入!$C$3:$C$2002,MATCH($C661&amp;"|"&amp;DAY($A661),打卡匯入!$E$3:$E$2002,0)),"")</f>
        <v/>
      </c>
      <c r="K661" s="80">
        <f>IFERROR(INDEX(打卡匯入!$D$3:$D$2002,MATCH($C661&amp;"|"&amp;DAY($A661),打卡匯入!$E$3:$E$2002,0)),"")</f>
        <v/>
      </c>
      <c r="L661" s="81">
        <f>IF(OR($J661="",$K661=""),"",IFERROR(INDEX(設定!$F$6:$F$18,MATCH($G661,設定!$B$6:$B$18,0)),0))</f>
        <v/>
      </c>
      <c r="M661" s="82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1">
        <f>IF(OR($C661="",$H661="",$J661=""),0,IF(ROUND(($J661-$H661)*1440,0)&gt;設定!$C$42,ROUND(($J661-$H661)*1440,0),0))</f>
        <v/>
      </c>
      <c r="P661" s="81">
        <f>IF(OR($C661="",$I661="",$K661=""),0,IF(ROUND(($I661-$K661)*1440,0)&gt;設定!$C$42,ROUND(($I661-$K661)*1440,0),0))</f>
        <v/>
      </c>
      <c r="Q661" s="82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79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0">
        <f>IF($G662="","",IFERROR(INDEX(設定!$D$6:$D$18,MATCH($G662,設定!$B$6:$B$18,0)),""))</f>
        <v/>
      </c>
      <c r="I662" s="80">
        <f>IF($G662="","",IFERROR(INDEX(設定!$E$6:$E$18,MATCH($G662,設定!$B$6:$B$18,0)),""))</f>
        <v/>
      </c>
      <c r="J662" s="80">
        <f>IFERROR(INDEX(打卡匯入!$C$3:$C$2002,MATCH($C662&amp;"|"&amp;DAY($A662),打卡匯入!$E$3:$E$2002,0)),"")</f>
        <v/>
      </c>
      <c r="K662" s="80">
        <f>IFERROR(INDEX(打卡匯入!$D$3:$D$2002,MATCH($C662&amp;"|"&amp;DAY($A662),打卡匯入!$E$3:$E$2002,0)),"")</f>
        <v/>
      </c>
      <c r="L662" s="81">
        <f>IF(OR($J662="",$K662=""),"",IFERROR(INDEX(設定!$F$6:$F$18,MATCH($G662,設定!$B$6:$B$18,0)),0))</f>
        <v/>
      </c>
      <c r="M662" s="82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1">
        <f>IF(OR($C662="",$H662="",$J662=""),0,IF(ROUND(($J662-$H662)*1440,0)&gt;設定!$C$42,ROUND(($J662-$H662)*1440,0),0))</f>
        <v/>
      </c>
      <c r="P662" s="81">
        <f>IF(OR($C662="",$I662="",$K662=""),0,IF(ROUND(($I662-$K662)*1440,0)&gt;設定!$C$42,ROUND(($I662-$K662)*1440,0),0))</f>
        <v/>
      </c>
      <c r="Q662" s="82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79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0">
        <f>IF($G663="","",IFERROR(INDEX(設定!$D$6:$D$18,MATCH($G663,設定!$B$6:$B$18,0)),""))</f>
        <v/>
      </c>
      <c r="I663" s="80">
        <f>IF($G663="","",IFERROR(INDEX(設定!$E$6:$E$18,MATCH($G663,設定!$B$6:$B$18,0)),""))</f>
        <v/>
      </c>
      <c r="J663" s="80">
        <f>IFERROR(INDEX(打卡匯入!$C$3:$C$2002,MATCH($C663&amp;"|"&amp;DAY($A663),打卡匯入!$E$3:$E$2002,0)),"")</f>
        <v/>
      </c>
      <c r="K663" s="80">
        <f>IFERROR(INDEX(打卡匯入!$D$3:$D$2002,MATCH($C663&amp;"|"&amp;DAY($A663),打卡匯入!$E$3:$E$2002,0)),"")</f>
        <v/>
      </c>
      <c r="L663" s="81">
        <f>IF(OR($J663="",$K663=""),"",IFERROR(INDEX(設定!$F$6:$F$18,MATCH($G663,設定!$B$6:$B$18,0)),0))</f>
        <v/>
      </c>
      <c r="M663" s="82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1">
        <f>IF(OR($C663="",$H663="",$J663=""),0,IF(ROUND(($J663-$H663)*1440,0)&gt;設定!$C$42,ROUND(($J663-$H663)*1440,0),0))</f>
        <v/>
      </c>
      <c r="P663" s="81">
        <f>IF(OR($C663="",$I663="",$K663=""),0,IF(ROUND(($I663-$K663)*1440,0)&gt;設定!$C$42,ROUND(($I663-$K663)*1440,0),0))</f>
        <v/>
      </c>
      <c r="Q663" s="82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79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0">
        <f>IF($G664="","",IFERROR(INDEX(設定!$D$6:$D$18,MATCH($G664,設定!$B$6:$B$18,0)),""))</f>
        <v/>
      </c>
      <c r="I664" s="80">
        <f>IF($G664="","",IFERROR(INDEX(設定!$E$6:$E$18,MATCH($G664,設定!$B$6:$B$18,0)),""))</f>
        <v/>
      </c>
      <c r="J664" s="80">
        <f>IFERROR(INDEX(打卡匯入!$C$3:$C$2002,MATCH($C664&amp;"|"&amp;DAY($A664),打卡匯入!$E$3:$E$2002,0)),"")</f>
        <v/>
      </c>
      <c r="K664" s="80">
        <f>IFERROR(INDEX(打卡匯入!$D$3:$D$2002,MATCH($C664&amp;"|"&amp;DAY($A664),打卡匯入!$E$3:$E$2002,0)),"")</f>
        <v/>
      </c>
      <c r="L664" s="81">
        <f>IF(OR($J664="",$K664=""),"",IFERROR(INDEX(設定!$F$6:$F$18,MATCH($G664,設定!$B$6:$B$18,0)),0))</f>
        <v/>
      </c>
      <c r="M664" s="82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1">
        <f>IF(OR($C664="",$H664="",$J664=""),0,IF(ROUND(($J664-$H664)*1440,0)&gt;設定!$C$42,ROUND(($J664-$H664)*1440,0),0))</f>
        <v/>
      </c>
      <c r="P664" s="81">
        <f>IF(OR($C664="",$I664="",$K664=""),0,IF(ROUND(($I664-$K664)*1440,0)&gt;設定!$C$42,ROUND(($I664-$K664)*1440,0),0))</f>
        <v/>
      </c>
      <c r="Q664" s="82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79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0">
        <f>IF($G665="","",IFERROR(INDEX(設定!$D$6:$D$18,MATCH($G665,設定!$B$6:$B$18,0)),""))</f>
        <v/>
      </c>
      <c r="I665" s="80">
        <f>IF($G665="","",IFERROR(INDEX(設定!$E$6:$E$18,MATCH($G665,設定!$B$6:$B$18,0)),""))</f>
        <v/>
      </c>
      <c r="J665" s="80">
        <f>IFERROR(INDEX(打卡匯入!$C$3:$C$2002,MATCH($C665&amp;"|"&amp;DAY($A665),打卡匯入!$E$3:$E$2002,0)),"")</f>
        <v/>
      </c>
      <c r="K665" s="80">
        <f>IFERROR(INDEX(打卡匯入!$D$3:$D$2002,MATCH($C665&amp;"|"&amp;DAY($A665),打卡匯入!$E$3:$E$2002,0)),"")</f>
        <v/>
      </c>
      <c r="L665" s="81">
        <f>IF(OR($J665="",$K665=""),"",IFERROR(INDEX(設定!$F$6:$F$18,MATCH($G665,設定!$B$6:$B$18,0)),0))</f>
        <v/>
      </c>
      <c r="M665" s="82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1">
        <f>IF(OR($C665="",$H665="",$J665=""),0,IF(ROUND(($J665-$H665)*1440,0)&gt;設定!$C$42,ROUND(($J665-$H665)*1440,0),0))</f>
        <v/>
      </c>
      <c r="P665" s="81">
        <f>IF(OR($C665="",$I665="",$K665=""),0,IF(ROUND(($I665-$K665)*1440,0)&gt;設定!$C$42,ROUND(($I665-$K665)*1440,0),0))</f>
        <v/>
      </c>
      <c r="Q665" s="82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79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0">
        <f>IF($G666="","",IFERROR(INDEX(設定!$D$6:$D$18,MATCH($G666,設定!$B$6:$B$18,0)),""))</f>
        <v/>
      </c>
      <c r="I666" s="80">
        <f>IF($G666="","",IFERROR(INDEX(設定!$E$6:$E$18,MATCH($G666,設定!$B$6:$B$18,0)),""))</f>
        <v/>
      </c>
      <c r="J666" s="80">
        <f>IFERROR(INDEX(打卡匯入!$C$3:$C$2002,MATCH($C666&amp;"|"&amp;DAY($A666),打卡匯入!$E$3:$E$2002,0)),"")</f>
        <v/>
      </c>
      <c r="K666" s="80">
        <f>IFERROR(INDEX(打卡匯入!$D$3:$D$2002,MATCH($C666&amp;"|"&amp;DAY($A666),打卡匯入!$E$3:$E$2002,0)),"")</f>
        <v/>
      </c>
      <c r="L666" s="81">
        <f>IF(OR($J666="",$K666=""),"",IFERROR(INDEX(設定!$F$6:$F$18,MATCH($G666,設定!$B$6:$B$18,0)),0))</f>
        <v/>
      </c>
      <c r="M666" s="82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1">
        <f>IF(OR($C666="",$H666="",$J666=""),0,IF(ROUND(($J666-$H666)*1440,0)&gt;設定!$C$42,ROUND(($J666-$H666)*1440,0),0))</f>
        <v/>
      </c>
      <c r="P666" s="81">
        <f>IF(OR($C666="",$I666="",$K666=""),0,IF(ROUND(($I666-$K666)*1440,0)&gt;設定!$C$42,ROUND(($I666-$K666)*1440,0),0))</f>
        <v/>
      </c>
      <c r="Q666" s="82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79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0">
        <f>IF($G667="","",IFERROR(INDEX(設定!$D$6:$D$18,MATCH($G667,設定!$B$6:$B$18,0)),""))</f>
        <v/>
      </c>
      <c r="I667" s="80">
        <f>IF($G667="","",IFERROR(INDEX(設定!$E$6:$E$18,MATCH($G667,設定!$B$6:$B$18,0)),""))</f>
        <v/>
      </c>
      <c r="J667" s="80">
        <f>IFERROR(INDEX(打卡匯入!$C$3:$C$2002,MATCH($C667&amp;"|"&amp;DAY($A667),打卡匯入!$E$3:$E$2002,0)),"")</f>
        <v/>
      </c>
      <c r="K667" s="80">
        <f>IFERROR(INDEX(打卡匯入!$D$3:$D$2002,MATCH($C667&amp;"|"&amp;DAY($A667),打卡匯入!$E$3:$E$2002,0)),"")</f>
        <v/>
      </c>
      <c r="L667" s="81">
        <f>IF(OR($J667="",$K667=""),"",IFERROR(INDEX(設定!$F$6:$F$18,MATCH($G667,設定!$B$6:$B$18,0)),0))</f>
        <v/>
      </c>
      <c r="M667" s="82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1">
        <f>IF(OR($C667="",$H667="",$J667=""),0,IF(ROUND(($J667-$H667)*1440,0)&gt;設定!$C$42,ROUND(($J667-$H667)*1440,0),0))</f>
        <v/>
      </c>
      <c r="P667" s="81">
        <f>IF(OR($C667="",$I667="",$K667=""),0,IF(ROUND(($I667-$K667)*1440,0)&gt;設定!$C$42,ROUND(($I667-$K667)*1440,0),0))</f>
        <v/>
      </c>
      <c r="Q667" s="82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79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0">
        <f>IF($G668="","",IFERROR(INDEX(設定!$D$6:$D$18,MATCH($G668,設定!$B$6:$B$18,0)),""))</f>
        <v/>
      </c>
      <c r="I668" s="80">
        <f>IF($G668="","",IFERROR(INDEX(設定!$E$6:$E$18,MATCH($G668,設定!$B$6:$B$18,0)),""))</f>
        <v/>
      </c>
      <c r="J668" s="80">
        <f>IFERROR(INDEX(打卡匯入!$C$3:$C$2002,MATCH($C668&amp;"|"&amp;DAY($A668),打卡匯入!$E$3:$E$2002,0)),"")</f>
        <v/>
      </c>
      <c r="K668" s="80">
        <f>IFERROR(INDEX(打卡匯入!$D$3:$D$2002,MATCH($C668&amp;"|"&amp;DAY($A668),打卡匯入!$E$3:$E$2002,0)),"")</f>
        <v/>
      </c>
      <c r="L668" s="81">
        <f>IF(OR($J668="",$K668=""),"",IFERROR(INDEX(設定!$F$6:$F$18,MATCH($G668,設定!$B$6:$B$18,0)),0))</f>
        <v/>
      </c>
      <c r="M668" s="82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1">
        <f>IF(OR($C668="",$H668="",$J668=""),0,IF(ROUND(($J668-$H668)*1440,0)&gt;設定!$C$42,ROUND(($J668-$H668)*1440,0),0))</f>
        <v/>
      </c>
      <c r="P668" s="81">
        <f>IF(OR($C668="",$I668="",$K668=""),0,IF(ROUND(($I668-$K668)*1440,0)&gt;設定!$C$42,ROUND(($I668-$K668)*1440,0),0))</f>
        <v/>
      </c>
      <c r="Q668" s="82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79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0">
        <f>IF($G669="","",IFERROR(INDEX(設定!$D$6:$D$18,MATCH($G669,設定!$B$6:$B$18,0)),""))</f>
        <v/>
      </c>
      <c r="I669" s="80">
        <f>IF($G669="","",IFERROR(INDEX(設定!$E$6:$E$18,MATCH($G669,設定!$B$6:$B$18,0)),""))</f>
        <v/>
      </c>
      <c r="J669" s="80">
        <f>IFERROR(INDEX(打卡匯入!$C$3:$C$2002,MATCH($C669&amp;"|"&amp;DAY($A669),打卡匯入!$E$3:$E$2002,0)),"")</f>
        <v/>
      </c>
      <c r="K669" s="80">
        <f>IFERROR(INDEX(打卡匯入!$D$3:$D$2002,MATCH($C669&amp;"|"&amp;DAY($A669),打卡匯入!$E$3:$E$2002,0)),"")</f>
        <v/>
      </c>
      <c r="L669" s="81">
        <f>IF(OR($J669="",$K669=""),"",IFERROR(INDEX(設定!$F$6:$F$18,MATCH($G669,設定!$B$6:$B$18,0)),0))</f>
        <v/>
      </c>
      <c r="M669" s="82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1">
        <f>IF(OR($C669="",$H669="",$J669=""),0,IF(ROUND(($J669-$H669)*1440,0)&gt;設定!$C$42,ROUND(($J669-$H669)*1440,0),0))</f>
        <v/>
      </c>
      <c r="P669" s="81">
        <f>IF(OR($C669="",$I669="",$K669=""),0,IF(ROUND(($I669-$K669)*1440,0)&gt;設定!$C$42,ROUND(($I669-$K669)*1440,0),0))</f>
        <v/>
      </c>
      <c r="Q669" s="82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79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0">
        <f>IF($G670="","",IFERROR(INDEX(設定!$D$6:$D$18,MATCH($G670,設定!$B$6:$B$18,0)),""))</f>
        <v/>
      </c>
      <c r="I670" s="80">
        <f>IF($G670="","",IFERROR(INDEX(設定!$E$6:$E$18,MATCH($G670,設定!$B$6:$B$18,0)),""))</f>
        <v/>
      </c>
      <c r="J670" s="80">
        <f>IFERROR(INDEX(打卡匯入!$C$3:$C$2002,MATCH($C670&amp;"|"&amp;DAY($A670),打卡匯入!$E$3:$E$2002,0)),"")</f>
        <v/>
      </c>
      <c r="K670" s="80">
        <f>IFERROR(INDEX(打卡匯入!$D$3:$D$2002,MATCH($C670&amp;"|"&amp;DAY($A670),打卡匯入!$E$3:$E$2002,0)),"")</f>
        <v/>
      </c>
      <c r="L670" s="81">
        <f>IF(OR($J670="",$K670=""),"",IFERROR(INDEX(設定!$F$6:$F$18,MATCH($G670,設定!$B$6:$B$18,0)),0))</f>
        <v/>
      </c>
      <c r="M670" s="82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1">
        <f>IF(OR($C670="",$H670="",$J670=""),0,IF(ROUND(($J670-$H670)*1440,0)&gt;設定!$C$42,ROUND(($J670-$H670)*1440,0),0))</f>
        <v/>
      </c>
      <c r="P670" s="81">
        <f>IF(OR($C670="",$I670="",$K670=""),0,IF(ROUND(($I670-$K670)*1440,0)&gt;設定!$C$42,ROUND(($I670-$K670)*1440,0),0))</f>
        <v/>
      </c>
      <c r="Q670" s="82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79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0">
        <f>IF($G671="","",IFERROR(INDEX(設定!$D$6:$D$18,MATCH($G671,設定!$B$6:$B$18,0)),""))</f>
        <v/>
      </c>
      <c r="I671" s="80">
        <f>IF($G671="","",IFERROR(INDEX(設定!$E$6:$E$18,MATCH($G671,設定!$B$6:$B$18,0)),""))</f>
        <v/>
      </c>
      <c r="J671" s="80">
        <f>IFERROR(INDEX(打卡匯入!$C$3:$C$2002,MATCH($C671&amp;"|"&amp;DAY($A671),打卡匯入!$E$3:$E$2002,0)),"")</f>
        <v/>
      </c>
      <c r="K671" s="80">
        <f>IFERROR(INDEX(打卡匯入!$D$3:$D$2002,MATCH($C671&amp;"|"&amp;DAY($A671),打卡匯入!$E$3:$E$2002,0)),"")</f>
        <v/>
      </c>
      <c r="L671" s="81">
        <f>IF(OR($J671="",$K671=""),"",IFERROR(INDEX(設定!$F$6:$F$18,MATCH($G671,設定!$B$6:$B$18,0)),0))</f>
        <v/>
      </c>
      <c r="M671" s="82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1">
        <f>IF(OR($C671="",$H671="",$J671=""),0,IF(ROUND(($J671-$H671)*1440,0)&gt;設定!$C$42,ROUND(($J671-$H671)*1440,0),0))</f>
        <v/>
      </c>
      <c r="P671" s="81">
        <f>IF(OR($C671="",$I671="",$K671=""),0,IF(ROUND(($I671-$K671)*1440,0)&gt;設定!$C$42,ROUND(($I671-$K671)*1440,0),0))</f>
        <v/>
      </c>
      <c r="Q671" s="82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79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0">
        <f>IF($G672="","",IFERROR(INDEX(設定!$D$6:$D$18,MATCH($G672,設定!$B$6:$B$18,0)),""))</f>
        <v/>
      </c>
      <c r="I672" s="80">
        <f>IF($G672="","",IFERROR(INDEX(設定!$E$6:$E$18,MATCH($G672,設定!$B$6:$B$18,0)),""))</f>
        <v/>
      </c>
      <c r="J672" s="80">
        <f>IFERROR(INDEX(打卡匯入!$C$3:$C$2002,MATCH($C672&amp;"|"&amp;DAY($A672),打卡匯入!$E$3:$E$2002,0)),"")</f>
        <v/>
      </c>
      <c r="K672" s="80">
        <f>IFERROR(INDEX(打卡匯入!$D$3:$D$2002,MATCH($C672&amp;"|"&amp;DAY($A672),打卡匯入!$E$3:$E$2002,0)),"")</f>
        <v/>
      </c>
      <c r="L672" s="81">
        <f>IF(OR($J672="",$K672=""),"",IFERROR(INDEX(設定!$F$6:$F$18,MATCH($G672,設定!$B$6:$B$18,0)),0))</f>
        <v/>
      </c>
      <c r="M672" s="82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1">
        <f>IF(OR($C672="",$H672="",$J672=""),0,IF(ROUND(($J672-$H672)*1440,0)&gt;設定!$C$42,ROUND(($J672-$H672)*1440,0),0))</f>
        <v/>
      </c>
      <c r="P672" s="81">
        <f>IF(OR($C672="",$I672="",$K672=""),0,IF(ROUND(($I672-$K672)*1440,0)&gt;設定!$C$42,ROUND(($I672-$K672)*1440,0),0))</f>
        <v/>
      </c>
      <c r="Q672" s="82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79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0">
        <f>IF($G673="","",IFERROR(INDEX(設定!$D$6:$D$18,MATCH($G673,設定!$B$6:$B$18,0)),""))</f>
        <v/>
      </c>
      <c r="I673" s="80">
        <f>IF($G673="","",IFERROR(INDEX(設定!$E$6:$E$18,MATCH($G673,設定!$B$6:$B$18,0)),""))</f>
        <v/>
      </c>
      <c r="J673" s="80">
        <f>IFERROR(INDEX(打卡匯入!$C$3:$C$2002,MATCH($C673&amp;"|"&amp;DAY($A673),打卡匯入!$E$3:$E$2002,0)),"")</f>
        <v/>
      </c>
      <c r="K673" s="80">
        <f>IFERROR(INDEX(打卡匯入!$D$3:$D$2002,MATCH($C673&amp;"|"&amp;DAY($A673),打卡匯入!$E$3:$E$2002,0)),"")</f>
        <v/>
      </c>
      <c r="L673" s="81">
        <f>IF(OR($J673="",$K673=""),"",IFERROR(INDEX(設定!$F$6:$F$18,MATCH($G673,設定!$B$6:$B$18,0)),0))</f>
        <v/>
      </c>
      <c r="M673" s="82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1">
        <f>IF(OR($C673="",$H673="",$J673=""),0,IF(ROUND(($J673-$H673)*1440,0)&gt;設定!$C$42,ROUND(($J673-$H673)*1440,0),0))</f>
        <v/>
      </c>
      <c r="P673" s="81">
        <f>IF(OR($C673="",$I673="",$K673=""),0,IF(ROUND(($I673-$K673)*1440,0)&gt;設定!$C$42,ROUND(($I673-$K673)*1440,0),0))</f>
        <v/>
      </c>
      <c r="Q673" s="82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79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0">
        <f>IF($G674="","",IFERROR(INDEX(設定!$D$6:$D$18,MATCH($G674,設定!$B$6:$B$18,0)),""))</f>
        <v/>
      </c>
      <c r="I674" s="80">
        <f>IF($G674="","",IFERROR(INDEX(設定!$E$6:$E$18,MATCH($G674,設定!$B$6:$B$18,0)),""))</f>
        <v/>
      </c>
      <c r="J674" s="80">
        <f>IFERROR(INDEX(打卡匯入!$C$3:$C$2002,MATCH($C674&amp;"|"&amp;DAY($A674),打卡匯入!$E$3:$E$2002,0)),"")</f>
        <v/>
      </c>
      <c r="K674" s="80">
        <f>IFERROR(INDEX(打卡匯入!$D$3:$D$2002,MATCH($C674&amp;"|"&amp;DAY($A674),打卡匯入!$E$3:$E$2002,0)),"")</f>
        <v/>
      </c>
      <c r="L674" s="81">
        <f>IF(OR($J674="",$K674=""),"",IFERROR(INDEX(設定!$F$6:$F$18,MATCH($G674,設定!$B$6:$B$18,0)),0))</f>
        <v/>
      </c>
      <c r="M674" s="82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1">
        <f>IF(OR($C674="",$H674="",$J674=""),0,IF(ROUND(($J674-$H674)*1440,0)&gt;設定!$C$42,ROUND(($J674-$H674)*1440,0),0))</f>
        <v/>
      </c>
      <c r="P674" s="81">
        <f>IF(OR($C674="",$I674="",$K674=""),0,IF(ROUND(($I674-$K674)*1440,0)&gt;設定!$C$42,ROUND(($I674-$K674)*1440,0),0))</f>
        <v/>
      </c>
      <c r="Q674" s="82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79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0">
        <f>IF($G675="","",IFERROR(INDEX(設定!$D$6:$D$18,MATCH($G675,設定!$B$6:$B$18,0)),""))</f>
        <v/>
      </c>
      <c r="I675" s="80">
        <f>IF($G675="","",IFERROR(INDEX(設定!$E$6:$E$18,MATCH($G675,設定!$B$6:$B$18,0)),""))</f>
        <v/>
      </c>
      <c r="J675" s="80">
        <f>IFERROR(INDEX(打卡匯入!$C$3:$C$2002,MATCH($C675&amp;"|"&amp;DAY($A675),打卡匯入!$E$3:$E$2002,0)),"")</f>
        <v/>
      </c>
      <c r="K675" s="80">
        <f>IFERROR(INDEX(打卡匯入!$D$3:$D$2002,MATCH($C675&amp;"|"&amp;DAY($A675),打卡匯入!$E$3:$E$2002,0)),"")</f>
        <v/>
      </c>
      <c r="L675" s="81">
        <f>IF(OR($J675="",$K675=""),"",IFERROR(INDEX(設定!$F$6:$F$18,MATCH($G675,設定!$B$6:$B$18,0)),0))</f>
        <v/>
      </c>
      <c r="M675" s="82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1">
        <f>IF(OR($C675="",$H675="",$J675=""),0,IF(ROUND(($J675-$H675)*1440,0)&gt;設定!$C$42,ROUND(($J675-$H675)*1440,0),0))</f>
        <v/>
      </c>
      <c r="P675" s="81">
        <f>IF(OR($C675="",$I675="",$K675=""),0,IF(ROUND(($I675-$K675)*1440,0)&gt;設定!$C$42,ROUND(($I675-$K675)*1440,0),0))</f>
        <v/>
      </c>
      <c r="Q675" s="82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79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0">
        <f>IF($G676="","",IFERROR(INDEX(設定!$D$6:$D$18,MATCH($G676,設定!$B$6:$B$18,0)),""))</f>
        <v/>
      </c>
      <c r="I676" s="80">
        <f>IF($G676="","",IFERROR(INDEX(設定!$E$6:$E$18,MATCH($G676,設定!$B$6:$B$18,0)),""))</f>
        <v/>
      </c>
      <c r="J676" s="80">
        <f>IFERROR(INDEX(打卡匯入!$C$3:$C$2002,MATCH($C676&amp;"|"&amp;DAY($A676),打卡匯入!$E$3:$E$2002,0)),"")</f>
        <v/>
      </c>
      <c r="K676" s="80">
        <f>IFERROR(INDEX(打卡匯入!$D$3:$D$2002,MATCH($C676&amp;"|"&amp;DAY($A676),打卡匯入!$E$3:$E$2002,0)),"")</f>
        <v/>
      </c>
      <c r="L676" s="81">
        <f>IF(OR($J676="",$K676=""),"",IFERROR(INDEX(設定!$F$6:$F$18,MATCH($G676,設定!$B$6:$B$18,0)),0))</f>
        <v/>
      </c>
      <c r="M676" s="82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1">
        <f>IF(OR($C676="",$H676="",$J676=""),0,IF(ROUND(($J676-$H676)*1440,0)&gt;設定!$C$42,ROUND(($J676-$H676)*1440,0),0))</f>
        <v/>
      </c>
      <c r="P676" s="81">
        <f>IF(OR($C676="",$I676="",$K676=""),0,IF(ROUND(($I676-$K676)*1440,0)&gt;設定!$C$42,ROUND(($I676-$K676)*1440,0),0))</f>
        <v/>
      </c>
      <c r="Q676" s="82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79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0">
        <f>IF($G677="","",IFERROR(INDEX(設定!$D$6:$D$18,MATCH($G677,設定!$B$6:$B$18,0)),""))</f>
        <v/>
      </c>
      <c r="I677" s="80">
        <f>IF($G677="","",IFERROR(INDEX(設定!$E$6:$E$18,MATCH($G677,設定!$B$6:$B$18,0)),""))</f>
        <v/>
      </c>
      <c r="J677" s="80">
        <f>IFERROR(INDEX(打卡匯入!$C$3:$C$2002,MATCH($C677&amp;"|"&amp;DAY($A677),打卡匯入!$E$3:$E$2002,0)),"")</f>
        <v/>
      </c>
      <c r="K677" s="80">
        <f>IFERROR(INDEX(打卡匯入!$D$3:$D$2002,MATCH($C677&amp;"|"&amp;DAY($A677),打卡匯入!$E$3:$E$2002,0)),"")</f>
        <v/>
      </c>
      <c r="L677" s="81">
        <f>IF(OR($J677="",$K677=""),"",IFERROR(INDEX(設定!$F$6:$F$18,MATCH($G677,設定!$B$6:$B$18,0)),0))</f>
        <v/>
      </c>
      <c r="M677" s="82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1">
        <f>IF(OR($C677="",$H677="",$J677=""),0,IF(ROUND(($J677-$H677)*1440,0)&gt;設定!$C$42,ROUND(($J677-$H677)*1440,0),0))</f>
        <v/>
      </c>
      <c r="P677" s="81">
        <f>IF(OR($C677="",$I677="",$K677=""),0,IF(ROUND(($I677-$K677)*1440,0)&gt;設定!$C$42,ROUND(($I677-$K677)*1440,0),0))</f>
        <v/>
      </c>
      <c r="Q677" s="82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79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0">
        <f>IF($G678="","",IFERROR(INDEX(設定!$D$6:$D$18,MATCH($G678,設定!$B$6:$B$18,0)),""))</f>
        <v/>
      </c>
      <c r="I678" s="80">
        <f>IF($G678="","",IFERROR(INDEX(設定!$E$6:$E$18,MATCH($G678,設定!$B$6:$B$18,0)),""))</f>
        <v/>
      </c>
      <c r="J678" s="80">
        <f>IFERROR(INDEX(打卡匯入!$C$3:$C$2002,MATCH($C678&amp;"|"&amp;DAY($A678),打卡匯入!$E$3:$E$2002,0)),"")</f>
        <v/>
      </c>
      <c r="K678" s="80">
        <f>IFERROR(INDEX(打卡匯入!$D$3:$D$2002,MATCH($C678&amp;"|"&amp;DAY($A678),打卡匯入!$E$3:$E$2002,0)),"")</f>
        <v/>
      </c>
      <c r="L678" s="81">
        <f>IF(OR($J678="",$K678=""),"",IFERROR(INDEX(設定!$F$6:$F$18,MATCH($G678,設定!$B$6:$B$18,0)),0))</f>
        <v/>
      </c>
      <c r="M678" s="82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1">
        <f>IF(OR($C678="",$H678="",$J678=""),0,IF(ROUND(($J678-$H678)*1440,0)&gt;設定!$C$42,ROUND(($J678-$H678)*1440,0),0))</f>
        <v/>
      </c>
      <c r="P678" s="81">
        <f>IF(OR($C678="",$I678="",$K678=""),0,IF(ROUND(($I678-$K678)*1440,0)&gt;設定!$C$42,ROUND(($I678-$K678)*1440,0),0))</f>
        <v/>
      </c>
      <c r="Q678" s="82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79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0">
        <f>IF($G679="","",IFERROR(INDEX(設定!$D$6:$D$18,MATCH($G679,設定!$B$6:$B$18,0)),""))</f>
        <v/>
      </c>
      <c r="I679" s="80">
        <f>IF($G679="","",IFERROR(INDEX(設定!$E$6:$E$18,MATCH($G679,設定!$B$6:$B$18,0)),""))</f>
        <v/>
      </c>
      <c r="J679" s="80">
        <f>IFERROR(INDEX(打卡匯入!$C$3:$C$2002,MATCH($C679&amp;"|"&amp;DAY($A679),打卡匯入!$E$3:$E$2002,0)),"")</f>
        <v/>
      </c>
      <c r="K679" s="80">
        <f>IFERROR(INDEX(打卡匯入!$D$3:$D$2002,MATCH($C679&amp;"|"&amp;DAY($A679),打卡匯入!$E$3:$E$2002,0)),"")</f>
        <v/>
      </c>
      <c r="L679" s="81">
        <f>IF(OR($J679="",$K679=""),"",IFERROR(INDEX(設定!$F$6:$F$18,MATCH($G679,設定!$B$6:$B$18,0)),0))</f>
        <v/>
      </c>
      <c r="M679" s="82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1">
        <f>IF(OR($C679="",$H679="",$J679=""),0,IF(ROUND(($J679-$H679)*1440,0)&gt;設定!$C$42,ROUND(($J679-$H679)*1440,0),0))</f>
        <v/>
      </c>
      <c r="P679" s="81">
        <f>IF(OR($C679="",$I679="",$K679=""),0,IF(ROUND(($I679-$K679)*1440,0)&gt;設定!$C$42,ROUND(($I679-$K679)*1440,0),0))</f>
        <v/>
      </c>
      <c r="Q679" s="82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79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0">
        <f>IF($G680="","",IFERROR(INDEX(設定!$D$6:$D$18,MATCH($G680,設定!$B$6:$B$18,0)),""))</f>
        <v/>
      </c>
      <c r="I680" s="80">
        <f>IF($G680="","",IFERROR(INDEX(設定!$E$6:$E$18,MATCH($G680,設定!$B$6:$B$18,0)),""))</f>
        <v/>
      </c>
      <c r="J680" s="80">
        <f>IFERROR(INDEX(打卡匯入!$C$3:$C$2002,MATCH($C680&amp;"|"&amp;DAY($A680),打卡匯入!$E$3:$E$2002,0)),"")</f>
        <v/>
      </c>
      <c r="K680" s="80">
        <f>IFERROR(INDEX(打卡匯入!$D$3:$D$2002,MATCH($C680&amp;"|"&amp;DAY($A680),打卡匯入!$E$3:$E$2002,0)),"")</f>
        <v/>
      </c>
      <c r="L680" s="81">
        <f>IF(OR($J680="",$K680=""),"",IFERROR(INDEX(設定!$F$6:$F$18,MATCH($G680,設定!$B$6:$B$18,0)),0))</f>
        <v/>
      </c>
      <c r="M680" s="82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1">
        <f>IF(OR($C680="",$H680="",$J680=""),0,IF(ROUND(($J680-$H680)*1440,0)&gt;設定!$C$42,ROUND(($J680-$H680)*1440,0),0))</f>
        <v/>
      </c>
      <c r="P680" s="81">
        <f>IF(OR($C680="",$I680="",$K680=""),0,IF(ROUND(($I680-$K680)*1440,0)&gt;設定!$C$42,ROUND(($I680-$K680)*1440,0),0))</f>
        <v/>
      </c>
      <c r="Q680" s="82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79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0">
        <f>IF($G681="","",IFERROR(INDEX(設定!$D$6:$D$18,MATCH($G681,設定!$B$6:$B$18,0)),""))</f>
        <v/>
      </c>
      <c r="I681" s="80">
        <f>IF($G681="","",IFERROR(INDEX(設定!$E$6:$E$18,MATCH($G681,設定!$B$6:$B$18,0)),""))</f>
        <v/>
      </c>
      <c r="J681" s="80">
        <f>IFERROR(INDEX(打卡匯入!$C$3:$C$2002,MATCH($C681&amp;"|"&amp;DAY($A681),打卡匯入!$E$3:$E$2002,0)),"")</f>
        <v/>
      </c>
      <c r="K681" s="80">
        <f>IFERROR(INDEX(打卡匯入!$D$3:$D$2002,MATCH($C681&amp;"|"&amp;DAY($A681),打卡匯入!$E$3:$E$2002,0)),"")</f>
        <v/>
      </c>
      <c r="L681" s="81">
        <f>IF(OR($J681="",$K681=""),"",IFERROR(INDEX(設定!$F$6:$F$18,MATCH($G681,設定!$B$6:$B$18,0)),0))</f>
        <v/>
      </c>
      <c r="M681" s="82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1">
        <f>IF(OR($C681="",$H681="",$J681=""),0,IF(ROUND(($J681-$H681)*1440,0)&gt;設定!$C$42,ROUND(($J681-$H681)*1440,0),0))</f>
        <v/>
      </c>
      <c r="P681" s="81">
        <f>IF(OR($C681="",$I681="",$K681=""),0,IF(ROUND(($I681-$K681)*1440,0)&gt;設定!$C$42,ROUND(($I681-$K681)*1440,0),0))</f>
        <v/>
      </c>
      <c r="Q681" s="82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79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0">
        <f>IF($G682="","",IFERROR(INDEX(設定!$D$6:$D$18,MATCH($G682,設定!$B$6:$B$18,0)),""))</f>
        <v/>
      </c>
      <c r="I682" s="80">
        <f>IF($G682="","",IFERROR(INDEX(設定!$E$6:$E$18,MATCH($G682,設定!$B$6:$B$18,0)),""))</f>
        <v/>
      </c>
      <c r="J682" s="80">
        <f>IFERROR(INDEX(打卡匯入!$C$3:$C$2002,MATCH($C682&amp;"|"&amp;DAY($A682),打卡匯入!$E$3:$E$2002,0)),"")</f>
        <v/>
      </c>
      <c r="K682" s="80">
        <f>IFERROR(INDEX(打卡匯入!$D$3:$D$2002,MATCH($C682&amp;"|"&amp;DAY($A682),打卡匯入!$E$3:$E$2002,0)),"")</f>
        <v/>
      </c>
      <c r="L682" s="81">
        <f>IF(OR($J682="",$K682=""),"",IFERROR(INDEX(設定!$F$6:$F$18,MATCH($G682,設定!$B$6:$B$18,0)),0))</f>
        <v/>
      </c>
      <c r="M682" s="82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1">
        <f>IF(OR($C682="",$H682="",$J682=""),0,IF(ROUND(($J682-$H682)*1440,0)&gt;設定!$C$42,ROUND(($J682-$H682)*1440,0),0))</f>
        <v/>
      </c>
      <c r="P682" s="81">
        <f>IF(OR($C682="",$I682="",$K682=""),0,IF(ROUND(($I682-$K682)*1440,0)&gt;設定!$C$42,ROUND(($I682-$K682)*1440,0),0))</f>
        <v/>
      </c>
      <c r="Q682" s="82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79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0">
        <f>IF($G683="","",IFERROR(INDEX(設定!$D$6:$D$18,MATCH($G683,設定!$B$6:$B$18,0)),""))</f>
        <v/>
      </c>
      <c r="I683" s="80">
        <f>IF($G683="","",IFERROR(INDEX(設定!$E$6:$E$18,MATCH($G683,設定!$B$6:$B$18,0)),""))</f>
        <v/>
      </c>
      <c r="J683" s="80">
        <f>IFERROR(INDEX(打卡匯入!$C$3:$C$2002,MATCH($C683&amp;"|"&amp;DAY($A683),打卡匯入!$E$3:$E$2002,0)),"")</f>
        <v/>
      </c>
      <c r="K683" s="80">
        <f>IFERROR(INDEX(打卡匯入!$D$3:$D$2002,MATCH($C683&amp;"|"&amp;DAY($A683),打卡匯入!$E$3:$E$2002,0)),"")</f>
        <v/>
      </c>
      <c r="L683" s="81">
        <f>IF(OR($J683="",$K683=""),"",IFERROR(INDEX(設定!$F$6:$F$18,MATCH($G683,設定!$B$6:$B$18,0)),0))</f>
        <v/>
      </c>
      <c r="M683" s="82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1">
        <f>IF(OR($C683="",$H683="",$J683=""),0,IF(ROUND(($J683-$H683)*1440,0)&gt;設定!$C$42,ROUND(($J683-$H683)*1440,0),0))</f>
        <v/>
      </c>
      <c r="P683" s="81">
        <f>IF(OR($C683="",$I683="",$K683=""),0,IF(ROUND(($I683-$K683)*1440,0)&gt;設定!$C$42,ROUND(($I683-$K683)*1440,0),0))</f>
        <v/>
      </c>
      <c r="Q683" s="82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79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0">
        <f>IF($G684="","",IFERROR(INDEX(設定!$D$6:$D$18,MATCH($G684,設定!$B$6:$B$18,0)),""))</f>
        <v/>
      </c>
      <c r="I684" s="80">
        <f>IF($G684="","",IFERROR(INDEX(設定!$E$6:$E$18,MATCH($G684,設定!$B$6:$B$18,0)),""))</f>
        <v/>
      </c>
      <c r="J684" s="80">
        <f>IFERROR(INDEX(打卡匯入!$C$3:$C$2002,MATCH($C684&amp;"|"&amp;DAY($A684),打卡匯入!$E$3:$E$2002,0)),"")</f>
        <v/>
      </c>
      <c r="K684" s="80">
        <f>IFERROR(INDEX(打卡匯入!$D$3:$D$2002,MATCH($C684&amp;"|"&amp;DAY($A684),打卡匯入!$E$3:$E$2002,0)),"")</f>
        <v/>
      </c>
      <c r="L684" s="81">
        <f>IF(OR($J684="",$K684=""),"",IFERROR(INDEX(設定!$F$6:$F$18,MATCH($G684,設定!$B$6:$B$18,0)),0))</f>
        <v/>
      </c>
      <c r="M684" s="82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1">
        <f>IF(OR($C684="",$H684="",$J684=""),0,IF(ROUND(($J684-$H684)*1440,0)&gt;設定!$C$42,ROUND(($J684-$H684)*1440,0),0))</f>
        <v/>
      </c>
      <c r="P684" s="81">
        <f>IF(OR($C684="",$I684="",$K684=""),0,IF(ROUND(($I684-$K684)*1440,0)&gt;設定!$C$42,ROUND(($I684-$K684)*1440,0),0))</f>
        <v/>
      </c>
      <c r="Q684" s="82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79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0">
        <f>IF($G685="","",IFERROR(INDEX(設定!$D$6:$D$18,MATCH($G685,設定!$B$6:$B$18,0)),""))</f>
        <v/>
      </c>
      <c r="I685" s="80">
        <f>IF($G685="","",IFERROR(INDEX(設定!$E$6:$E$18,MATCH($G685,設定!$B$6:$B$18,0)),""))</f>
        <v/>
      </c>
      <c r="J685" s="80">
        <f>IFERROR(INDEX(打卡匯入!$C$3:$C$2002,MATCH($C685&amp;"|"&amp;DAY($A685),打卡匯入!$E$3:$E$2002,0)),"")</f>
        <v/>
      </c>
      <c r="K685" s="80">
        <f>IFERROR(INDEX(打卡匯入!$D$3:$D$2002,MATCH($C685&amp;"|"&amp;DAY($A685),打卡匯入!$E$3:$E$2002,0)),"")</f>
        <v/>
      </c>
      <c r="L685" s="81">
        <f>IF(OR($J685="",$K685=""),"",IFERROR(INDEX(設定!$F$6:$F$18,MATCH($G685,設定!$B$6:$B$18,0)),0))</f>
        <v/>
      </c>
      <c r="M685" s="82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1">
        <f>IF(OR($C685="",$H685="",$J685=""),0,IF(ROUND(($J685-$H685)*1440,0)&gt;設定!$C$42,ROUND(($J685-$H685)*1440,0),0))</f>
        <v/>
      </c>
      <c r="P685" s="81">
        <f>IF(OR($C685="",$I685="",$K685=""),0,IF(ROUND(($I685-$K685)*1440,0)&gt;設定!$C$42,ROUND(($I685-$K685)*1440,0),0))</f>
        <v/>
      </c>
      <c r="Q685" s="82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79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0">
        <f>IF($G686="","",IFERROR(INDEX(設定!$D$6:$D$18,MATCH($G686,設定!$B$6:$B$18,0)),""))</f>
        <v/>
      </c>
      <c r="I686" s="80">
        <f>IF($G686="","",IFERROR(INDEX(設定!$E$6:$E$18,MATCH($G686,設定!$B$6:$B$18,0)),""))</f>
        <v/>
      </c>
      <c r="J686" s="80">
        <f>IFERROR(INDEX(打卡匯入!$C$3:$C$2002,MATCH($C686&amp;"|"&amp;DAY($A686),打卡匯入!$E$3:$E$2002,0)),"")</f>
        <v/>
      </c>
      <c r="K686" s="80">
        <f>IFERROR(INDEX(打卡匯入!$D$3:$D$2002,MATCH($C686&amp;"|"&amp;DAY($A686),打卡匯入!$E$3:$E$2002,0)),"")</f>
        <v/>
      </c>
      <c r="L686" s="81">
        <f>IF(OR($J686="",$K686=""),"",IFERROR(INDEX(設定!$F$6:$F$18,MATCH($G686,設定!$B$6:$B$18,0)),0))</f>
        <v/>
      </c>
      <c r="M686" s="82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1">
        <f>IF(OR($C686="",$H686="",$J686=""),0,IF(ROUND(($J686-$H686)*1440,0)&gt;設定!$C$42,ROUND(($J686-$H686)*1440,0),0))</f>
        <v/>
      </c>
      <c r="P686" s="81">
        <f>IF(OR($C686="",$I686="",$K686=""),0,IF(ROUND(($I686-$K686)*1440,0)&gt;設定!$C$42,ROUND(($I686-$K686)*1440,0),0))</f>
        <v/>
      </c>
      <c r="Q686" s="82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79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0">
        <f>IF($G687="","",IFERROR(INDEX(設定!$D$6:$D$18,MATCH($G687,設定!$B$6:$B$18,0)),""))</f>
        <v/>
      </c>
      <c r="I687" s="80">
        <f>IF($G687="","",IFERROR(INDEX(設定!$E$6:$E$18,MATCH($G687,設定!$B$6:$B$18,0)),""))</f>
        <v/>
      </c>
      <c r="J687" s="80">
        <f>IFERROR(INDEX(打卡匯入!$C$3:$C$2002,MATCH($C687&amp;"|"&amp;DAY($A687),打卡匯入!$E$3:$E$2002,0)),"")</f>
        <v/>
      </c>
      <c r="K687" s="80">
        <f>IFERROR(INDEX(打卡匯入!$D$3:$D$2002,MATCH($C687&amp;"|"&amp;DAY($A687),打卡匯入!$E$3:$E$2002,0)),"")</f>
        <v/>
      </c>
      <c r="L687" s="81">
        <f>IF(OR($J687="",$K687=""),"",IFERROR(INDEX(設定!$F$6:$F$18,MATCH($G687,設定!$B$6:$B$18,0)),0))</f>
        <v/>
      </c>
      <c r="M687" s="82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1">
        <f>IF(OR($C687="",$H687="",$J687=""),0,IF(ROUND(($J687-$H687)*1440,0)&gt;設定!$C$42,ROUND(($J687-$H687)*1440,0),0))</f>
        <v/>
      </c>
      <c r="P687" s="81">
        <f>IF(OR($C687="",$I687="",$K687=""),0,IF(ROUND(($I687-$K687)*1440,0)&gt;設定!$C$42,ROUND(($I687-$K687)*1440,0),0))</f>
        <v/>
      </c>
      <c r="Q687" s="82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79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0">
        <f>IF($G688="","",IFERROR(INDEX(設定!$D$6:$D$18,MATCH($G688,設定!$B$6:$B$18,0)),""))</f>
        <v/>
      </c>
      <c r="I688" s="80">
        <f>IF($G688="","",IFERROR(INDEX(設定!$E$6:$E$18,MATCH($G688,設定!$B$6:$B$18,0)),""))</f>
        <v/>
      </c>
      <c r="J688" s="80">
        <f>IFERROR(INDEX(打卡匯入!$C$3:$C$2002,MATCH($C688&amp;"|"&amp;DAY($A688),打卡匯入!$E$3:$E$2002,0)),"")</f>
        <v/>
      </c>
      <c r="K688" s="80">
        <f>IFERROR(INDEX(打卡匯入!$D$3:$D$2002,MATCH($C688&amp;"|"&amp;DAY($A688),打卡匯入!$E$3:$E$2002,0)),"")</f>
        <v/>
      </c>
      <c r="L688" s="81">
        <f>IF(OR($J688="",$K688=""),"",IFERROR(INDEX(設定!$F$6:$F$18,MATCH($G688,設定!$B$6:$B$18,0)),0))</f>
        <v/>
      </c>
      <c r="M688" s="82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1">
        <f>IF(OR($C688="",$H688="",$J688=""),0,IF(ROUND(($J688-$H688)*1440,0)&gt;設定!$C$42,ROUND(($J688-$H688)*1440,0),0))</f>
        <v/>
      </c>
      <c r="P688" s="81">
        <f>IF(OR($C688="",$I688="",$K688=""),0,IF(ROUND(($I688-$K688)*1440,0)&gt;設定!$C$42,ROUND(($I688-$K688)*1440,0),0))</f>
        <v/>
      </c>
      <c r="Q688" s="82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79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0">
        <f>IF($G689="","",IFERROR(INDEX(設定!$D$6:$D$18,MATCH($G689,設定!$B$6:$B$18,0)),""))</f>
        <v/>
      </c>
      <c r="I689" s="80">
        <f>IF($G689="","",IFERROR(INDEX(設定!$E$6:$E$18,MATCH($G689,設定!$B$6:$B$18,0)),""))</f>
        <v/>
      </c>
      <c r="J689" s="80">
        <f>IFERROR(INDEX(打卡匯入!$C$3:$C$2002,MATCH($C689&amp;"|"&amp;DAY($A689),打卡匯入!$E$3:$E$2002,0)),"")</f>
        <v/>
      </c>
      <c r="K689" s="80">
        <f>IFERROR(INDEX(打卡匯入!$D$3:$D$2002,MATCH($C689&amp;"|"&amp;DAY($A689),打卡匯入!$E$3:$E$2002,0)),"")</f>
        <v/>
      </c>
      <c r="L689" s="81">
        <f>IF(OR($J689="",$K689=""),"",IFERROR(INDEX(設定!$F$6:$F$18,MATCH($G689,設定!$B$6:$B$18,0)),0))</f>
        <v/>
      </c>
      <c r="M689" s="82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1">
        <f>IF(OR($C689="",$H689="",$J689=""),0,IF(ROUND(($J689-$H689)*1440,0)&gt;設定!$C$42,ROUND(($J689-$H689)*1440,0),0))</f>
        <v/>
      </c>
      <c r="P689" s="81">
        <f>IF(OR($C689="",$I689="",$K689=""),0,IF(ROUND(($I689-$K689)*1440,0)&gt;設定!$C$42,ROUND(($I689-$K689)*1440,0),0))</f>
        <v/>
      </c>
      <c r="Q689" s="82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79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0">
        <f>IF($G690="","",IFERROR(INDEX(設定!$D$6:$D$18,MATCH($G690,設定!$B$6:$B$18,0)),""))</f>
        <v/>
      </c>
      <c r="I690" s="80">
        <f>IF($G690="","",IFERROR(INDEX(設定!$E$6:$E$18,MATCH($G690,設定!$B$6:$B$18,0)),""))</f>
        <v/>
      </c>
      <c r="J690" s="80">
        <f>IFERROR(INDEX(打卡匯入!$C$3:$C$2002,MATCH($C690&amp;"|"&amp;DAY($A690),打卡匯入!$E$3:$E$2002,0)),"")</f>
        <v/>
      </c>
      <c r="K690" s="80">
        <f>IFERROR(INDEX(打卡匯入!$D$3:$D$2002,MATCH($C690&amp;"|"&amp;DAY($A690),打卡匯入!$E$3:$E$2002,0)),"")</f>
        <v/>
      </c>
      <c r="L690" s="81">
        <f>IF(OR($J690="",$K690=""),"",IFERROR(INDEX(設定!$F$6:$F$18,MATCH($G690,設定!$B$6:$B$18,0)),0))</f>
        <v/>
      </c>
      <c r="M690" s="82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1">
        <f>IF(OR($C690="",$H690="",$J690=""),0,IF(ROUND(($J690-$H690)*1440,0)&gt;設定!$C$42,ROUND(($J690-$H690)*1440,0),0))</f>
        <v/>
      </c>
      <c r="P690" s="81">
        <f>IF(OR($C690="",$I690="",$K690=""),0,IF(ROUND(($I690-$K690)*1440,0)&gt;設定!$C$42,ROUND(($I690-$K690)*1440,0),0))</f>
        <v/>
      </c>
      <c r="Q690" s="82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79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0">
        <f>IF($G691="","",IFERROR(INDEX(設定!$D$6:$D$18,MATCH($G691,設定!$B$6:$B$18,0)),""))</f>
        <v/>
      </c>
      <c r="I691" s="80">
        <f>IF($G691="","",IFERROR(INDEX(設定!$E$6:$E$18,MATCH($G691,設定!$B$6:$B$18,0)),""))</f>
        <v/>
      </c>
      <c r="J691" s="80">
        <f>IFERROR(INDEX(打卡匯入!$C$3:$C$2002,MATCH($C691&amp;"|"&amp;DAY($A691),打卡匯入!$E$3:$E$2002,0)),"")</f>
        <v/>
      </c>
      <c r="K691" s="80">
        <f>IFERROR(INDEX(打卡匯入!$D$3:$D$2002,MATCH($C691&amp;"|"&amp;DAY($A691),打卡匯入!$E$3:$E$2002,0)),"")</f>
        <v/>
      </c>
      <c r="L691" s="81">
        <f>IF(OR($J691="",$K691=""),"",IFERROR(INDEX(設定!$F$6:$F$18,MATCH($G691,設定!$B$6:$B$18,0)),0))</f>
        <v/>
      </c>
      <c r="M691" s="82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1">
        <f>IF(OR($C691="",$H691="",$J691=""),0,IF(ROUND(($J691-$H691)*1440,0)&gt;設定!$C$42,ROUND(($J691-$H691)*1440,0),0))</f>
        <v/>
      </c>
      <c r="P691" s="81">
        <f>IF(OR($C691="",$I691="",$K691=""),0,IF(ROUND(($I691-$K691)*1440,0)&gt;設定!$C$42,ROUND(($I691-$K691)*1440,0),0))</f>
        <v/>
      </c>
      <c r="Q691" s="82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79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0">
        <f>IF($G692="","",IFERROR(INDEX(設定!$D$6:$D$18,MATCH($G692,設定!$B$6:$B$18,0)),""))</f>
        <v/>
      </c>
      <c r="I692" s="80">
        <f>IF($G692="","",IFERROR(INDEX(設定!$E$6:$E$18,MATCH($G692,設定!$B$6:$B$18,0)),""))</f>
        <v/>
      </c>
      <c r="J692" s="80">
        <f>IFERROR(INDEX(打卡匯入!$C$3:$C$2002,MATCH($C692&amp;"|"&amp;DAY($A692),打卡匯入!$E$3:$E$2002,0)),"")</f>
        <v/>
      </c>
      <c r="K692" s="80">
        <f>IFERROR(INDEX(打卡匯入!$D$3:$D$2002,MATCH($C692&amp;"|"&amp;DAY($A692),打卡匯入!$E$3:$E$2002,0)),"")</f>
        <v/>
      </c>
      <c r="L692" s="81">
        <f>IF(OR($J692="",$K692=""),"",IFERROR(INDEX(設定!$F$6:$F$18,MATCH($G692,設定!$B$6:$B$18,0)),0))</f>
        <v/>
      </c>
      <c r="M692" s="82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1">
        <f>IF(OR($C692="",$H692="",$J692=""),0,IF(ROUND(($J692-$H692)*1440,0)&gt;設定!$C$42,ROUND(($J692-$H692)*1440,0),0))</f>
        <v/>
      </c>
      <c r="P692" s="81">
        <f>IF(OR($C692="",$I692="",$K692=""),0,IF(ROUND(($I692-$K692)*1440,0)&gt;設定!$C$42,ROUND(($I692-$K692)*1440,0),0))</f>
        <v/>
      </c>
      <c r="Q692" s="82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79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0">
        <f>IF($G693="","",IFERROR(INDEX(設定!$D$6:$D$18,MATCH($G693,設定!$B$6:$B$18,0)),""))</f>
        <v/>
      </c>
      <c r="I693" s="80">
        <f>IF($G693="","",IFERROR(INDEX(設定!$E$6:$E$18,MATCH($G693,設定!$B$6:$B$18,0)),""))</f>
        <v/>
      </c>
      <c r="J693" s="80">
        <f>IFERROR(INDEX(打卡匯入!$C$3:$C$2002,MATCH($C693&amp;"|"&amp;DAY($A693),打卡匯入!$E$3:$E$2002,0)),"")</f>
        <v/>
      </c>
      <c r="K693" s="80">
        <f>IFERROR(INDEX(打卡匯入!$D$3:$D$2002,MATCH($C693&amp;"|"&amp;DAY($A693),打卡匯入!$E$3:$E$2002,0)),"")</f>
        <v/>
      </c>
      <c r="L693" s="81">
        <f>IF(OR($J693="",$K693=""),"",IFERROR(INDEX(設定!$F$6:$F$18,MATCH($G693,設定!$B$6:$B$18,0)),0))</f>
        <v/>
      </c>
      <c r="M693" s="82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1">
        <f>IF(OR($C693="",$H693="",$J693=""),0,IF(ROUND(($J693-$H693)*1440,0)&gt;設定!$C$42,ROUND(($J693-$H693)*1440,0),0))</f>
        <v/>
      </c>
      <c r="P693" s="81">
        <f>IF(OR($C693="",$I693="",$K693=""),0,IF(ROUND(($I693-$K693)*1440,0)&gt;設定!$C$42,ROUND(($I693-$K693)*1440,0),0))</f>
        <v/>
      </c>
      <c r="Q693" s="82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79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0">
        <f>IF($G694="","",IFERROR(INDEX(設定!$D$6:$D$18,MATCH($G694,設定!$B$6:$B$18,0)),""))</f>
        <v/>
      </c>
      <c r="I694" s="80">
        <f>IF($G694="","",IFERROR(INDEX(設定!$E$6:$E$18,MATCH($G694,設定!$B$6:$B$18,0)),""))</f>
        <v/>
      </c>
      <c r="J694" s="80">
        <f>IFERROR(INDEX(打卡匯入!$C$3:$C$2002,MATCH($C694&amp;"|"&amp;DAY($A694),打卡匯入!$E$3:$E$2002,0)),"")</f>
        <v/>
      </c>
      <c r="K694" s="80">
        <f>IFERROR(INDEX(打卡匯入!$D$3:$D$2002,MATCH($C694&amp;"|"&amp;DAY($A694),打卡匯入!$E$3:$E$2002,0)),"")</f>
        <v/>
      </c>
      <c r="L694" s="81">
        <f>IF(OR($J694="",$K694=""),"",IFERROR(INDEX(設定!$F$6:$F$18,MATCH($G694,設定!$B$6:$B$18,0)),0))</f>
        <v/>
      </c>
      <c r="M694" s="82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1">
        <f>IF(OR($C694="",$H694="",$J694=""),0,IF(ROUND(($J694-$H694)*1440,0)&gt;設定!$C$42,ROUND(($J694-$H694)*1440,0),0))</f>
        <v/>
      </c>
      <c r="P694" s="81">
        <f>IF(OR($C694="",$I694="",$K694=""),0,IF(ROUND(($I694-$K694)*1440,0)&gt;設定!$C$42,ROUND(($I694-$K694)*1440,0),0))</f>
        <v/>
      </c>
      <c r="Q694" s="82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79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0">
        <f>IF($G695="","",IFERROR(INDEX(設定!$D$6:$D$18,MATCH($G695,設定!$B$6:$B$18,0)),""))</f>
        <v/>
      </c>
      <c r="I695" s="80">
        <f>IF($G695="","",IFERROR(INDEX(設定!$E$6:$E$18,MATCH($G695,設定!$B$6:$B$18,0)),""))</f>
        <v/>
      </c>
      <c r="J695" s="80">
        <f>IFERROR(INDEX(打卡匯入!$C$3:$C$2002,MATCH($C695&amp;"|"&amp;DAY($A695),打卡匯入!$E$3:$E$2002,0)),"")</f>
        <v/>
      </c>
      <c r="K695" s="80">
        <f>IFERROR(INDEX(打卡匯入!$D$3:$D$2002,MATCH($C695&amp;"|"&amp;DAY($A695),打卡匯入!$E$3:$E$2002,0)),"")</f>
        <v/>
      </c>
      <c r="L695" s="81">
        <f>IF(OR($J695="",$K695=""),"",IFERROR(INDEX(設定!$F$6:$F$18,MATCH($G695,設定!$B$6:$B$18,0)),0))</f>
        <v/>
      </c>
      <c r="M695" s="82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1">
        <f>IF(OR($C695="",$H695="",$J695=""),0,IF(ROUND(($J695-$H695)*1440,0)&gt;設定!$C$42,ROUND(($J695-$H695)*1440,0),0))</f>
        <v/>
      </c>
      <c r="P695" s="81">
        <f>IF(OR($C695="",$I695="",$K695=""),0,IF(ROUND(($I695-$K695)*1440,0)&gt;設定!$C$42,ROUND(($I695-$K695)*1440,0),0))</f>
        <v/>
      </c>
      <c r="Q695" s="82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79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0">
        <f>IF($G696="","",IFERROR(INDEX(設定!$D$6:$D$18,MATCH($G696,設定!$B$6:$B$18,0)),""))</f>
        <v/>
      </c>
      <c r="I696" s="80">
        <f>IF($G696="","",IFERROR(INDEX(設定!$E$6:$E$18,MATCH($G696,設定!$B$6:$B$18,0)),""))</f>
        <v/>
      </c>
      <c r="J696" s="80">
        <f>IFERROR(INDEX(打卡匯入!$C$3:$C$2002,MATCH($C696&amp;"|"&amp;DAY($A696),打卡匯入!$E$3:$E$2002,0)),"")</f>
        <v/>
      </c>
      <c r="K696" s="80">
        <f>IFERROR(INDEX(打卡匯入!$D$3:$D$2002,MATCH($C696&amp;"|"&amp;DAY($A696),打卡匯入!$E$3:$E$2002,0)),"")</f>
        <v/>
      </c>
      <c r="L696" s="81">
        <f>IF(OR($J696="",$K696=""),"",IFERROR(INDEX(設定!$F$6:$F$18,MATCH($G696,設定!$B$6:$B$18,0)),0))</f>
        <v/>
      </c>
      <c r="M696" s="82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1">
        <f>IF(OR($C696="",$H696="",$J696=""),0,IF(ROUND(($J696-$H696)*1440,0)&gt;設定!$C$42,ROUND(($J696-$H696)*1440,0),0))</f>
        <v/>
      </c>
      <c r="P696" s="81">
        <f>IF(OR($C696="",$I696="",$K696=""),0,IF(ROUND(($I696-$K696)*1440,0)&gt;設定!$C$42,ROUND(($I696-$K696)*1440,0),0))</f>
        <v/>
      </c>
      <c r="Q696" s="82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79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0">
        <f>IF($G697="","",IFERROR(INDEX(設定!$D$6:$D$18,MATCH($G697,設定!$B$6:$B$18,0)),""))</f>
        <v/>
      </c>
      <c r="I697" s="80">
        <f>IF($G697="","",IFERROR(INDEX(設定!$E$6:$E$18,MATCH($G697,設定!$B$6:$B$18,0)),""))</f>
        <v/>
      </c>
      <c r="J697" s="80">
        <f>IFERROR(INDEX(打卡匯入!$C$3:$C$2002,MATCH($C697&amp;"|"&amp;DAY($A697),打卡匯入!$E$3:$E$2002,0)),"")</f>
        <v/>
      </c>
      <c r="K697" s="80">
        <f>IFERROR(INDEX(打卡匯入!$D$3:$D$2002,MATCH($C697&amp;"|"&amp;DAY($A697),打卡匯入!$E$3:$E$2002,0)),"")</f>
        <v/>
      </c>
      <c r="L697" s="81">
        <f>IF(OR($J697="",$K697=""),"",IFERROR(INDEX(設定!$F$6:$F$18,MATCH($G697,設定!$B$6:$B$18,0)),0))</f>
        <v/>
      </c>
      <c r="M697" s="82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1">
        <f>IF(OR($C697="",$H697="",$J697=""),0,IF(ROUND(($J697-$H697)*1440,0)&gt;設定!$C$42,ROUND(($J697-$H697)*1440,0),0))</f>
        <v/>
      </c>
      <c r="P697" s="81">
        <f>IF(OR($C697="",$I697="",$K697=""),0,IF(ROUND(($I697-$K697)*1440,0)&gt;設定!$C$42,ROUND(($I697-$K697)*1440,0),0))</f>
        <v/>
      </c>
      <c r="Q697" s="82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79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0">
        <f>IF($G698="","",IFERROR(INDEX(設定!$D$6:$D$18,MATCH($G698,設定!$B$6:$B$18,0)),""))</f>
        <v/>
      </c>
      <c r="I698" s="80">
        <f>IF($G698="","",IFERROR(INDEX(設定!$E$6:$E$18,MATCH($G698,設定!$B$6:$B$18,0)),""))</f>
        <v/>
      </c>
      <c r="J698" s="80">
        <f>IFERROR(INDEX(打卡匯入!$C$3:$C$2002,MATCH($C698&amp;"|"&amp;DAY($A698),打卡匯入!$E$3:$E$2002,0)),"")</f>
        <v/>
      </c>
      <c r="K698" s="80">
        <f>IFERROR(INDEX(打卡匯入!$D$3:$D$2002,MATCH($C698&amp;"|"&amp;DAY($A698),打卡匯入!$E$3:$E$2002,0)),"")</f>
        <v/>
      </c>
      <c r="L698" s="81">
        <f>IF(OR($J698="",$K698=""),"",IFERROR(INDEX(設定!$F$6:$F$18,MATCH($G698,設定!$B$6:$B$18,0)),0))</f>
        <v/>
      </c>
      <c r="M698" s="82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1">
        <f>IF(OR($C698="",$H698="",$J698=""),0,IF(ROUND(($J698-$H698)*1440,0)&gt;設定!$C$42,ROUND(($J698-$H698)*1440,0),0))</f>
        <v/>
      </c>
      <c r="P698" s="81">
        <f>IF(OR($C698="",$I698="",$K698=""),0,IF(ROUND(($I698-$K698)*1440,0)&gt;設定!$C$42,ROUND(($I698-$K698)*1440,0),0))</f>
        <v/>
      </c>
      <c r="Q698" s="82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79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0">
        <f>IF($G699="","",IFERROR(INDEX(設定!$D$6:$D$18,MATCH($G699,設定!$B$6:$B$18,0)),""))</f>
        <v/>
      </c>
      <c r="I699" s="80">
        <f>IF($G699="","",IFERROR(INDEX(設定!$E$6:$E$18,MATCH($G699,設定!$B$6:$B$18,0)),""))</f>
        <v/>
      </c>
      <c r="J699" s="80">
        <f>IFERROR(INDEX(打卡匯入!$C$3:$C$2002,MATCH($C699&amp;"|"&amp;DAY($A699),打卡匯入!$E$3:$E$2002,0)),"")</f>
        <v/>
      </c>
      <c r="K699" s="80">
        <f>IFERROR(INDEX(打卡匯入!$D$3:$D$2002,MATCH($C699&amp;"|"&amp;DAY($A699),打卡匯入!$E$3:$E$2002,0)),"")</f>
        <v/>
      </c>
      <c r="L699" s="81">
        <f>IF(OR($J699="",$K699=""),"",IFERROR(INDEX(設定!$F$6:$F$18,MATCH($G699,設定!$B$6:$B$18,0)),0))</f>
        <v/>
      </c>
      <c r="M699" s="82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1">
        <f>IF(OR($C699="",$H699="",$J699=""),0,IF(ROUND(($J699-$H699)*1440,0)&gt;設定!$C$42,ROUND(($J699-$H699)*1440,0),0))</f>
        <v/>
      </c>
      <c r="P699" s="81">
        <f>IF(OR($C699="",$I699="",$K699=""),0,IF(ROUND(($I699-$K699)*1440,0)&gt;設定!$C$42,ROUND(($I699-$K699)*1440,0),0))</f>
        <v/>
      </c>
      <c r="Q699" s="82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79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0">
        <f>IF($G700="","",IFERROR(INDEX(設定!$D$6:$D$18,MATCH($G700,設定!$B$6:$B$18,0)),""))</f>
        <v/>
      </c>
      <c r="I700" s="80">
        <f>IF($G700="","",IFERROR(INDEX(設定!$E$6:$E$18,MATCH($G700,設定!$B$6:$B$18,0)),""))</f>
        <v/>
      </c>
      <c r="J700" s="80">
        <f>IFERROR(INDEX(打卡匯入!$C$3:$C$2002,MATCH($C700&amp;"|"&amp;DAY($A700),打卡匯入!$E$3:$E$2002,0)),"")</f>
        <v/>
      </c>
      <c r="K700" s="80">
        <f>IFERROR(INDEX(打卡匯入!$D$3:$D$2002,MATCH($C700&amp;"|"&amp;DAY($A700),打卡匯入!$E$3:$E$2002,0)),"")</f>
        <v/>
      </c>
      <c r="L700" s="81">
        <f>IF(OR($J700="",$K700=""),"",IFERROR(INDEX(設定!$F$6:$F$18,MATCH($G700,設定!$B$6:$B$18,0)),0))</f>
        <v/>
      </c>
      <c r="M700" s="82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1">
        <f>IF(OR($C700="",$H700="",$J700=""),0,IF(ROUND(($J700-$H700)*1440,0)&gt;設定!$C$42,ROUND(($J700-$H700)*1440,0),0))</f>
        <v/>
      </c>
      <c r="P700" s="81">
        <f>IF(OR($C700="",$I700="",$K700=""),0,IF(ROUND(($I700-$K700)*1440,0)&gt;設定!$C$42,ROUND(($I700-$K700)*1440,0),0))</f>
        <v/>
      </c>
      <c r="Q700" s="82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79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0">
        <f>IF($G701="","",IFERROR(INDEX(設定!$D$6:$D$18,MATCH($G701,設定!$B$6:$B$18,0)),""))</f>
        <v/>
      </c>
      <c r="I701" s="80">
        <f>IF($G701="","",IFERROR(INDEX(設定!$E$6:$E$18,MATCH($G701,設定!$B$6:$B$18,0)),""))</f>
        <v/>
      </c>
      <c r="J701" s="80">
        <f>IFERROR(INDEX(打卡匯入!$C$3:$C$2002,MATCH($C701&amp;"|"&amp;DAY($A701),打卡匯入!$E$3:$E$2002,0)),"")</f>
        <v/>
      </c>
      <c r="K701" s="80">
        <f>IFERROR(INDEX(打卡匯入!$D$3:$D$2002,MATCH($C701&amp;"|"&amp;DAY($A701),打卡匯入!$E$3:$E$2002,0)),"")</f>
        <v/>
      </c>
      <c r="L701" s="81">
        <f>IF(OR($J701="",$K701=""),"",IFERROR(INDEX(設定!$F$6:$F$18,MATCH($G701,設定!$B$6:$B$18,0)),0))</f>
        <v/>
      </c>
      <c r="M701" s="82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1">
        <f>IF(OR($C701="",$H701="",$J701=""),0,IF(ROUND(($J701-$H701)*1440,0)&gt;設定!$C$42,ROUND(($J701-$H701)*1440,0),0))</f>
        <v/>
      </c>
      <c r="P701" s="81">
        <f>IF(OR($C701="",$I701="",$K701=""),0,IF(ROUND(($I701-$K701)*1440,0)&gt;設定!$C$42,ROUND(($I701-$K701)*1440,0),0))</f>
        <v/>
      </c>
      <c r="Q701" s="82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79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0">
        <f>IF($G702="","",IFERROR(INDEX(設定!$D$6:$D$18,MATCH($G702,設定!$B$6:$B$18,0)),""))</f>
        <v/>
      </c>
      <c r="I702" s="80">
        <f>IF($G702="","",IFERROR(INDEX(設定!$E$6:$E$18,MATCH($G702,設定!$B$6:$B$18,0)),""))</f>
        <v/>
      </c>
      <c r="J702" s="80">
        <f>IFERROR(INDEX(打卡匯入!$C$3:$C$2002,MATCH($C702&amp;"|"&amp;DAY($A702),打卡匯入!$E$3:$E$2002,0)),"")</f>
        <v/>
      </c>
      <c r="K702" s="80">
        <f>IFERROR(INDEX(打卡匯入!$D$3:$D$2002,MATCH($C702&amp;"|"&amp;DAY($A702),打卡匯入!$E$3:$E$2002,0)),"")</f>
        <v/>
      </c>
      <c r="L702" s="81">
        <f>IF(OR($J702="",$K702=""),"",IFERROR(INDEX(設定!$F$6:$F$18,MATCH($G702,設定!$B$6:$B$18,0)),0))</f>
        <v/>
      </c>
      <c r="M702" s="82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1">
        <f>IF(OR($C702="",$H702="",$J702=""),0,IF(ROUND(($J702-$H702)*1440,0)&gt;設定!$C$42,ROUND(($J702-$H702)*1440,0),0))</f>
        <v/>
      </c>
      <c r="P702" s="81">
        <f>IF(OR($C702="",$I702="",$K702=""),0,IF(ROUND(($I702-$K702)*1440,0)&gt;設定!$C$42,ROUND(($I702-$K702)*1440,0),0))</f>
        <v/>
      </c>
      <c r="Q702" s="82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79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0">
        <f>IF($G703="","",IFERROR(INDEX(設定!$D$6:$D$18,MATCH($G703,設定!$B$6:$B$18,0)),""))</f>
        <v/>
      </c>
      <c r="I703" s="80">
        <f>IF($G703="","",IFERROR(INDEX(設定!$E$6:$E$18,MATCH($G703,設定!$B$6:$B$18,0)),""))</f>
        <v/>
      </c>
      <c r="J703" s="80">
        <f>IFERROR(INDEX(打卡匯入!$C$3:$C$2002,MATCH($C703&amp;"|"&amp;DAY($A703),打卡匯入!$E$3:$E$2002,0)),"")</f>
        <v/>
      </c>
      <c r="K703" s="80">
        <f>IFERROR(INDEX(打卡匯入!$D$3:$D$2002,MATCH($C703&amp;"|"&amp;DAY($A703),打卡匯入!$E$3:$E$2002,0)),"")</f>
        <v/>
      </c>
      <c r="L703" s="81">
        <f>IF(OR($J703="",$K703=""),"",IFERROR(INDEX(設定!$F$6:$F$18,MATCH($G703,設定!$B$6:$B$18,0)),0))</f>
        <v/>
      </c>
      <c r="M703" s="82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1">
        <f>IF(OR($C703="",$H703="",$J703=""),0,IF(ROUND(($J703-$H703)*1440,0)&gt;設定!$C$42,ROUND(($J703-$H703)*1440,0),0))</f>
        <v/>
      </c>
      <c r="P703" s="81">
        <f>IF(OR($C703="",$I703="",$K703=""),0,IF(ROUND(($I703-$K703)*1440,0)&gt;設定!$C$42,ROUND(($I703-$K703)*1440,0),0))</f>
        <v/>
      </c>
      <c r="Q703" s="82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79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0">
        <f>IF($G704="","",IFERROR(INDEX(設定!$D$6:$D$18,MATCH($G704,設定!$B$6:$B$18,0)),""))</f>
        <v/>
      </c>
      <c r="I704" s="80">
        <f>IF($G704="","",IFERROR(INDEX(設定!$E$6:$E$18,MATCH($G704,設定!$B$6:$B$18,0)),""))</f>
        <v/>
      </c>
      <c r="J704" s="80">
        <f>IFERROR(INDEX(打卡匯入!$C$3:$C$2002,MATCH($C704&amp;"|"&amp;DAY($A704),打卡匯入!$E$3:$E$2002,0)),"")</f>
        <v/>
      </c>
      <c r="K704" s="80">
        <f>IFERROR(INDEX(打卡匯入!$D$3:$D$2002,MATCH($C704&amp;"|"&amp;DAY($A704),打卡匯入!$E$3:$E$2002,0)),"")</f>
        <v/>
      </c>
      <c r="L704" s="81">
        <f>IF(OR($J704="",$K704=""),"",IFERROR(INDEX(設定!$F$6:$F$18,MATCH($G704,設定!$B$6:$B$18,0)),0))</f>
        <v/>
      </c>
      <c r="M704" s="82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1">
        <f>IF(OR($C704="",$H704="",$J704=""),0,IF(ROUND(($J704-$H704)*1440,0)&gt;設定!$C$42,ROUND(($J704-$H704)*1440,0),0))</f>
        <v/>
      </c>
      <c r="P704" s="81">
        <f>IF(OR($C704="",$I704="",$K704=""),0,IF(ROUND(($I704-$K704)*1440,0)&gt;設定!$C$42,ROUND(($I704-$K704)*1440,0),0))</f>
        <v/>
      </c>
      <c r="Q704" s="82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79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0">
        <f>IF($G705="","",IFERROR(INDEX(設定!$D$6:$D$18,MATCH($G705,設定!$B$6:$B$18,0)),""))</f>
        <v/>
      </c>
      <c r="I705" s="80">
        <f>IF($G705="","",IFERROR(INDEX(設定!$E$6:$E$18,MATCH($G705,設定!$B$6:$B$18,0)),""))</f>
        <v/>
      </c>
      <c r="J705" s="80">
        <f>IFERROR(INDEX(打卡匯入!$C$3:$C$2002,MATCH($C705&amp;"|"&amp;DAY($A705),打卡匯入!$E$3:$E$2002,0)),"")</f>
        <v/>
      </c>
      <c r="K705" s="80">
        <f>IFERROR(INDEX(打卡匯入!$D$3:$D$2002,MATCH($C705&amp;"|"&amp;DAY($A705),打卡匯入!$E$3:$E$2002,0)),"")</f>
        <v/>
      </c>
      <c r="L705" s="81">
        <f>IF(OR($J705="",$K705=""),"",IFERROR(INDEX(設定!$F$6:$F$18,MATCH($G705,設定!$B$6:$B$18,0)),0))</f>
        <v/>
      </c>
      <c r="M705" s="82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1">
        <f>IF(OR($C705="",$H705="",$J705=""),0,IF(ROUND(($J705-$H705)*1440,0)&gt;設定!$C$42,ROUND(($J705-$H705)*1440,0),0))</f>
        <v/>
      </c>
      <c r="P705" s="81">
        <f>IF(OR($C705="",$I705="",$K705=""),0,IF(ROUND(($I705-$K705)*1440,0)&gt;設定!$C$42,ROUND(($I705-$K705)*1440,0),0))</f>
        <v/>
      </c>
      <c r="Q705" s="82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79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0">
        <f>IF($G706="","",IFERROR(INDEX(設定!$D$6:$D$18,MATCH($G706,設定!$B$6:$B$18,0)),""))</f>
        <v/>
      </c>
      <c r="I706" s="80">
        <f>IF($G706="","",IFERROR(INDEX(設定!$E$6:$E$18,MATCH($G706,設定!$B$6:$B$18,0)),""))</f>
        <v/>
      </c>
      <c r="J706" s="80">
        <f>IFERROR(INDEX(打卡匯入!$C$3:$C$2002,MATCH($C706&amp;"|"&amp;DAY($A706),打卡匯入!$E$3:$E$2002,0)),"")</f>
        <v/>
      </c>
      <c r="K706" s="80">
        <f>IFERROR(INDEX(打卡匯入!$D$3:$D$2002,MATCH($C706&amp;"|"&amp;DAY($A706),打卡匯入!$E$3:$E$2002,0)),"")</f>
        <v/>
      </c>
      <c r="L706" s="81">
        <f>IF(OR($J706="",$K706=""),"",IFERROR(INDEX(設定!$F$6:$F$18,MATCH($G706,設定!$B$6:$B$18,0)),0))</f>
        <v/>
      </c>
      <c r="M706" s="82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1">
        <f>IF(OR($C706="",$H706="",$J706=""),0,IF(ROUND(($J706-$H706)*1440,0)&gt;設定!$C$42,ROUND(($J706-$H706)*1440,0),0))</f>
        <v/>
      </c>
      <c r="P706" s="81">
        <f>IF(OR($C706="",$I706="",$K706=""),0,IF(ROUND(($I706-$K706)*1440,0)&gt;設定!$C$42,ROUND(($I706-$K706)*1440,0),0))</f>
        <v/>
      </c>
      <c r="Q706" s="82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79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0">
        <f>IF($G707="","",IFERROR(INDEX(設定!$D$6:$D$18,MATCH($G707,設定!$B$6:$B$18,0)),""))</f>
        <v/>
      </c>
      <c r="I707" s="80">
        <f>IF($G707="","",IFERROR(INDEX(設定!$E$6:$E$18,MATCH($G707,設定!$B$6:$B$18,0)),""))</f>
        <v/>
      </c>
      <c r="J707" s="80">
        <f>IFERROR(INDEX(打卡匯入!$C$3:$C$2002,MATCH($C707&amp;"|"&amp;DAY($A707),打卡匯入!$E$3:$E$2002,0)),"")</f>
        <v/>
      </c>
      <c r="K707" s="80">
        <f>IFERROR(INDEX(打卡匯入!$D$3:$D$2002,MATCH($C707&amp;"|"&amp;DAY($A707),打卡匯入!$E$3:$E$2002,0)),"")</f>
        <v/>
      </c>
      <c r="L707" s="81">
        <f>IF(OR($J707="",$K707=""),"",IFERROR(INDEX(設定!$F$6:$F$18,MATCH($G707,設定!$B$6:$B$18,0)),0))</f>
        <v/>
      </c>
      <c r="M707" s="82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1">
        <f>IF(OR($C707="",$H707="",$J707=""),0,IF(ROUND(($J707-$H707)*1440,0)&gt;設定!$C$42,ROUND(($J707-$H707)*1440,0),0))</f>
        <v/>
      </c>
      <c r="P707" s="81">
        <f>IF(OR($C707="",$I707="",$K707=""),0,IF(ROUND(($I707-$K707)*1440,0)&gt;設定!$C$42,ROUND(($I707-$K707)*1440,0),0))</f>
        <v/>
      </c>
      <c r="Q707" s="82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79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0">
        <f>IF($G708="","",IFERROR(INDEX(設定!$D$6:$D$18,MATCH($G708,設定!$B$6:$B$18,0)),""))</f>
        <v/>
      </c>
      <c r="I708" s="80">
        <f>IF($G708="","",IFERROR(INDEX(設定!$E$6:$E$18,MATCH($G708,設定!$B$6:$B$18,0)),""))</f>
        <v/>
      </c>
      <c r="J708" s="80">
        <f>IFERROR(INDEX(打卡匯入!$C$3:$C$2002,MATCH($C708&amp;"|"&amp;DAY($A708),打卡匯入!$E$3:$E$2002,0)),"")</f>
        <v/>
      </c>
      <c r="K708" s="80">
        <f>IFERROR(INDEX(打卡匯入!$D$3:$D$2002,MATCH($C708&amp;"|"&amp;DAY($A708),打卡匯入!$E$3:$E$2002,0)),"")</f>
        <v/>
      </c>
      <c r="L708" s="81">
        <f>IF(OR($J708="",$K708=""),"",IFERROR(INDEX(設定!$F$6:$F$18,MATCH($G708,設定!$B$6:$B$18,0)),0))</f>
        <v/>
      </c>
      <c r="M708" s="82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1">
        <f>IF(OR($C708="",$H708="",$J708=""),0,IF(ROUND(($J708-$H708)*1440,0)&gt;設定!$C$42,ROUND(($J708-$H708)*1440,0),0))</f>
        <v/>
      </c>
      <c r="P708" s="81">
        <f>IF(OR($C708="",$I708="",$K708=""),0,IF(ROUND(($I708-$K708)*1440,0)&gt;設定!$C$42,ROUND(($I708-$K708)*1440,0),0))</f>
        <v/>
      </c>
      <c r="Q708" s="82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79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0">
        <f>IF($G709="","",IFERROR(INDEX(設定!$D$6:$D$18,MATCH($G709,設定!$B$6:$B$18,0)),""))</f>
        <v/>
      </c>
      <c r="I709" s="80">
        <f>IF($G709="","",IFERROR(INDEX(設定!$E$6:$E$18,MATCH($G709,設定!$B$6:$B$18,0)),""))</f>
        <v/>
      </c>
      <c r="J709" s="80">
        <f>IFERROR(INDEX(打卡匯入!$C$3:$C$2002,MATCH($C709&amp;"|"&amp;DAY($A709),打卡匯入!$E$3:$E$2002,0)),"")</f>
        <v/>
      </c>
      <c r="K709" s="80">
        <f>IFERROR(INDEX(打卡匯入!$D$3:$D$2002,MATCH($C709&amp;"|"&amp;DAY($A709),打卡匯入!$E$3:$E$2002,0)),"")</f>
        <v/>
      </c>
      <c r="L709" s="81">
        <f>IF(OR($J709="",$K709=""),"",IFERROR(INDEX(設定!$F$6:$F$18,MATCH($G709,設定!$B$6:$B$18,0)),0))</f>
        <v/>
      </c>
      <c r="M709" s="82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1">
        <f>IF(OR($C709="",$H709="",$J709=""),0,IF(ROUND(($J709-$H709)*1440,0)&gt;設定!$C$42,ROUND(($J709-$H709)*1440,0),0))</f>
        <v/>
      </c>
      <c r="P709" s="81">
        <f>IF(OR($C709="",$I709="",$K709=""),0,IF(ROUND(($I709-$K709)*1440,0)&gt;設定!$C$42,ROUND(($I709-$K709)*1440,0),0))</f>
        <v/>
      </c>
      <c r="Q709" s="82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79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0">
        <f>IF($G710="","",IFERROR(INDEX(設定!$D$6:$D$18,MATCH($G710,設定!$B$6:$B$18,0)),""))</f>
        <v/>
      </c>
      <c r="I710" s="80">
        <f>IF($G710="","",IFERROR(INDEX(設定!$E$6:$E$18,MATCH($G710,設定!$B$6:$B$18,0)),""))</f>
        <v/>
      </c>
      <c r="J710" s="80">
        <f>IFERROR(INDEX(打卡匯入!$C$3:$C$2002,MATCH($C710&amp;"|"&amp;DAY($A710),打卡匯入!$E$3:$E$2002,0)),"")</f>
        <v/>
      </c>
      <c r="K710" s="80">
        <f>IFERROR(INDEX(打卡匯入!$D$3:$D$2002,MATCH($C710&amp;"|"&amp;DAY($A710),打卡匯入!$E$3:$E$2002,0)),"")</f>
        <v/>
      </c>
      <c r="L710" s="81">
        <f>IF(OR($J710="",$K710=""),"",IFERROR(INDEX(設定!$F$6:$F$18,MATCH($G710,設定!$B$6:$B$18,0)),0))</f>
        <v/>
      </c>
      <c r="M710" s="82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1">
        <f>IF(OR($C710="",$H710="",$J710=""),0,IF(ROUND(($J710-$H710)*1440,0)&gt;設定!$C$42,ROUND(($J710-$H710)*1440,0),0))</f>
        <v/>
      </c>
      <c r="P710" s="81">
        <f>IF(OR($C710="",$I710="",$K710=""),0,IF(ROUND(($I710-$K710)*1440,0)&gt;設定!$C$42,ROUND(($I710-$K710)*1440,0),0))</f>
        <v/>
      </c>
      <c r="Q710" s="82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79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0">
        <f>IF($G711="","",IFERROR(INDEX(設定!$D$6:$D$18,MATCH($G711,設定!$B$6:$B$18,0)),""))</f>
        <v/>
      </c>
      <c r="I711" s="80">
        <f>IF($G711="","",IFERROR(INDEX(設定!$E$6:$E$18,MATCH($G711,設定!$B$6:$B$18,0)),""))</f>
        <v/>
      </c>
      <c r="J711" s="80">
        <f>IFERROR(INDEX(打卡匯入!$C$3:$C$2002,MATCH($C711&amp;"|"&amp;DAY($A711),打卡匯入!$E$3:$E$2002,0)),"")</f>
        <v/>
      </c>
      <c r="K711" s="80">
        <f>IFERROR(INDEX(打卡匯入!$D$3:$D$2002,MATCH($C711&amp;"|"&amp;DAY($A711),打卡匯入!$E$3:$E$2002,0)),"")</f>
        <v/>
      </c>
      <c r="L711" s="81">
        <f>IF(OR($J711="",$K711=""),"",IFERROR(INDEX(設定!$F$6:$F$18,MATCH($G711,設定!$B$6:$B$18,0)),0))</f>
        <v/>
      </c>
      <c r="M711" s="82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1">
        <f>IF(OR($C711="",$H711="",$J711=""),0,IF(ROUND(($J711-$H711)*1440,0)&gt;設定!$C$42,ROUND(($J711-$H711)*1440,0),0))</f>
        <v/>
      </c>
      <c r="P711" s="81">
        <f>IF(OR($C711="",$I711="",$K711=""),0,IF(ROUND(($I711-$K711)*1440,0)&gt;設定!$C$42,ROUND(($I711-$K711)*1440,0),0))</f>
        <v/>
      </c>
      <c r="Q711" s="82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79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0">
        <f>IF($G712="","",IFERROR(INDEX(設定!$D$6:$D$18,MATCH($G712,設定!$B$6:$B$18,0)),""))</f>
        <v/>
      </c>
      <c r="I712" s="80">
        <f>IF($G712="","",IFERROR(INDEX(設定!$E$6:$E$18,MATCH($G712,設定!$B$6:$B$18,0)),""))</f>
        <v/>
      </c>
      <c r="J712" s="80">
        <f>IFERROR(INDEX(打卡匯入!$C$3:$C$2002,MATCH($C712&amp;"|"&amp;DAY($A712),打卡匯入!$E$3:$E$2002,0)),"")</f>
        <v/>
      </c>
      <c r="K712" s="80">
        <f>IFERROR(INDEX(打卡匯入!$D$3:$D$2002,MATCH($C712&amp;"|"&amp;DAY($A712),打卡匯入!$E$3:$E$2002,0)),"")</f>
        <v/>
      </c>
      <c r="L712" s="81">
        <f>IF(OR($J712="",$K712=""),"",IFERROR(INDEX(設定!$F$6:$F$18,MATCH($G712,設定!$B$6:$B$18,0)),0))</f>
        <v/>
      </c>
      <c r="M712" s="82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1">
        <f>IF(OR($C712="",$H712="",$J712=""),0,IF(ROUND(($J712-$H712)*1440,0)&gt;設定!$C$42,ROUND(($J712-$H712)*1440,0),0))</f>
        <v/>
      </c>
      <c r="P712" s="81">
        <f>IF(OR($C712="",$I712="",$K712=""),0,IF(ROUND(($I712-$K712)*1440,0)&gt;設定!$C$42,ROUND(($I712-$K712)*1440,0),0))</f>
        <v/>
      </c>
      <c r="Q712" s="82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79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0">
        <f>IF($G713="","",IFERROR(INDEX(設定!$D$6:$D$18,MATCH($G713,設定!$B$6:$B$18,0)),""))</f>
        <v/>
      </c>
      <c r="I713" s="80">
        <f>IF($G713="","",IFERROR(INDEX(設定!$E$6:$E$18,MATCH($G713,設定!$B$6:$B$18,0)),""))</f>
        <v/>
      </c>
      <c r="J713" s="80">
        <f>IFERROR(INDEX(打卡匯入!$C$3:$C$2002,MATCH($C713&amp;"|"&amp;DAY($A713),打卡匯入!$E$3:$E$2002,0)),"")</f>
        <v/>
      </c>
      <c r="K713" s="80">
        <f>IFERROR(INDEX(打卡匯入!$D$3:$D$2002,MATCH($C713&amp;"|"&amp;DAY($A713),打卡匯入!$E$3:$E$2002,0)),"")</f>
        <v/>
      </c>
      <c r="L713" s="81">
        <f>IF(OR($J713="",$K713=""),"",IFERROR(INDEX(設定!$F$6:$F$18,MATCH($G713,設定!$B$6:$B$18,0)),0))</f>
        <v/>
      </c>
      <c r="M713" s="82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1">
        <f>IF(OR($C713="",$H713="",$J713=""),0,IF(ROUND(($J713-$H713)*1440,0)&gt;設定!$C$42,ROUND(($J713-$H713)*1440,0),0))</f>
        <v/>
      </c>
      <c r="P713" s="81">
        <f>IF(OR($C713="",$I713="",$K713=""),0,IF(ROUND(($I713-$K713)*1440,0)&gt;設定!$C$42,ROUND(($I713-$K713)*1440,0),0))</f>
        <v/>
      </c>
      <c r="Q713" s="82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79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0">
        <f>IF($G714="","",IFERROR(INDEX(設定!$D$6:$D$18,MATCH($G714,設定!$B$6:$B$18,0)),""))</f>
        <v/>
      </c>
      <c r="I714" s="80">
        <f>IF($G714="","",IFERROR(INDEX(設定!$E$6:$E$18,MATCH($G714,設定!$B$6:$B$18,0)),""))</f>
        <v/>
      </c>
      <c r="J714" s="80">
        <f>IFERROR(INDEX(打卡匯入!$C$3:$C$2002,MATCH($C714&amp;"|"&amp;DAY($A714),打卡匯入!$E$3:$E$2002,0)),"")</f>
        <v/>
      </c>
      <c r="K714" s="80">
        <f>IFERROR(INDEX(打卡匯入!$D$3:$D$2002,MATCH($C714&amp;"|"&amp;DAY($A714),打卡匯入!$E$3:$E$2002,0)),"")</f>
        <v/>
      </c>
      <c r="L714" s="81">
        <f>IF(OR($J714="",$K714=""),"",IFERROR(INDEX(設定!$F$6:$F$18,MATCH($G714,設定!$B$6:$B$18,0)),0))</f>
        <v/>
      </c>
      <c r="M714" s="82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1">
        <f>IF(OR($C714="",$H714="",$J714=""),0,IF(ROUND(($J714-$H714)*1440,0)&gt;設定!$C$42,ROUND(($J714-$H714)*1440,0),0))</f>
        <v/>
      </c>
      <c r="P714" s="81">
        <f>IF(OR($C714="",$I714="",$K714=""),0,IF(ROUND(($I714-$K714)*1440,0)&gt;設定!$C$42,ROUND(($I714-$K714)*1440,0),0))</f>
        <v/>
      </c>
      <c r="Q714" s="82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79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0">
        <f>IF($G715="","",IFERROR(INDEX(設定!$D$6:$D$18,MATCH($G715,設定!$B$6:$B$18,0)),""))</f>
        <v/>
      </c>
      <c r="I715" s="80">
        <f>IF($G715="","",IFERROR(INDEX(設定!$E$6:$E$18,MATCH($G715,設定!$B$6:$B$18,0)),""))</f>
        <v/>
      </c>
      <c r="J715" s="80">
        <f>IFERROR(INDEX(打卡匯入!$C$3:$C$2002,MATCH($C715&amp;"|"&amp;DAY($A715),打卡匯入!$E$3:$E$2002,0)),"")</f>
        <v/>
      </c>
      <c r="K715" s="80">
        <f>IFERROR(INDEX(打卡匯入!$D$3:$D$2002,MATCH($C715&amp;"|"&amp;DAY($A715),打卡匯入!$E$3:$E$2002,0)),"")</f>
        <v/>
      </c>
      <c r="L715" s="81">
        <f>IF(OR($J715="",$K715=""),"",IFERROR(INDEX(設定!$F$6:$F$18,MATCH($G715,設定!$B$6:$B$18,0)),0))</f>
        <v/>
      </c>
      <c r="M715" s="82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1">
        <f>IF(OR($C715="",$H715="",$J715=""),0,IF(ROUND(($J715-$H715)*1440,0)&gt;設定!$C$42,ROUND(($J715-$H715)*1440,0),0))</f>
        <v/>
      </c>
      <c r="P715" s="81">
        <f>IF(OR($C715="",$I715="",$K715=""),0,IF(ROUND(($I715-$K715)*1440,0)&gt;設定!$C$42,ROUND(($I715-$K715)*1440,0),0))</f>
        <v/>
      </c>
      <c r="Q715" s="82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79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0">
        <f>IF($G716="","",IFERROR(INDEX(設定!$D$6:$D$18,MATCH($G716,設定!$B$6:$B$18,0)),""))</f>
        <v/>
      </c>
      <c r="I716" s="80">
        <f>IF($G716="","",IFERROR(INDEX(設定!$E$6:$E$18,MATCH($G716,設定!$B$6:$B$18,0)),""))</f>
        <v/>
      </c>
      <c r="J716" s="80">
        <f>IFERROR(INDEX(打卡匯入!$C$3:$C$2002,MATCH($C716&amp;"|"&amp;DAY($A716),打卡匯入!$E$3:$E$2002,0)),"")</f>
        <v/>
      </c>
      <c r="K716" s="80">
        <f>IFERROR(INDEX(打卡匯入!$D$3:$D$2002,MATCH($C716&amp;"|"&amp;DAY($A716),打卡匯入!$E$3:$E$2002,0)),"")</f>
        <v/>
      </c>
      <c r="L716" s="81">
        <f>IF(OR($J716="",$K716=""),"",IFERROR(INDEX(設定!$F$6:$F$18,MATCH($G716,設定!$B$6:$B$18,0)),0))</f>
        <v/>
      </c>
      <c r="M716" s="82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1">
        <f>IF(OR($C716="",$H716="",$J716=""),0,IF(ROUND(($J716-$H716)*1440,0)&gt;設定!$C$42,ROUND(($J716-$H716)*1440,0),0))</f>
        <v/>
      </c>
      <c r="P716" s="81">
        <f>IF(OR($C716="",$I716="",$K716=""),0,IF(ROUND(($I716-$K716)*1440,0)&gt;設定!$C$42,ROUND(($I716-$K716)*1440,0),0))</f>
        <v/>
      </c>
      <c r="Q716" s="82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79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0">
        <f>IF($G717="","",IFERROR(INDEX(設定!$D$6:$D$18,MATCH($G717,設定!$B$6:$B$18,0)),""))</f>
        <v/>
      </c>
      <c r="I717" s="80">
        <f>IF($G717="","",IFERROR(INDEX(設定!$E$6:$E$18,MATCH($G717,設定!$B$6:$B$18,0)),""))</f>
        <v/>
      </c>
      <c r="J717" s="80">
        <f>IFERROR(INDEX(打卡匯入!$C$3:$C$2002,MATCH($C717&amp;"|"&amp;DAY($A717),打卡匯入!$E$3:$E$2002,0)),"")</f>
        <v/>
      </c>
      <c r="K717" s="80">
        <f>IFERROR(INDEX(打卡匯入!$D$3:$D$2002,MATCH($C717&amp;"|"&amp;DAY($A717),打卡匯入!$E$3:$E$2002,0)),"")</f>
        <v/>
      </c>
      <c r="L717" s="81">
        <f>IF(OR($J717="",$K717=""),"",IFERROR(INDEX(設定!$F$6:$F$18,MATCH($G717,設定!$B$6:$B$18,0)),0))</f>
        <v/>
      </c>
      <c r="M717" s="82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1">
        <f>IF(OR($C717="",$H717="",$J717=""),0,IF(ROUND(($J717-$H717)*1440,0)&gt;設定!$C$42,ROUND(($J717-$H717)*1440,0),0))</f>
        <v/>
      </c>
      <c r="P717" s="81">
        <f>IF(OR($C717="",$I717="",$K717=""),0,IF(ROUND(($I717-$K717)*1440,0)&gt;設定!$C$42,ROUND(($I717-$K717)*1440,0),0))</f>
        <v/>
      </c>
      <c r="Q717" s="82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79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0">
        <f>IF($G718="","",IFERROR(INDEX(設定!$D$6:$D$18,MATCH($G718,設定!$B$6:$B$18,0)),""))</f>
        <v/>
      </c>
      <c r="I718" s="80">
        <f>IF($G718="","",IFERROR(INDEX(設定!$E$6:$E$18,MATCH($G718,設定!$B$6:$B$18,0)),""))</f>
        <v/>
      </c>
      <c r="J718" s="80">
        <f>IFERROR(INDEX(打卡匯入!$C$3:$C$2002,MATCH($C718&amp;"|"&amp;DAY($A718),打卡匯入!$E$3:$E$2002,0)),"")</f>
        <v/>
      </c>
      <c r="K718" s="80">
        <f>IFERROR(INDEX(打卡匯入!$D$3:$D$2002,MATCH($C718&amp;"|"&amp;DAY($A718),打卡匯入!$E$3:$E$2002,0)),"")</f>
        <v/>
      </c>
      <c r="L718" s="81">
        <f>IF(OR($J718="",$K718=""),"",IFERROR(INDEX(設定!$F$6:$F$18,MATCH($G718,設定!$B$6:$B$18,0)),0))</f>
        <v/>
      </c>
      <c r="M718" s="82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1">
        <f>IF(OR($C718="",$H718="",$J718=""),0,IF(ROUND(($J718-$H718)*1440,0)&gt;設定!$C$42,ROUND(($J718-$H718)*1440,0),0))</f>
        <v/>
      </c>
      <c r="P718" s="81">
        <f>IF(OR($C718="",$I718="",$K718=""),0,IF(ROUND(($I718-$K718)*1440,0)&gt;設定!$C$42,ROUND(($I718-$K718)*1440,0),0))</f>
        <v/>
      </c>
      <c r="Q718" s="82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79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0">
        <f>IF($G719="","",IFERROR(INDEX(設定!$D$6:$D$18,MATCH($G719,設定!$B$6:$B$18,0)),""))</f>
        <v/>
      </c>
      <c r="I719" s="80">
        <f>IF($G719="","",IFERROR(INDEX(設定!$E$6:$E$18,MATCH($G719,設定!$B$6:$B$18,0)),""))</f>
        <v/>
      </c>
      <c r="J719" s="80">
        <f>IFERROR(INDEX(打卡匯入!$C$3:$C$2002,MATCH($C719&amp;"|"&amp;DAY($A719),打卡匯入!$E$3:$E$2002,0)),"")</f>
        <v/>
      </c>
      <c r="K719" s="80">
        <f>IFERROR(INDEX(打卡匯入!$D$3:$D$2002,MATCH($C719&amp;"|"&amp;DAY($A719),打卡匯入!$E$3:$E$2002,0)),"")</f>
        <v/>
      </c>
      <c r="L719" s="81">
        <f>IF(OR($J719="",$K719=""),"",IFERROR(INDEX(設定!$F$6:$F$18,MATCH($G719,設定!$B$6:$B$18,0)),0))</f>
        <v/>
      </c>
      <c r="M719" s="82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1">
        <f>IF(OR($C719="",$H719="",$J719=""),0,IF(ROUND(($J719-$H719)*1440,0)&gt;設定!$C$42,ROUND(($J719-$H719)*1440,0),0))</f>
        <v/>
      </c>
      <c r="P719" s="81">
        <f>IF(OR($C719="",$I719="",$K719=""),0,IF(ROUND(($I719-$K719)*1440,0)&gt;設定!$C$42,ROUND(($I719-$K719)*1440,0),0))</f>
        <v/>
      </c>
      <c r="Q719" s="82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79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0">
        <f>IF($G720="","",IFERROR(INDEX(設定!$D$6:$D$18,MATCH($G720,設定!$B$6:$B$18,0)),""))</f>
        <v/>
      </c>
      <c r="I720" s="80">
        <f>IF($G720="","",IFERROR(INDEX(設定!$E$6:$E$18,MATCH($G720,設定!$B$6:$B$18,0)),""))</f>
        <v/>
      </c>
      <c r="J720" s="80">
        <f>IFERROR(INDEX(打卡匯入!$C$3:$C$2002,MATCH($C720&amp;"|"&amp;DAY($A720),打卡匯入!$E$3:$E$2002,0)),"")</f>
        <v/>
      </c>
      <c r="K720" s="80">
        <f>IFERROR(INDEX(打卡匯入!$D$3:$D$2002,MATCH($C720&amp;"|"&amp;DAY($A720),打卡匯入!$E$3:$E$2002,0)),"")</f>
        <v/>
      </c>
      <c r="L720" s="81">
        <f>IF(OR($J720="",$K720=""),"",IFERROR(INDEX(設定!$F$6:$F$18,MATCH($G720,設定!$B$6:$B$18,0)),0))</f>
        <v/>
      </c>
      <c r="M720" s="82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1">
        <f>IF(OR($C720="",$H720="",$J720=""),0,IF(ROUND(($J720-$H720)*1440,0)&gt;設定!$C$42,ROUND(($J720-$H720)*1440,0),0))</f>
        <v/>
      </c>
      <c r="P720" s="81">
        <f>IF(OR($C720="",$I720="",$K720=""),0,IF(ROUND(($I720-$K720)*1440,0)&gt;設定!$C$42,ROUND(($I720-$K720)*1440,0),0))</f>
        <v/>
      </c>
      <c r="Q720" s="82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79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0">
        <f>IF($G721="","",IFERROR(INDEX(設定!$D$6:$D$18,MATCH($G721,設定!$B$6:$B$18,0)),""))</f>
        <v/>
      </c>
      <c r="I721" s="80">
        <f>IF($G721="","",IFERROR(INDEX(設定!$E$6:$E$18,MATCH($G721,設定!$B$6:$B$18,0)),""))</f>
        <v/>
      </c>
      <c r="J721" s="80">
        <f>IFERROR(INDEX(打卡匯入!$C$3:$C$2002,MATCH($C721&amp;"|"&amp;DAY($A721),打卡匯入!$E$3:$E$2002,0)),"")</f>
        <v/>
      </c>
      <c r="K721" s="80">
        <f>IFERROR(INDEX(打卡匯入!$D$3:$D$2002,MATCH($C721&amp;"|"&amp;DAY($A721),打卡匯入!$E$3:$E$2002,0)),"")</f>
        <v/>
      </c>
      <c r="L721" s="81">
        <f>IF(OR($J721="",$K721=""),"",IFERROR(INDEX(設定!$F$6:$F$18,MATCH($G721,設定!$B$6:$B$18,0)),0))</f>
        <v/>
      </c>
      <c r="M721" s="82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1">
        <f>IF(OR($C721="",$H721="",$J721=""),0,IF(ROUND(($J721-$H721)*1440,0)&gt;設定!$C$42,ROUND(($J721-$H721)*1440,0),0))</f>
        <v/>
      </c>
      <c r="P721" s="81">
        <f>IF(OR($C721="",$I721="",$K721=""),0,IF(ROUND(($I721-$K721)*1440,0)&gt;設定!$C$42,ROUND(($I721-$K721)*1440,0),0))</f>
        <v/>
      </c>
      <c r="Q721" s="82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79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0">
        <f>IF($G722="","",IFERROR(INDEX(設定!$D$6:$D$18,MATCH($G722,設定!$B$6:$B$18,0)),""))</f>
        <v/>
      </c>
      <c r="I722" s="80">
        <f>IF($G722="","",IFERROR(INDEX(設定!$E$6:$E$18,MATCH($G722,設定!$B$6:$B$18,0)),""))</f>
        <v/>
      </c>
      <c r="J722" s="80">
        <f>IFERROR(INDEX(打卡匯入!$C$3:$C$2002,MATCH($C722&amp;"|"&amp;DAY($A722),打卡匯入!$E$3:$E$2002,0)),"")</f>
        <v/>
      </c>
      <c r="K722" s="80">
        <f>IFERROR(INDEX(打卡匯入!$D$3:$D$2002,MATCH($C722&amp;"|"&amp;DAY($A722),打卡匯入!$E$3:$E$2002,0)),"")</f>
        <v/>
      </c>
      <c r="L722" s="81">
        <f>IF(OR($J722="",$K722=""),"",IFERROR(INDEX(設定!$F$6:$F$18,MATCH($G722,設定!$B$6:$B$18,0)),0))</f>
        <v/>
      </c>
      <c r="M722" s="82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1">
        <f>IF(OR($C722="",$H722="",$J722=""),0,IF(ROUND(($J722-$H722)*1440,0)&gt;設定!$C$42,ROUND(($J722-$H722)*1440,0),0))</f>
        <v/>
      </c>
      <c r="P722" s="81">
        <f>IF(OR($C722="",$I722="",$K722=""),0,IF(ROUND(($I722-$K722)*1440,0)&gt;設定!$C$42,ROUND(($I722-$K722)*1440,0),0))</f>
        <v/>
      </c>
      <c r="Q722" s="82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79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0">
        <f>IF($G723="","",IFERROR(INDEX(設定!$D$6:$D$18,MATCH($G723,設定!$B$6:$B$18,0)),""))</f>
        <v/>
      </c>
      <c r="I723" s="80">
        <f>IF($G723="","",IFERROR(INDEX(設定!$E$6:$E$18,MATCH($G723,設定!$B$6:$B$18,0)),""))</f>
        <v/>
      </c>
      <c r="J723" s="80">
        <f>IFERROR(INDEX(打卡匯入!$C$3:$C$2002,MATCH($C723&amp;"|"&amp;DAY($A723),打卡匯入!$E$3:$E$2002,0)),"")</f>
        <v/>
      </c>
      <c r="K723" s="80">
        <f>IFERROR(INDEX(打卡匯入!$D$3:$D$2002,MATCH($C723&amp;"|"&amp;DAY($A723),打卡匯入!$E$3:$E$2002,0)),"")</f>
        <v/>
      </c>
      <c r="L723" s="81">
        <f>IF(OR($J723="",$K723=""),"",IFERROR(INDEX(設定!$F$6:$F$18,MATCH($G723,設定!$B$6:$B$18,0)),0))</f>
        <v/>
      </c>
      <c r="M723" s="82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1">
        <f>IF(OR($C723="",$H723="",$J723=""),0,IF(ROUND(($J723-$H723)*1440,0)&gt;設定!$C$42,ROUND(($J723-$H723)*1440,0),0))</f>
        <v/>
      </c>
      <c r="P723" s="81">
        <f>IF(OR($C723="",$I723="",$K723=""),0,IF(ROUND(($I723-$K723)*1440,0)&gt;設定!$C$42,ROUND(($I723-$K723)*1440,0),0))</f>
        <v/>
      </c>
      <c r="Q723" s="82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79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0">
        <f>IF($G724="","",IFERROR(INDEX(設定!$D$6:$D$18,MATCH($G724,設定!$B$6:$B$18,0)),""))</f>
        <v/>
      </c>
      <c r="I724" s="80">
        <f>IF($G724="","",IFERROR(INDEX(設定!$E$6:$E$18,MATCH($G724,設定!$B$6:$B$18,0)),""))</f>
        <v/>
      </c>
      <c r="J724" s="80">
        <f>IFERROR(INDEX(打卡匯入!$C$3:$C$2002,MATCH($C724&amp;"|"&amp;DAY($A724),打卡匯入!$E$3:$E$2002,0)),"")</f>
        <v/>
      </c>
      <c r="K724" s="80">
        <f>IFERROR(INDEX(打卡匯入!$D$3:$D$2002,MATCH($C724&amp;"|"&amp;DAY($A724),打卡匯入!$E$3:$E$2002,0)),"")</f>
        <v/>
      </c>
      <c r="L724" s="81">
        <f>IF(OR($J724="",$K724=""),"",IFERROR(INDEX(設定!$F$6:$F$18,MATCH($G724,設定!$B$6:$B$18,0)),0))</f>
        <v/>
      </c>
      <c r="M724" s="82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1">
        <f>IF(OR($C724="",$H724="",$J724=""),0,IF(ROUND(($J724-$H724)*1440,0)&gt;設定!$C$42,ROUND(($J724-$H724)*1440,0),0))</f>
        <v/>
      </c>
      <c r="P724" s="81">
        <f>IF(OR($C724="",$I724="",$K724=""),0,IF(ROUND(($I724-$K724)*1440,0)&gt;設定!$C$42,ROUND(($I724-$K724)*1440,0),0))</f>
        <v/>
      </c>
      <c r="Q724" s="82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79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0">
        <f>IF($G725="","",IFERROR(INDEX(設定!$D$6:$D$18,MATCH($G725,設定!$B$6:$B$18,0)),""))</f>
        <v/>
      </c>
      <c r="I725" s="80">
        <f>IF($G725="","",IFERROR(INDEX(設定!$E$6:$E$18,MATCH($G725,設定!$B$6:$B$18,0)),""))</f>
        <v/>
      </c>
      <c r="J725" s="80">
        <f>IFERROR(INDEX(打卡匯入!$C$3:$C$2002,MATCH($C725&amp;"|"&amp;DAY($A725),打卡匯入!$E$3:$E$2002,0)),"")</f>
        <v/>
      </c>
      <c r="K725" s="80">
        <f>IFERROR(INDEX(打卡匯入!$D$3:$D$2002,MATCH($C725&amp;"|"&amp;DAY($A725),打卡匯入!$E$3:$E$2002,0)),"")</f>
        <v/>
      </c>
      <c r="L725" s="81">
        <f>IF(OR($J725="",$K725=""),"",IFERROR(INDEX(設定!$F$6:$F$18,MATCH($G725,設定!$B$6:$B$18,0)),0))</f>
        <v/>
      </c>
      <c r="M725" s="82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1">
        <f>IF(OR($C725="",$H725="",$J725=""),0,IF(ROUND(($J725-$H725)*1440,0)&gt;設定!$C$42,ROUND(($J725-$H725)*1440,0),0))</f>
        <v/>
      </c>
      <c r="P725" s="81">
        <f>IF(OR($C725="",$I725="",$K725=""),0,IF(ROUND(($I725-$K725)*1440,0)&gt;設定!$C$42,ROUND(($I725-$K725)*1440,0),0))</f>
        <v/>
      </c>
      <c r="Q725" s="82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79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0">
        <f>IF($G726="","",IFERROR(INDEX(設定!$D$6:$D$18,MATCH($G726,設定!$B$6:$B$18,0)),""))</f>
        <v/>
      </c>
      <c r="I726" s="80">
        <f>IF($G726="","",IFERROR(INDEX(設定!$E$6:$E$18,MATCH($G726,設定!$B$6:$B$18,0)),""))</f>
        <v/>
      </c>
      <c r="J726" s="80">
        <f>IFERROR(INDEX(打卡匯入!$C$3:$C$2002,MATCH($C726&amp;"|"&amp;DAY($A726),打卡匯入!$E$3:$E$2002,0)),"")</f>
        <v/>
      </c>
      <c r="K726" s="80">
        <f>IFERROR(INDEX(打卡匯入!$D$3:$D$2002,MATCH($C726&amp;"|"&amp;DAY($A726),打卡匯入!$E$3:$E$2002,0)),"")</f>
        <v/>
      </c>
      <c r="L726" s="81">
        <f>IF(OR($J726="",$K726=""),"",IFERROR(INDEX(設定!$F$6:$F$18,MATCH($G726,設定!$B$6:$B$18,0)),0))</f>
        <v/>
      </c>
      <c r="M726" s="82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1">
        <f>IF(OR($C726="",$H726="",$J726=""),0,IF(ROUND(($J726-$H726)*1440,0)&gt;設定!$C$42,ROUND(($J726-$H726)*1440,0),0))</f>
        <v/>
      </c>
      <c r="P726" s="81">
        <f>IF(OR($C726="",$I726="",$K726=""),0,IF(ROUND(($I726-$K726)*1440,0)&gt;設定!$C$42,ROUND(($I726-$K726)*1440,0),0))</f>
        <v/>
      </c>
      <c r="Q726" s="82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79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0">
        <f>IF($G727="","",IFERROR(INDEX(設定!$D$6:$D$18,MATCH($G727,設定!$B$6:$B$18,0)),""))</f>
        <v/>
      </c>
      <c r="I727" s="80">
        <f>IF($G727="","",IFERROR(INDEX(設定!$E$6:$E$18,MATCH($G727,設定!$B$6:$B$18,0)),""))</f>
        <v/>
      </c>
      <c r="J727" s="80">
        <f>IFERROR(INDEX(打卡匯入!$C$3:$C$2002,MATCH($C727&amp;"|"&amp;DAY($A727),打卡匯入!$E$3:$E$2002,0)),"")</f>
        <v/>
      </c>
      <c r="K727" s="80">
        <f>IFERROR(INDEX(打卡匯入!$D$3:$D$2002,MATCH($C727&amp;"|"&amp;DAY($A727),打卡匯入!$E$3:$E$2002,0)),"")</f>
        <v/>
      </c>
      <c r="L727" s="81">
        <f>IF(OR($J727="",$K727=""),"",IFERROR(INDEX(設定!$F$6:$F$18,MATCH($G727,設定!$B$6:$B$18,0)),0))</f>
        <v/>
      </c>
      <c r="M727" s="82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1">
        <f>IF(OR($C727="",$H727="",$J727=""),0,IF(ROUND(($J727-$H727)*1440,0)&gt;設定!$C$42,ROUND(($J727-$H727)*1440,0),0))</f>
        <v/>
      </c>
      <c r="P727" s="81">
        <f>IF(OR($C727="",$I727="",$K727=""),0,IF(ROUND(($I727-$K727)*1440,0)&gt;設定!$C$42,ROUND(($I727-$K727)*1440,0),0))</f>
        <v/>
      </c>
      <c r="Q727" s="82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79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0">
        <f>IF($G728="","",IFERROR(INDEX(設定!$D$6:$D$18,MATCH($G728,設定!$B$6:$B$18,0)),""))</f>
        <v/>
      </c>
      <c r="I728" s="80">
        <f>IF($G728="","",IFERROR(INDEX(設定!$E$6:$E$18,MATCH($G728,設定!$B$6:$B$18,0)),""))</f>
        <v/>
      </c>
      <c r="J728" s="80">
        <f>IFERROR(INDEX(打卡匯入!$C$3:$C$2002,MATCH($C728&amp;"|"&amp;DAY($A728),打卡匯入!$E$3:$E$2002,0)),"")</f>
        <v/>
      </c>
      <c r="K728" s="80">
        <f>IFERROR(INDEX(打卡匯入!$D$3:$D$2002,MATCH($C728&amp;"|"&amp;DAY($A728),打卡匯入!$E$3:$E$2002,0)),"")</f>
        <v/>
      </c>
      <c r="L728" s="81">
        <f>IF(OR($J728="",$K728=""),"",IFERROR(INDEX(設定!$F$6:$F$18,MATCH($G728,設定!$B$6:$B$18,0)),0))</f>
        <v/>
      </c>
      <c r="M728" s="82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1">
        <f>IF(OR($C728="",$H728="",$J728=""),0,IF(ROUND(($J728-$H728)*1440,0)&gt;設定!$C$42,ROUND(($J728-$H728)*1440,0),0))</f>
        <v/>
      </c>
      <c r="P728" s="81">
        <f>IF(OR($C728="",$I728="",$K728=""),0,IF(ROUND(($I728-$K728)*1440,0)&gt;設定!$C$42,ROUND(($I728-$K728)*1440,0),0))</f>
        <v/>
      </c>
      <c r="Q728" s="82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79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0">
        <f>IF($G729="","",IFERROR(INDEX(設定!$D$6:$D$18,MATCH($G729,設定!$B$6:$B$18,0)),""))</f>
        <v/>
      </c>
      <c r="I729" s="80">
        <f>IF($G729="","",IFERROR(INDEX(設定!$E$6:$E$18,MATCH($G729,設定!$B$6:$B$18,0)),""))</f>
        <v/>
      </c>
      <c r="J729" s="80">
        <f>IFERROR(INDEX(打卡匯入!$C$3:$C$2002,MATCH($C729&amp;"|"&amp;DAY($A729),打卡匯入!$E$3:$E$2002,0)),"")</f>
        <v/>
      </c>
      <c r="K729" s="80">
        <f>IFERROR(INDEX(打卡匯入!$D$3:$D$2002,MATCH($C729&amp;"|"&amp;DAY($A729),打卡匯入!$E$3:$E$2002,0)),"")</f>
        <v/>
      </c>
      <c r="L729" s="81">
        <f>IF(OR($J729="",$K729=""),"",IFERROR(INDEX(設定!$F$6:$F$18,MATCH($G729,設定!$B$6:$B$18,0)),0))</f>
        <v/>
      </c>
      <c r="M729" s="82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1">
        <f>IF(OR($C729="",$H729="",$J729=""),0,IF(ROUND(($J729-$H729)*1440,0)&gt;設定!$C$42,ROUND(($J729-$H729)*1440,0),0))</f>
        <v/>
      </c>
      <c r="P729" s="81">
        <f>IF(OR($C729="",$I729="",$K729=""),0,IF(ROUND(($I729-$K729)*1440,0)&gt;設定!$C$42,ROUND(($I729-$K729)*1440,0),0))</f>
        <v/>
      </c>
      <c r="Q729" s="82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79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0">
        <f>IF($G730="","",IFERROR(INDEX(設定!$D$6:$D$18,MATCH($G730,設定!$B$6:$B$18,0)),""))</f>
        <v/>
      </c>
      <c r="I730" s="80">
        <f>IF($G730="","",IFERROR(INDEX(設定!$E$6:$E$18,MATCH($G730,設定!$B$6:$B$18,0)),""))</f>
        <v/>
      </c>
      <c r="J730" s="80">
        <f>IFERROR(INDEX(打卡匯入!$C$3:$C$2002,MATCH($C730&amp;"|"&amp;DAY($A730),打卡匯入!$E$3:$E$2002,0)),"")</f>
        <v/>
      </c>
      <c r="K730" s="80">
        <f>IFERROR(INDEX(打卡匯入!$D$3:$D$2002,MATCH($C730&amp;"|"&amp;DAY($A730),打卡匯入!$E$3:$E$2002,0)),"")</f>
        <v/>
      </c>
      <c r="L730" s="81">
        <f>IF(OR($J730="",$K730=""),"",IFERROR(INDEX(設定!$F$6:$F$18,MATCH($G730,設定!$B$6:$B$18,0)),0))</f>
        <v/>
      </c>
      <c r="M730" s="82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1">
        <f>IF(OR($C730="",$H730="",$J730=""),0,IF(ROUND(($J730-$H730)*1440,0)&gt;設定!$C$42,ROUND(($J730-$H730)*1440,0),0))</f>
        <v/>
      </c>
      <c r="P730" s="81">
        <f>IF(OR($C730="",$I730="",$K730=""),0,IF(ROUND(($I730-$K730)*1440,0)&gt;設定!$C$42,ROUND(($I730-$K730)*1440,0),0))</f>
        <v/>
      </c>
      <c r="Q730" s="82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79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0">
        <f>IF($G731="","",IFERROR(INDEX(設定!$D$6:$D$18,MATCH($G731,設定!$B$6:$B$18,0)),""))</f>
        <v/>
      </c>
      <c r="I731" s="80">
        <f>IF($G731="","",IFERROR(INDEX(設定!$E$6:$E$18,MATCH($G731,設定!$B$6:$B$18,0)),""))</f>
        <v/>
      </c>
      <c r="J731" s="80">
        <f>IFERROR(INDEX(打卡匯入!$C$3:$C$2002,MATCH($C731&amp;"|"&amp;DAY($A731),打卡匯入!$E$3:$E$2002,0)),"")</f>
        <v/>
      </c>
      <c r="K731" s="80">
        <f>IFERROR(INDEX(打卡匯入!$D$3:$D$2002,MATCH($C731&amp;"|"&amp;DAY($A731),打卡匯入!$E$3:$E$2002,0)),"")</f>
        <v/>
      </c>
      <c r="L731" s="81">
        <f>IF(OR($J731="",$K731=""),"",IFERROR(INDEX(設定!$F$6:$F$18,MATCH($G731,設定!$B$6:$B$18,0)),0))</f>
        <v/>
      </c>
      <c r="M731" s="82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1">
        <f>IF(OR($C731="",$H731="",$J731=""),0,IF(ROUND(($J731-$H731)*1440,0)&gt;設定!$C$42,ROUND(($J731-$H731)*1440,0),0))</f>
        <v/>
      </c>
      <c r="P731" s="81">
        <f>IF(OR($C731="",$I731="",$K731=""),0,IF(ROUND(($I731-$K731)*1440,0)&gt;設定!$C$42,ROUND(($I731-$K731)*1440,0),0))</f>
        <v/>
      </c>
      <c r="Q731" s="82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79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0">
        <f>IF($G732="","",IFERROR(INDEX(設定!$D$6:$D$18,MATCH($G732,設定!$B$6:$B$18,0)),""))</f>
        <v/>
      </c>
      <c r="I732" s="80">
        <f>IF($G732="","",IFERROR(INDEX(設定!$E$6:$E$18,MATCH($G732,設定!$B$6:$B$18,0)),""))</f>
        <v/>
      </c>
      <c r="J732" s="80">
        <f>IFERROR(INDEX(打卡匯入!$C$3:$C$2002,MATCH($C732&amp;"|"&amp;DAY($A732),打卡匯入!$E$3:$E$2002,0)),"")</f>
        <v/>
      </c>
      <c r="K732" s="80">
        <f>IFERROR(INDEX(打卡匯入!$D$3:$D$2002,MATCH($C732&amp;"|"&amp;DAY($A732),打卡匯入!$E$3:$E$2002,0)),"")</f>
        <v/>
      </c>
      <c r="L732" s="81">
        <f>IF(OR($J732="",$K732=""),"",IFERROR(INDEX(設定!$F$6:$F$18,MATCH($G732,設定!$B$6:$B$18,0)),0))</f>
        <v/>
      </c>
      <c r="M732" s="82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1">
        <f>IF(OR($C732="",$H732="",$J732=""),0,IF(ROUND(($J732-$H732)*1440,0)&gt;設定!$C$42,ROUND(($J732-$H732)*1440,0),0))</f>
        <v/>
      </c>
      <c r="P732" s="81">
        <f>IF(OR($C732="",$I732="",$K732=""),0,IF(ROUND(($I732-$K732)*1440,0)&gt;設定!$C$42,ROUND(($I732-$K732)*1440,0),0))</f>
        <v/>
      </c>
      <c r="Q732" s="82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79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0">
        <f>IF($G733="","",IFERROR(INDEX(設定!$D$6:$D$18,MATCH($G733,設定!$B$6:$B$18,0)),""))</f>
        <v/>
      </c>
      <c r="I733" s="80">
        <f>IF($G733="","",IFERROR(INDEX(設定!$E$6:$E$18,MATCH($G733,設定!$B$6:$B$18,0)),""))</f>
        <v/>
      </c>
      <c r="J733" s="80">
        <f>IFERROR(INDEX(打卡匯入!$C$3:$C$2002,MATCH($C733&amp;"|"&amp;DAY($A733),打卡匯入!$E$3:$E$2002,0)),"")</f>
        <v/>
      </c>
      <c r="K733" s="80">
        <f>IFERROR(INDEX(打卡匯入!$D$3:$D$2002,MATCH($C733&amp;"|"&amp;DAY($A733),打卡匯入!$E$3:$E$2002,0)),"")</f>
        <v/>
      </c>
      <c r="L733" s="81">
        <f>IF(OR($J733="",$K733=""),"",IFERROR(INDEX(設定!$F$6:$F$18,MATCH($G733,設定!$B$6:$B$18,0)),0))</f>
        <v/>
      </c>
      <c r="M733" s="82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1">
        <f>IF(OR($C733="",$H733="",$J733=""),0,IF(ROUND(($J733-$H733)*1440,0)&gt;設定!$C$42,ROUND(($J733-$H733)*1440,0),0))</f>
        <v/>
      </c>
      <c r="P733" s="81">
        <f>IF(OR($C733="",$I733="",$K733=""),0,IF(ROUND(($I733-$K733)*1440,0)&gt;設定!$C$42,ROUND(($I733-$K733)*1440,0),0))</f>
        <v/>
      </c>
      <c r="Q733" s="82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79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0">
        <f>IF($G734="","",IFERROR(INDEX(設定!$D$6:$D$18,MATCH($G734,設定!$B$6:$B$18,0)),""))</f>
        <v/>
      </c>
      <c r="I734" s="80">
        <f>IF($G734="","",IFERROR(INDEX(設定!$E$6:$E$18,MATCH($G734,設定!$B$6:$B$18,0)),""))</f>
        <v/>
      </c>
      <c r="J734" s="80">
        <f>IFERROR(INDEX(打卡匯入!$C$3:$C$2002,MATCH($C734&amp;"|"&amp;DAY($A734),打卡匯入!$E$3:$E$2002,0)),"")</f>
        <v/>
      </c>
      <c r="K734" s="80">
        <f>IFERROR(INDEX(打卡匯入!$D$3:$D$2002,MATCH($C734&amp;"|"&amp;DAY($A734),打卡匯入!$E$3:$E$2002,0)),"")</f>
        <v/>
      </c>
      <c r="L734" s="81">
        <f>IF(OR($J734="",$K734=""),"",IFERROR(INDEX(設定!$F$6:$F$18,MATCH($G734,設定!$B$6:$B$18,0)),0))</f>
        <v/>
      </c>
      <c r="M734" s="82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1">
        <f>IF(OR($C734="",$H734="",$J734=""),0,IF(ROUND(($J734-$H734)*1440,0)&gt;設定!$C$42,ROUND(($J734-$H734)*1440,0),0))</f>
        <v/>
      </c>
      <c r="P734" s="81">
        <f>IF(OR($C734="",$I734="",$K734=""),0,IF(ROUND(($I734-$K734)*1440,0)&gt;設定!$C$42,ROUND(($I734-$K734)*1440,0),0))</f>
        <v/>
      </c>
      <c r="Q734" s="82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79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0">
        <f>IF($G735="","",IFERROR(INDEX(設定!$D$6:$D$18,MATCH($G735,設定!$B$6:$B$18,0)),""))</f>
        <v/>
      </c>
      <c r="I735" s="80">
        <f>IF($G735="","",IFERROR(INDEX(設定!$E$6:$E$18,MATCH($G735,設定!$B$6:$B$18,0)),""))</f>
        <v/>
      </c>
      <c r="J735" s="80">
        <f>IFERROR(INDEX(打卡匯入!$C$3:$C$2002,MATCH($C735&amp;"|"&amp;DAY($A735),打卡匯入!$E$3:$E$2002,0)),"")</f>
        <v/>
      </c>
      <c r="K735" s="80">
        <f>IFERROR(INDEX(打卡匯入!$D$3:$D$2002,MATCH($C735&amp;"|"&amp;DAY($A735),打卡匯入!$E$3:$E$2002,0)),"")</f>
        <v/>
      </c>
      <c r="L735" s="81">
        <f>IF(OR($J735="",$K735=""),"",IFERROR(INDEX(設定!$F$6:$F$18,MATCH($G735,設定!$B$6:$B$18,0)),0))</f>
        <v/>
      </c>
      <c r="M735" s="82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1">
        <f>IF(OR($C735="",$H735="",$J735=""),0,IF(ROUND(($J735-$H735)*1440,0)&gt;設定!$C$42,ROUND(($J735-$H735)*1440,0),0))</f>
        <v/>
      </c>
      <c r="P735" s="81">
        <f>IF(OR($C735="",$I735="",$K735=""),0,IF(ROUND(($I735-$K735)*1440,0)&gt;設定!$C$42,ROUND(($I735-$K735)*1440,0),0))</f>
        <v/>
      </c>
      <c r="Q735" s="82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79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0">
        <f>IF($G736="","",IFERROR(INDEX(設定!$D$6:$D$18,MATCH($G736,設定!$B$6:$B$18,0)),""))</f>
        <v/>
      </c>
      <c r="I736" s="80">
        <f>IF($G736="","",IFERROR(INDEX(設定!$E$6:$E$18,MATCH($G736,設定!$B$6:$B$18,0)),""))</f>
        <v/>
      </c>
      <c r="J736" s="80">
        <f>IFERROR(INDEX(打卡匯入!$C$3:$C$2002,MATCH($C736&amp;"|"&amp;DAY($A736),打卡匯入!$E$3:$E$2002,0)),"")</f>
        <v/>
      </c>
      <c r="K736" s="80">
        <f>IFERROR(INDEX(打卡匯入!$D$3:$D$2002,MATCH($C736&amp;"|"&amp;DAY($A736),打卡匯入!$E$3:$E$2002,0)),"")</f>
        <v/>
      </c>
      <c r="L736" s="81">
        <f>IF(OR($J736="",$K736=""),"",IFERROR(INDEX(設定!$F$6:$F$18,MATCH($G736,設定!$B$6:$B$18,0)),0))</f>
        <v/>
      </c>
      <c r="M736" s="82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1">
        <f>IF(OR($C736="",$H736="",$J736=""),0,IF(ROUND(($J736-$H736)*1440,0)&gt;設定!$C$42,ROUND(($J736-$H736)*1440,0),0))</f>
        <v/>
      </c>
      <c r="P736" s="81">
        <f>IF(OR($C736="",$I736="",$K736=""),0,IF(ROUND(($I736-$K736)*1440,0)&gt;設定!$C$42,ROUND(($I736-$K736)*1440,0),0))</f>
        <v/>
      </c>
      <c r="Q736" s="82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79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0">
        <f>IF($G737="","",IFERROR(INDEX(設定!$D$6:$D$18,MATCH($G737,設定!$B$6:$B$18,0)),""))</f>
        <v/>
      </c>
      <c r="I737" s="80">
        <f>IF($G737="","",IFERROR(INDEX(設定!$E$6:$E$18,MATCH($G737,設定!$B$6:$B$18,0)),""))</f>
        <v/>
      </c>
      <c r="J737" s="80">
        <f>IFERROR(INDEX(打卡匯入!$C$3:$C$2002,MATCH($C737&amp;"|"&amp;DAY($A737),打卡匯入!$E$3:$E$2002,0)),"")</f>
        <v/>
      </c>
      <c r="K737" s="80">
        <f>IFERROR(INDEX(打卡匯入!$D$3:$D$2002,MATCH($C737&amp;"|"&amp;DAY($A737),打卡匯入!$E$3:$E$2002,0)),"")</f>
        <v/>
      </c>
      <c r="L737" s="81">
        <f>IF(OR($J737="",$K737=""),"",IFERROR(INDEX(設定!$F$6:$F$18,MATCH($G737,設定!$B$6:$B$18,0)),0))</f>
        <v/>
      </c>
      <c r="M737" s="82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1">
        <f>IF(OR($C737="",$H737="",$J737=""),0,IF(ROUND(($J737-$H737)*1440,0)&gt;設定!$C$42,ROUND(($J737-$H737)*1440,0),0))</f>
        <v/>
      </c>
      <c r="P737" s="81">
        <f>IF(OR($C737="",$I737="",$K737=""),0,IF(ROUND(($I737-$K737)*1440,0)&gt;設定!$C$42,ROUND(($I737-$K737)*1440,0),0))</f>
        <v/>
      </c>
      <c r="Q737" s="82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79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0">
        <f>IF($G738="","",IFERROR(INDEX(設定!$D$6:$D$18,MATCH($G738,設定!$B$6:$B$18,0)),""))</f>
        <v/>
      </c>
      <c r="I738" s="80">
        <f>IF($G738="","",IFERROR(INDEX(設定!$E$6:$E$18,MATCH($G738,設定!$B$6:$B$18,0)),""))</f>
        <v/>
      </c>
      <c r="J738" s="80">
        <f>IFERROR(INDEX(打卡匯入!$C$3:$C$2002,MATCH($C738&amp;"|"&amp;DAY($A738),打卡匯入!$E$3:$E$2002,0)),"")</f>
        <v/>
      </c>
      <c r="K738" s="80">
        <f>IFERROR(INDEX(打卡匯入!$D$3:$D$2002,MATCH($C738&amp;"|"&amp;DAY($A738),打卡匯入!$E$3:$E$2002,0)),"")</f>
        <v/>
      </c>
      <c r="L738" s="81">
        <f>IF(OR($J738="",$K738=""),"",IFERROR(INDEX(設定!$F$6:$F$18,MATCH($G738,設定!$B$6:$B$18,0)),0))</f>
        <v/>
      </c>
      <c r="M738" s="82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1">
        <f>IF(OR($C738="",$H738="",$J738=""),0,IF(ROUND(($J738-$H738)*1440,0)&gt;設定!$C$42,ROUND(($J738-$H738)*1440,0),0))</f>
        <v/>
      </c>
      <c r="P738" s="81">
        <f>IF(OR($C738="",$I738="",$K738=""),0,IF(ROUND(($I738-$K738)*1440,0)&gt;設定!$C$42,ROUND(($I738-$K738)*1440,0),0))</f>
        <v/>
      </c>
      <c r="Q738" s="82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79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0">
        <f>IF($G739="","",IFERROR(INDEX(設定!$D$6:$D$18,MATCH($G739,設定!$B$6:$B$18,0)),""))</f>
        <v/>
      </c>
      <c r="I739" s="80">
        <f>IF($G739="","",IFERROR(INDEX(設定!$E$6:$E$18,MATCH($G739,設定!$B$6:$B$18,0)),""))</f>
        <v/>
      </c>
      <c r="J739" s="80">
        <f>IFERROR(INDEX(打卡匯入!$C$3:$C$2002,MATCH($C739&amp;"|"&amp;DAY($A739),打卡匯入!$E$3:$E$2002,0)),"")</f>
        <v/>
      </c>
      <c r="K739" s="80">
        <f>IFERROR(INDEX(打卡匯入!$D$3:$D$2002,MATCH($C739&amp;"|"&amp;DAY($A739),打卡匯入!$E$3:$E$2002,0)),"")</f>
        <v/>
      </c>
      <c r="L739" s="81">
        <f>IF(OR($J739="",$K739=""),"",IFERROR(INDEX(設定!$F$6:$F$18,MATCH($G739,設定!$B$6:$B$18,0)),0))</f>
        <v/>
      </c>
      <c r="M739" s="82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1">
        <f>IF(OR($C739="",$H739="",$J739=""),0,IF(ROUND(($J739-$H739)*1440,0)&gt;設定!$C$42,ROUND(($J739-$H739)*1440,0),0))</f>
        <v/>
      </c>
      <c r="P739" s="81">
        <f>IF(OR($C739="",$I739="",$K739=""),0,IF(ROUND(($I739-$K739)*1440,0)&gt;設定!$C$42,ROUND(($I739-$K739)*1440,0),0))</f>
        <v/>
      </c>
      <c r="Q739" s="82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79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0">
        <f>IF($G740="","",IFERROR(INDEX(設定!$D$6:$D$18,MATCH($G740,設定!$B$6:$B$18,0)),""))</f>
        <v/>
      </c>
      <c r="I740" s="80">
        <f>IF($G740="","",IFERROR(INDEX(設定!$E$6:$E$18,MATCH($G740,設定!$B$6:$B$18,0)),""))</f>
        <v/>
      </c>
      <c r="J740" s="80">
        <f>IFERROR(INDEX(打卡匯入!$C$3:$C$2002,MATCH($C740&amp;"|"&amp;DAY($A740),打卡匯入!$E$3:$E$2002,0)),"")</f>
        <v/>
      </c>
      <c r="K740" s="80">
        <f>IFERROR(INDEX(打卡匯入!$D$3:$D$2002,MATCH($C740&amp;"|"&amp;DAY($A740),打卡匯入!$E$3:$E$2002,0)),"")</f>
        <v/>
      </c>
      <c r="L740" s="81">
        <f>IF(OR($J740="",$K740=""),"",IFERROR(INDEX(設定!$F$6:$F$18,MATCH($G740,設定!$B$6:$B$18,0)),0))</f>
        <v/>
      </c>
      <c r="M740" s="82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1">
        <f>IF(OR($C740="",$H740="",$J740=""),0,IF(ROUND(($J740-$H740)*1440,0)&gt;設定!$C$42,ROUND(($J740-$H740)*1440,0),0))</f>
        <v/>
      </c>
      <c r="P740" s="81">
        <f>IF(OR($C740="",$I740="",$K740=""),0,IF(ROUND(($I740-$K740)*1440,0)&gt;設定!$C$42,ROUND(($I740-$K740)*1440,0),0))</f>
        <v/>
      </c>
      <c r="Q740" s="82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79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0">
        <f>IF($G741="","",IFERROR(INDEX(設定!$D$6:$D$18,MATCH($G741,設定!$B$6:$B$18,0)),""))</f>
        <v/>
      </c>
      <c r="I741" s="80">
        <f>IF($G741="","",IFERROR(INDEX(設定!$E$6:$E$18,MATCH($G741,設定!$B$6:$B$18,0)),""))</f>
        <v/>
      </c>
      <c r="J741" s="80">
        <f>IFERROR(INDEX(打卡匯入!$C$3:$C$2002,MATCH($C741&amp;"|"&amp;DAY($A741),打卡匯入!$E$3:$E$2002,0)),"")</f>
        <v/>
      </c>
      <c r="K741" s="80">
        <f>IFERROR(INDEX(打卡匯入!$D$3:$D$2002,MATCH($C741&amp;"|"&amp;DAY($A741),打卡匯入!$E$3:$E$2002,0)),"")</f>
        <v/>
      </c>
      <c r="L741" s="81">
        <f>IF(OR($J741="",$K741=""),"",IFERROR(INDEX(設定!$F$6:$F$18,MATCH($G741,設定!$B$6:$B$18,0)),0))</f>
        <v/>
      </c>
      <c r="M741" s="82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1">
        <f>IF(OR($C741="",$H741="",$J741=""),0,IF(ROUND(($J741-$H741)*1440,0)&gt;設定!$C$42,ROUND(($J741-$H741)*1440,0),0))</f>
        <v/>
      </c>
      <c r="P741" s="81">
        <f>IF(OR($C741="",$I741="",$K741=""),0,IF(ROUND(($I741-$K741)*1440,0)&gt;設定!$C$42,ROUND(($I741-$K741)*1440,0),0))</f>
        <v/>
      </c>
      <c r="Q741" s="82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79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0">
        <f>IF($G742="","",IFERROR(INDEX(設定!$D$6:$D$18,MATCH($G742,設定!$B$6:$B$18,0)),""))</f>
        <v/>
      </c>
      <c r="I742" s="80">
        <f>IF($G742="","",IFERROR(INDEX(設定!$E$6:$E$18,MATCH($G742,設定!$B$6:$B$18,0)),""))</f>
        <v/>
      </c>
      <c r="J742" s="80">
        <f>IFERROR(INDEX(打卡匯入!$C$3:$C$2002,MATCH($C742&amp;"|"&amp;DAY($A742),打卡匯入!$E$3:$E$2002,0)),"")</f>
        <v/>
      </c>
      <c r="K742" s="80">
        <f>IFERROR(INDEX(打卡匯入!$D$3:$D$2002,MATCH($C742&amp;"|"&amp;DAY($A742),打卡匯入!$E$3:$E$2002,0)),"")</f>
        <v/>
      </c>
      <c r="L742" s="81">
        <f>IF(OR($J742="",$K742=""),"",IFERROR(INDEX(設定!$F$6:$F$18,MATCH($G742,設定!$B$6:$B$18,0)),0))</f>
        <v/>
      </c>
      <c r="M742" s="82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1">
        <f>IF(OR($C742="",$H742="",$J742=""),0,IF(ROUND(($J742-$H742)*1440,0)&gt;設定!$C$42,ROUND(($J742-$H742)*1440,0),0))</f>
        <v/>
      </c>
      <c r="P742" s="81">
        <f>IF(OR($C742="",$I742="",$K742=""),0,IF(ROUND(($I742-$K742)*1440,0)&gt;設定!$C$42,ROUND(($I742-$K742)*1440,0),0))</f>
        <v/>
      </c>
      <c r="Q742" s="82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79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0">
        <f>IF($G743="","",IFERROR(INDEX(設定!$D$6:$D$18,MATCH($G743,設定!$B$6:$B$18,0)),""))</f>
        <v/>
      </c>
      <c r="I743" s="80">
        <f>IF($G743="","",IFERROR(INDEX(設定!$E$6:$E$18,MATCH($G743,設定!$B$6:$B$18,0)),""))</f>
        <v/>
      </c>
      <c r="J743" s="80">
        <f>IFERROR(INDEX(打卡匯入!$C$3:$C$2002,MATCH($C743&amp;"|"&amp;DAY($A743),打卡匯入!$E$3:$E$2002,0)),"")</f>
        <v/>
      </c>
      <c r="K743" s="80">
        <f>IFERROR(INDEX(打卡匯入!$D$3:$D$2002,MATCH($C743&amp;"|"&amp;DAY($A743),打卡匯入!$E$3:$E$2002,0)),"")</f>
        <v/>
      </c>
      <c r="L743" s="81">
        <f>IF(OR($J743="",$K743=""),"",IFERROR(INDEX(設定!$F$6:$F$18,MATCH($G743,設定!$B$6:$B$18,0)),0))</f>
        <v/>
      </c>
      <c r="M743" s="82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1">
        <f>IF(OR($C743="",$H743="",$J743=""),0,IF(ROUND(($J743-$H743)*1440,0)&gt;設定!$C$42,ROUND(($J743-$H743)*1440,0),0))</f>
        <v/>
      </c>
      <c r="P743" s="81">
        <f>IF(OR($C743="",$I743="",$K743=""),0,IF(ROUND(($I743-$K743)*1440,0)&gt;設定!$C$42,ROUND(($I743-$K743)*1440,0),0))</f>
        <v/>
      </c>
      <c r="Q743" s="82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79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0">
        <f>IF($G744="","",IFERROR(INDEX(設定!$D$6:$D$18,MATCH($G744,設定!$B$6:$B$18,0)),""))</f>
        <v/>
      </c>
      <c r="I744" s="80">
        <f>IF($G744="","",IFERROR(INDEX(設定!$E$6:$E$18,MATCH($G744,設定!$B$6:$B$18,0)),""))</f>
        <v/>
      </c>
      <c r="J744" s="80">
        <f>IFERROR(INDEX(打卡匯入!$C$3:$C$2002,MATCH($C744&amp;"|"&amp;DAY($A744),打卡匯入!$E$3:$E$2002,0)),"")</f>
        <v/>
      </c>
      <c r="K744" s="80">
        <f>IFERROR(INDEX(打卡匯入!$D$3:$D$2002,MATCH($C744&amp;"|"&amp;DAY($A744),打卡匯入!$E$3:$E$2002,0)),"")</f>
        <v/>
      </c>
      <c r="L744" s="81">
        <f>IF(OR($J744="",$K744=""),"",IFERROR(INDEX(設定!$F$6:$F$18,MATCH($G744,設定!$B$6:$B$18,0)),0))</f>
        <v/>
      </c>
      <c r="M744" s="82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1">
        <f>IF(OR($C744="",$H744="",$J744=""),0,IF(ROUND(($J744-$H744)*1440,0)&gt;設定!$C$42,ROUND(($J744-$H744)*1440,0),0))</f>
        <v/>
      </c>
      <c r="P744" s="81">
        <f>IF(OR($C744="",$I744="",$K744=""),0,IF(ROUND(($I744-$K744)*1440,0)&gt;設定!$C$42,ROUND(($I744-$K744)*1440,0),0))</f>
        <v/>
      </c>
      <c r="Q744" s="82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79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0">
        <f>IF($G745="","",IFERROR(INDEX(設定!$D$6:$D$18,MATCH($G745,設定!$B$6:$B$18,0)),""))</f>
        <v/>
      </c>
      <c r="I745" s="80">
        <f>IF($G745="","",IFERROR(INDEX(設定!$E$6:$E$18,MATCH($G745,設定!$B$6:$B$18,0)),""))</f>
        <v/>
      </c>
      <c r="J745" s="80">
        <f>IFERROR(INDEX(打卡匯入!$C$3:$C$2002,MATCH($C745&amp;"|"&amp;DAY($A745),打卡匯入!$E$3:$E$2002,0)),"")</f>
        <v/>
      </c>
      <c r="K745" s="80">
        <f>IFERROR(INDEX(打卡匯入!$D$3:$D$2002,MATCH($C745&amp;"|"&amp;DAY($A745),打卡匯入!$E$3:$E$2002,0)),"")</f>
        <v/>
      </c>
      <c r="L745" s="81">
        <f>IF(OR($J745="",$K745=""),"",IFERROR(INDEX(設定!$F$6:$F$18,MATCH($G745,設定!$B$6:$B$18,0)),0))</f>
        <v/>
      </c>
      <c r="M745" s="82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1">
        <f>IF(OR($C745="",$H745="",$J745=""),0,IF(ROUND(($J745-$H745)*1440,0)&gt;設定!$C$42,ROUND(($J745-$H745)*1440,0),0))</f>
        <v/>
      </c>
      <c r="P745" s="81">
        <f>IF(OR($C745="",$I745="",$K745=""),0,IF(ROUND(($I745-$K745)*1440,0)&gt;設定!$C$42,ROUND(($I745-$K745)*1440,0),0))</f>
        <v/>
      </c>
      <c r="Q745" s="82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79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0">
        <f>IF($G746="","",IFERROR(INDEX(設定!$D$6:$D$18,MATCH($G746,設定!$B$6:$B$18,0)),""))</f>
        <v/>
      </c>
      <c r="I746" s="80">
        <f>IF($G746="","",IFERROR(INDEX(設定!$E$6:$E$18,MATCH($G746,設定!$B$6:$B$18,0)),""))</f>
        <v/>
      </c>
      <c r="J746" s="80">
        <f>IFERROR(INDEX(打卡匯入!$C$3:$C$2002,MATCH($C746&amp;"|"&amp;DAY($A746),打卡匯入!$E$3:$E$2002,0)),"")</f>
        <v/>
      </c>
      <c r="K746" s="80">
        <f>IFERROR(INDEX(打卡匯入!$D$3:$D$2002,MATCH($C746&amp;"|"&amp;DAY($A746),打卡匯入!$E$3:$E$2002,0)),"")</f>
        <v/>
      </c>
      <c r="L746" s="81">
        <f>IF(OR($J746="",$K746=""),"",IFERROR(INDEX(設定!$F$6:$F$18,MATCH($G746,設定!$B$6:$B$18,0)),0))</f>
        <v/>
      </c>
      <c r="M746" s="82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1">
        <f>IF(OR($C746="",$H746="",$J746=""),0,IF(ROUND(($J746-$H746)*1440,0)&gt;設定!$C$42,ROUND(($J746-$H746)*1440,0),0))</f>
        <v/>
      </c>
      <c r="P746" s="81">
        <f>IF(OR($C746="",$I746="",$K746=""),0,IF(ROUND(($I746-$K746)*1440,0)&gt;設定!$C$42,ROUND(($I746-$K746)*1440,0),0))</f>
        <v/>
      </c>
      <c r="Q746" s="82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79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0">
        <f>IF($G747="","",IFERROR(INDEX(設定!$D$6:$D$18,MATCH($G747,設定!$B$6:$B$18,0)),""))</f>
        <v/>
      </c>
      <c r="I747" s="80">
        <f>IF($G747="","",IFERROR(INDEX(設定!$E$6:$E$18,MATCH($G747,設定!$B$6:$B$18,0)),""))</f>
        <v/>
      </c>
      <c r="J747" s="80">
        <f>IFERROR(INDEX(打卡匯入!$C$3:$C$2002,MATCH($C747&amp;"|"&amp;DAY($A747),打卡匯入!$E$3:$E$2002,0)),"")</f>
        <v/>
      </c>
      <c r="K747" s="80">
        <f>IFERROR(INDEX(打卡匯入!$D$3:$D$2002,MATCH($C747&amp;"|"&amp;DAY($A747),打卡匯入!$E$3:$E$2002,0)),"")</f>
        <v/>
      </c>
      <c r="L747" s="81">
        <f>IF(OR($J747="",$K747=""),"",IFERROR(INDEX(設定!$F$6:$F$18,MATCH($G747,設定!$B$6:$B$18,0)),0))</f>
        <v/>
      </c>
      <c r="M747" s="82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1">
        <f>IF(OR($C747="",$H747="",$J747=""),0,IF(ROUND(($J747-$H747)*1440,0)&gt;設定!$C$42,ROUND(($J747-$H747)*1440,0),0))</f>
        <v/>
      </c>
      <c r="P747" s="81">
        <f>IF(OR($C747="",$I747="",$K747=""),0,IF(ROUND(($I747-$K747)*1440,0)&gt;設定!$C$42,ROUND(($I747-$K747)*1440,0),0))</f>
        <v/>
      </c>
      <c r="Q747" s="82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79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0">
        <f>IF($G748="","",IFERROR(INDEX(設定!$D$6:$D$18,MATCH($G748,設定!$B$6:$B$18,0)),""))</f>
        <v/>
      </c>
      <c r="I748" s="80">
        <f>IF($G748="","",IFERROR(INDEX(設定!$E$6:$E$18,MATCH($G748,設定!$B$6:$B$18,0)),""))</f>
        <v/>
      </c>
      <c r="J748" s="80">
        <f>IFERROR(INDEX(打卡匯入!$C$3:$C$2002,MATCH($C748&amp;"|"&amp;DAY($A748),打卡匯入!$E$3:$E$2002,0)),"")</f>
        <v/>
      </c>
      <c r="K748" s="80">
        <f>IFERROR(INDEX(打卡匯入!$D$3:$D$2002,MATCH($C748&amp;"|"&amp;DAY($A748),打卡匯入!$E$3:$E$2002,0)),"")</f>
        <v/>
      </c>
      <c r="L748" s="81">
        <f>IF(OR($J748="",$K748=""),"",IFERROR(INDEX(設定!$F$6:$F$18,MATCH($G748,設定!$B$6:$B$18,0)),0))</f>
        <v/>
      </c>
      <c r="M748" s="82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1">
        <f>IF(OR($C748="",$H748="",$J748=""),0,IF(ROUND(($J748-$H748)*1440,0)&gt;設定!$C$42,ROUND(($J748-$H748)*1440,0),0))</f>
        <v/>
      </c>
      <c r="P748" s="81">
        <f>IF(OR($C748="",$I748="",$K748=""),0,IF(ROUND(($I748-$K748)*1440,0)&gt;設定!$C$42,ROUND(($I748-$K748)*1440,0),0))</f>
        <v/>
      </c>
      <c r="Q748" s="82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79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0">
        <f>IF($G749="","",IFERROR(INDEX(設定!$D$6:$D$18,MATCH($G749,設定!$B$6:$B$18,0)),""))</f>
        <v/>
      </c>
      <c r="I749" s="80">
        <f>IF($G749="","",IFERROR(INDEX(設定!$E$6:$E$18,MATCH($G749,設定!$B$6:$B$18,0)),""))</f>
        <v/>
      </c>
      <c r="J749" s="80">
        <f>IFERROR(INDEX(打卡匯入!$C$3:$C$2002,MATCH($C749&amp;"|"&amp;DAY($A749),打卡匯入!$E$3:$E$2002,0)),"")</f>
        <v/>
      </c>
      <c r="K749" s="80">
        <f>IFERROR(INDEX(打卡匯入!$D$3:$D$2002,MATCH($C749&amp;"|"&amp;DAY($A749),打卡匯入!$E$3:$E$2002,0)),"")</f>
        <v/>
      </c>
      <c r="L749" s="81">
        <f>IF(OR($J749="",$K749=""),"",IFERROR(INDEX(設定!$F$6:$F$18,MATCH($G749,設定!$B$6:$B$18,0)),0))</f>
        <v/>
      </c>
      <c r="M749" s="82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1">
        <f>IF(OR($C749="",$H749="",$J749=""),0,IF(ROUND(($J749-$H749)*1440,0)&gt;設定!$C$42,ROUND(($J749-$H749)*1440,0),0))</f>
        <v/>
      </c>
      <c r="P749" s="81">
        <f>IF(OR($C749="",$I749="",$K749=""),0,IF(ROUND(($I749-$K749)*1440,0)&gt;設定!$C$42,ROUND(($I749-$K749)*1440,0),0))</f>
        <v/>
      </c>
      <c r="Q749" s="82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79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0">
        <f>IF($G750="","",IFERROR(INDEX(設定!$D$6:$D$18,MATCH($G750,設定!$B$6:$B$18,0)),""))</f>
        <v/>
      </c>
      <c r="I750" s="80">
        <f>IF($G750="","",IFERROR(INDEX(設定!$E$6:$E$18,MATCH($G750,設定!$B$6:$B$18,0)),""))</f>
        <v/>
      </c>
      <c r="J750" s="80">
        <f>IFERROR(INDEX(打卡匯入!$C$3:$C$2002,MATCH($C750&amp;"|"&amp;DAY($A750),打卡匯入!$E$3:$E$2002,0)),"")</f>
        <v/>
      </c>
      <c r="K750" s="80">
        <f>IFERROR(INDEX(打卡匯入!$D$3:$D$2002,MATCH($C750&amp;"|"&amp;DAY($A750),打卡匯入!$E$3:$E$2002,0)),"")</f>
        <v/>
      </c>
      <c r="L750" s="81">
        <f>IF(OR($J750="",$K750=""),"",IFERROR(INDEX(設定!$F$6:$F$18,MATCH($G750,設定!$B$6:$B$18,0)),0))</f>
        <v/>
      </c>
      <c r="M750" s="82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1">
        <f>IF(OR($C750="",$H750="",$J750=""),0,IF(ROUND(($J750-$H750)*1440,0)&gt;設定!$C$42,ROUND(($J750-$H750)*1440,0),0))</f>
        <v/>
      </c>
      <c r="P750" s="81">
        <f>IF(OR($C750="",$I750="",$K750=""),0,IF(ROUND(($I750-$K750)*1440,0)&gt;設定!$C$42,ROUND(($I750-$K750)*1440,0),0))</f>
        <v/>
      </c>
      <c r="Q750" s="82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79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0">
        <f>IF($G751="","",IFERROR(INDEX(設定!$D$6:$D$18,MATCH($G751,設定!$B$6:$B$18,0)),""))</f>
        <v/>
      </c>
      <c r="I751" s="80">
        <f>IF($G751="","",IFERROR(INDEX(設定!$E$6:$E$18,MATCH($G751,設定!$B$6:$B$18,0)),""))</f>
        <v/>
      </c>
      <c r="J751" s="80">
        <f>IFERROR(INDEX(打卡匯入!$C$3:$C$2002,MATCH($C751&amp;"|"&amp;DAY($A751),打卡匯入!$E$3:$E$2002,0)),"")</f>
        <v/>
      </c>
      <c r="K751" s="80">
        <f>IFERROR(INDEX(打卡匯入!$D$3:$D$2002,MATCH($C751&amp;"|"&amp;DAY($A751),打卡匯入!$E$3:$E$2002,0)),"")</f>
        <v/>
      </c>
      <c r="L751" s="81">
        <f>IF(OR($J751="",$K751=""),"",IFERROR(INDEX(設定!$F$6:$F$18,MATCH($G751,設定!$B$6:$B$18,0)),0))</f>
        <v/>
      </c>
      <c r="M751" s="82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1">
        <f>IF(OR($C751="",$H751="",$J751=""),0,IF(ROUND(($J751-$H751)*1440,0)&gt;設定!$C$42,ROUND(($J751-$H751)*1440,0),0))</f>
        <v/>
      </c>
      <c r="P751" s="81">
        <f>IF(OR($C751="",$I751="",$K751=""),0,IF(ROUND(($I751-$K751)*1440,0)&gt;設定!$C$42,ROUND(($I751-$K751)*1440,0),0))</f>
        <v/>
      </c>
      <c r="Q751" s="82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79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0">
        <f>IF($G752="","",IFERROR(INDEX(設定!$D$6:$D$18,MATCH($G752,設定!$B$6:$B$18,0)),""))</f>
        <v/>
      </c>
      <c r="I752" s="80">
        <f>IF($G752="","",IFERROR(INDEX(設定!$E$6:$E$18,MATCH($G752,設定!$B$6:$B$18,0)),""))</f>
        <v/>
      </c>
      <c r="J752" s="80">
        <f>IFERROR(INDEX(打卡匯入!$C$3:$C$2002,MATCH($C752&amp;"|"&amp;DAY($A752),打卡匯入!$E$3:$E$2002,0)),"")</f>
        <v/>
      </c>
      <c r="K752" s="80">
        <f>IFERROR(INDEX(打卡匯入!$D$3:$D$2002,MATCH($C752&amp;"|"&amp;DAY($A752),打卡匯入!$E$3:$E$2002,0)),"")</f>
        <v/>
      </c>
      <c r="L752" s="81">
        <f>IF(OR($J752="",$K752=""),"",IFERROR(INDEX(設定!$F$6:$F$18,MATCH($G752,設定!$B$6:$B$18,0)),0))</f>
        <v/>
      </c>
      <c r="M752" s="82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1">
        <f>IF(OR($C752="",$H752="",$J752=""),0,IF(ROUND(($J752-$H752)*1440,0)&gt;設定!$C$42,ROUND(($J752-$H752)*1440,0),0))</f>
        <v/>
      </c>
      <c r="P752" s="81">
        <f>IF(OR($C752="",$I752="",$K752=""),0,IF(ROUND(($I752-$K752)*1440,0)&gt;設定!$C$42,ROUND(($I752-$K752)*1440,0),0))</f>
        <v/>
      </c>
      <c r="Q752" s="82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79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0">
        <f>IF($G753="","",IFERROR(INDEX(設定!$D$6:$D$18,MATCH($G753,設定!$B$6:$B$18,0)),""))</f>
        <v/>
      </c>
      <c r="I753" s="80">
        <f>IF($G753="","",IFERROR(INDEX(設定!$E$6:$E$18,MATCH($G753,設定!$B$6:$B$18,0)),""))</f>
        <v/>
      </c>
      <c r="J753" s="80">
        <f>IFERROR(INDEX(打卡匯入!$C$3:$C$2002,MATCH($C753&amp;"|"&amp;DAY($A753),打卡匯入!$E$3:$E$2002,0)),"")</f>
        <v/>
      </c>
      <c r="K753" s="80">
        <f>IFERROR(INDEX(打卡匯入!$D$3:$D$2002,MATCH($C753&amp;"|"&amp;DAY($A753),打卡匯入!$E$3:$E$2002,0)),"")</f>
        <v/>
      </c>
      <c r="L753" s="81">
        <f>IF(OR($J753="",$K753=""),"",IFERROR(INDEX(設定!$F$6:$F$18,MATCH($G753,設定!$B$6:$B$18,0)),0))</f>
        <v/>
      </c>
      <c r="M753" s="82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1">
        <f>IF(OR($C753="",$H753="",$J753=""),0,IF(ROUND(($J753-$H753)*1440,0)&gt;設定!$C$42,ROUND(($J753-$H753)*1440,0),0))</f>
        <v/>
      </c>
      <c r="P753" s="81">
        <f>IF(OR($C753="",$I753="",$K753=""),0,IF(ROUND(($I753-$K753)*1440,0)&gt;設定!$C$42,ROUND(($I753-$K753)*1440,0),0))</f>
        <v/>
      </c>
      <c r="Q753" s="82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79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0">
        <f>IF($G754="","",IFERROR(INDEX(設定!$D$6:$D$18,MATCH($G754,設定!$B$6:$B$18,0)),""))</f>
        <v/>
      </c>
      <c r="I754" s="80">
        <f>IF($G754="","",IFERROR(INDEX(設定!$E$6:$E$18,MATCH($G754,設定!$B$6:$B$18,0)),""))</f>
        <v/>
      </c>
      <c r="J754" s="80">
        <f>IFERROR(INDEX(打卡匯入!$C$3:$C$2002,MATCH($C754&amp;"|"&amp;DAY($A754),打卡匯入!$E$3:$E$2002,0)),"")</f>
        <v/>
      </c>
      <c r="K754" s="80">
        <f>IFERROR(INDEX(打卡匯入!$D$3:$D$2002,MATCH($C754&amp;"|"&amp;DAY($A754),打卡匯入!$E$3:$E$2002,0)),"")</f>
        <v/>
      </c>
      <c r="L754" s="81">
        <f>IF(OR($J754="",$K754=""),"",IFERROR(INDEX(設定!$F$6:$F$18,MATCH($G754,設定!$B$6:$B$18,0)),0))</f>
        <v/>
      </c>
      <c r="M754" s="82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1">
        <f>IF(OR($C754="",$H754="",$J754=""),0,IF(ROUND(($J754-$H754)*1440,0)&gt;設定!$C$42,ROUND(($J754-$H754)*1440,0),0))</f>
        <v/>
      </c>
      <c r="P754" s="81">
        <f>IF(OR($C754="",$I754="",$K754=""),0,IF(ROUND(($I754-$K754)*1440,0)&gt;設定!$C$42,ROUND(($I754-$K754)*1440,0),0))</f>
        <v/>
      </c>
      <c r="Q754" s="82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79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0">
        <f>IF($G755="","",IFERROR(INDEX(設定!$D$6:$D$18,MATCH($G755,設定!$B$6:$B$18,0)),""))</f>
        <v/>
      </c>
      <c r="I755" s="80">
        <f>IF($G755="","",IFERROR(INDEX(設定!$E$6:$E$18,MATCH($G755,設定!$B$6:$B$18,0)),""))</f>
        <v/>
      </c>
      <c r="J755" s="80">
        <f>IFERROR(INDEX(打卡匯入!$C$3:$C$2002,MATCH($C755&amp;"|"&amp;DAY($A755),打卡匯入!$E$3:$E$2002,0)),"")</f>
        <v/>
      </c>
      <c r="K755" s="80">
        <f>IFERROR(INDEX(打卡匯入!$D$3:$D$2002,MATCH($C755&amp;"|"&amp;DAY($A755),打卡匯入!$E$3:$E$2002,0)),"")</f>
        <v/>
      </c>
      <c r="L755" s="81">
        <f>IF(OR($J755="",$K755=""),"",IFERROR(INDEX(設定!$F$6:$F$18,MATCH($G755,設定!$B$6:$B$18,0)),0))</f>
        <v/>
      </c>
      <c r="M755" s="82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1">
        <f>IF(OR($C755="",$H755="",$J755=""),0,IF(ROUND(($J755-$H755)*1440,0)&gt;設定!$C$42,ROUND(($J755-$H755)*1440,0),0))</f>
        <v/>
      </c>
      <c r="P755" s="81">
        <f>IF(OR($C755="",$I755="",$K755=""),0,IF(ROUND(($I755-$K755)*1440,0)&gt;設定!$C$42,ROUND(($I755-$K755)*1440,0),0))</f>
        <v/>
      </c>
      <c r="Q755" s="82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79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0">
        <f>IF($G756="","",IFERROR(INDEX(設定!$D$6:$D$18,MATCH($G756,設定!$B$6:$B$18,0)),""))</f>
        <v/>
      </c>
      <c r="I756" s="80">
        <f>IF($G756="","",IFERROR(INDEX(設定!$E$6:$E$18,MATCH($G756,設定!$B$6:$B$18,0)),""))</f>
        <v/>
      </c>
      <c r="J756" s="80">
        <f>IFERROR(INDEX(打卡匯入!$C$3:$C$2002,MATCH($C756&amp;"|"&amp;DAY($A756),打卡匯入!$E$3:$E$2002,0)),"")</f>
        <v/>
      </c>
      <c r="K756" s="80">
        <f>IFERROR(INDEX(打卡匯入!$D$3:$D$2002,MATCH($C756&amp;"|"&amp;DAY($A756),打卡匯入!$E$3:$E$2002,0)),"")</f>
        <v/>
      </c>
      <c r="L756" s="81">
        <f>IF(OR($J756="",$K756=""),"",IFERROR(INDEX(設定!$F$6:$F$18,MATCH($G756,設定!$B$6:$B$18,0)),0))</f>
        <v/>
      </c>
      <c r="M756" s="82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1">
        <f>IF(OR($C756="",$H756="",$J756=""),0,IF(ROUND(($J756-$H756)*1440,0)&gt;設定!$C$42,ROUND(($J756-$H756)*1440,0),0))</f>
        <v/>
      </c>
      <c r="P756" s="81">
        <f>IF(OR($C756="",$I756="",$K756=""),0,IF(ROUND(($I756-$K756)*1440,0)&gt;設定!$C$42,ROUND(($I756-$K756)*1440,0),0))</f>
        <v/>
      </c>
      <c r="Q756" s="82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79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0">
        <f>IF($G757="","",IFERROR(INDEX(設定!$D$6:$D$18,MATCH($G757,設定!$B$6:$B$18,0)),""))</f>
        <v/>
      </c>
      <c r="I757" s="80">
        <f>IF($G757="","",IFERROR(INDEX(設定!$E$6:$E$18,MATCH($G757,設定!$B$6:$B$18,0)),""))</f>
        <v/>
      </c>
      <c r="J757" s="80">
        <f>IFERROR(INDEX(打卡匯入!$C$3:$C$2002,MATCH($C757&amp;"|"&amp;DAY($A757),打卡匯入!$E$3:$E$2002,0)),"")</f>
        <v/>
      </c>
      <c r="K757" s="80">
        <f>IFERROR(INDEX(打卡匯入!$D$3:$D$2002,MATCH($C757&amp;"|"&amp;DAY($A757),打卡匯入!$E$3:$E$2002,0)),"")</f>
        <v/>
      </c>
      <c r="L757" s="81">
        <f>IF(OR($J757="",$K757=""),"",IFERROR(INDEX(設定!$F$6:$F$18,MATCH($G757,設定!$B$6:$B$18,0)),0))</f>
        <v/>
      </c>
      <c r="M757" s="82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1">
        <f>IF(OR($C757="",$H757="",$J757=""),0,IF(ROUND(($J757-$H757)*1440,0)&gt;設定!$C$42,ROUND(($J757-$H757)*1440,0),0))</f>
        <v/>
      </c>
      <c r="P757" s="81">
        <f>IF(OR($C757="",$I757="",$K757=""),0,IF(ROUND(($I757-$K757)*1440,0)&gt;設定!$C$42,ROUND(($I757-$K757)*1440,0),0))</f>
        <v/>
      </c>
      <c r="Q757" s="82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79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0">
        <f>IF($G758="","",IFERROR(INDEX(設定!$D$6:$D$18,MATCH($G758,設定!$B$6:$B$18,0)),""))</f>
        <v/>
      </c>
      <c r="I758" s="80">
        <f>IF($G758="","",IFERROR(INDEX(設定!$E$6:$E$18,MATCH($G758,設定!$B$6:$B$18,0)),""))</f>
        <v/>
      </c>
      <c r="J758" s="80">
        <f>IFERROR(INDEX(打卡匯入!$C$3:$C$2002,MATCH($C758&amp;"|"&amp;DAY($A758),打卡匯入!$E$3:$E$2002,0)),"")</f>
        <v/>
      </c>
      <c r="K758" s="80">
        <f>IFERROR(INDEX(打卡匯入!$D$3:$D$2002,MATCH($C758&amp;"|"&amp;DAY($A758),打卡匯入!$E$3:$E$2002,0)),"")</f>
        <v/>
      </c>
      <c r="L758" s="81">
        <f>IF(OR($J758="",$K758=""),"",IFERROR(INDEX(設定!$F$6:$F$18,MATCH($G758,設定!$B$6:$B$18,0)),0))</f>
        <v/>
      </c>
      <c r="M758" s="82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1">
        <f>IF(OR($C758="",$H758="",$J758=""),0,IF(ROUND(($J758-$H758)*1440,0)&gt;設定!$C$42,ROUND(($J758-$H758)*1440,0),0))</f>
        <v/>
      </c>
      <c r="P758" s="81">
        <f>IF(OR($C758="",$I758="",$K758=""),0,IF(ROUND(($I758-$K758)*1440,0)&gt;設定!$C$42,ROUND(($I758-$K758)*1440,0),0))</f>
        <v/>
      </c>
      <c r="Q758" s="82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79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0">
        <f>IF($G759="","",IFERROR(INDEX(設定!$D$6:$D$18,MATCH($G759,設定!$B$6:$B$18,0)),""))</f>
        <v/>
      </c>
      <c r="I759" s="80">
        <f>IF($G759="","",IFERROR(INDEX(設定!$E$6:$E$18,MATCH($G759,設定!$B$6:$B$18,0)),""))</f>
        <v/>
      </c>
      <c r="J759" s="80">
        <f>IFERROR(INDEX(打卡匯入!$C$3:$C$2002,MATCH($C759&amp;"|"&amp;DAY($A759),打卡匯入!$E$3:$E$2002,0)),"")</f>
        <v/>
      </c>
      <c r="K759" s="80">
        <f>IFERROR(INDEX(打卡匯入!$D$3:$D$2002,MATCH($C759&amp;"|"&amp;DAY($A759),打卡匯入!$E$3:$E$2002,0)),"")</f>
        <v/>
      </c>
      <c r="L759" s="81">
        <f>IF(OR($J759="",$K759=""),"",IFERROR(INDEX(設定!$F$6:$F$18,MATCH($G759,設定!$B$6:$B$18,0)),0))</f>
        <v/>
      </c>
      <c r="M759" s="82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1">
        <f>IF(OR($C759="",$H759="",$J759=""),0,IF(ROUND(($J759-$H759)*1440,0)&gt;設定!$C$42,ROUND(($J759-$H759)*1440,0),0))</f>
        <v/>
      </c>
      <c r="P759" s="81">
        <f>IF(OR($C759="",$I759="",$K759=""),0,IF(ROUND(($I759-$K759)*1440,0)&gt;設定!$C$42,ROUND(($I759-$K759)*1440,0),0))</f>
        <v/>
      </c>
      <c r="Q759" s="82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79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0">
        <f>IF($G760="","",IFERROR(INDEX(設定!$D$6:$D$18,MATCH($G760,設定!$B$6:$B$18,0)),""))</f>
        <v/>
      </c>
      <c r="I760" s="80">
        <f>IF($G760="","",IFERROR(INDEX(設定!$E$6:$E$18,MATCH($G760,設定!$B$6:$B$18,0)),""))</f>
        <v/>
      </c>
      <c r="J760" s="80">
        <f>IFERROR(INDEX(打卡匯入!$C$3:$C$2002,MATCH($C760&amp;"|"&amp;DAY($A760),打卡匯入!$E$3:$E$2002,0)),"")</f>
        <v/>
      </c>
      <c r="K760" s="80">
        <f>IFERROR(INDEX(打卡匯入!$D$3:$D$2002,MATCH($C760&amp;"|"&amp;DAY($A760),打卡匯入!$E$3:$E$2002,0)),"")</f>
        <v/>
      </c>
      <c r="L760" s="81">
        <f>IF(OR($J760="",$K760=""),"",IFERROR(INDEX(設定!$F$6:$F$18,MATCH($G760,設定!$B$6:$B$18,0)),0))</f>
        <v/>
      </c>
      <c r="M760" s="82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1">
        <f>IF(OR($C760="",$H760="",$J760=""),0,IF(ROUND(($J760-$H760)*1440,0)&gt;設定!$C$42,ROUND(($J760-$H760)*1440,0),0))</f>
        <v/>
      </c>
      <c r="P760" s="81">
        <f>IF(OR($C760="",$I760="",$K760=""),0,IF(ROUND(($I760-$K760)*1440,0)&gt;設定!$C$42,ROUND(($I760-$K760)*1440,0),0))</f>
        <v/>
      </c>
      <c r="Q760" s="82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79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0">
        <f>IF($G761="","",IFERROR(INDEX(設定!$D$6:$D$18,MATCH($G761,設定!$B$6:$B$18,0)),""))</f>
        <v/>
      </c>
      <c r="I761" s="80">
        <f>IF($G761="","",IFERROR(INDEX(設定!$E$6:$E$18,MATCH($G761,設定!$B$6:$B$18,0)),""))</f>
        <v/>
      </c>
      <c r="J761" s="80">
        <f>IFERROR(INDEX(打卡匯入!$C$3:$C$2002,MATCH($C761&amp;"|"&amp;DAY($A761),打卡匯入!$E$3:$E$2002,0)),"")</f>
        <v/>
      </c>
      <c r="K761" s="80">
        <f>IFERROR(INDEX(打卡匯入!$D$3:$D$2002,MATCH($C761&amp;"|"&amp;DAY($A761),打卡匯入!$E$3:$E$2002,0)),"")</f>
        <v/>
      </c>
      <c r="L761" s="81">
        <f>IF(OR($J761="",$K761=""),"",IFERROR(INDEX(設定!$F$6:$F$18,MATCH($G761,設定!$B$6:$B$18,0)),0))</f>
        <v/>
      </c>
      <c r="M761" s="82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1">
        <f>IF(OR($C761="",$H761="",$J761=""),0,IF(ROUND(($J761-$H761)*1440,0)&gt;設定!$C$42,ROUND(($J761-$H761)*1440,0),0))</f>
        <v/>
      </c>
      <c r="P761" s="81">
        <f>IF(OR($C761="",$I761="",$K761=""),0,IF(ROUND(($I761-$K761)*1440,0)&gt;設定!$C$42,ROUND(($I761-$K761)*1440,0),0))</f>
        <v/>
      </c>
      <c r="Q761" s="82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79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0">
        <f>IF($G762="","",IFERROR(INDEX(設定!$D$6:$D$18,MATCH($G762,設定!$B$6:$B$18,0)),""))</f>
        <v/>
      </c>
      <c r="I762" s="80">
        <f>IF($G762="","",IFERROR(INDEX(設定!$E$6:$E$18,MATCH($G762,設定!$B$6:$B$18,0)),""))</f>
        <v/>
      </c>
      <c r="J762" s="80">
        <f>IFERROR(INDEX(打卡匯入!$C$3:$C$2002,MATCH($C762&amp;"|"&amp;DAY($A762),打卡匯入!$E$3:$E$2002,0)),"")</f>
        <v/>
      </c>
      <c r="K762" s="80">
        <f>IFERROR(INDEX(打卡匯入!$D$3:$D$2002,MATCH($C762&amp;"|"&amp;DAY($A762),打卡匯入!$E$3:$E$2002,0)),"")</f>
        <v/>
      </c>
      <c r="L762" s="81">
        <f>IF(OR($J762="",$K762=""),"",IFERROR(INDEX(設定!$F$6:$F$18,MATCH($G762,設定!$B$6:$B$18,0)),0))</f>
        <v/>
      </c>
      <c r="M762" s="82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1">
        <f>IF(OR($C762="",$H762="",$J762=""),0,IF(ROUND(($J762-$H762)*1440,0)&gt;設定!$C$42,ROUND(($J762-$H762)*1440,0),0))</f>
        <v/>
      </c>
      <c r="P762" s="81">
        <f>IF(OR($C762="",$I762="",$K762=""),0,IF(ROUND(($I762-$K762)*1440,0)&gt;設定!$C$42,ROUND(($I762-$K762)*1440,0),0))</f>
        <v/>
      </c>
      <c r="Q762" s="82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79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0">
        <f>IF($G763="","",IFERROR(INDEX(設定!$D$6:$D$18,MATCH($G763,設定!$B$6:$B$18,0)),""))</f>
        <v/>
      </c>
      <c r="I763" s="80">
        <f>IF($G763="","",IFERROR(INDEX(設定!$E$6:$E$18,MATCH($G763,設定!$B$6:$B$18,0)),""))</f>
        <v/>
      </c>
      <c r="J763" s="80">
        <f>IFERROR(INDEX(打卡匯入!$C$3:$C$2002,MATCH($C763&amp;"|"&amp;DAY($A763),打卡匯入!$E$3:$E$2002,0)),"")</f>
        <v/>
      </c>
      <c r="K763" s="80">
        <f>IFERROR(INDEX(打卡匯入!$D$3:$D$2002,MATCH($C763&amp;"|"&amp;DAY($A763),打卡匯入!$E$3:$E$2002,0)),"")</f>
        <v/>
      </c>
      <c r="L763" s="81">
        <f>IF(OR($J763="",$K763=""),"",IFERROR(INDEX(設定!$F$6:$F$18,MATCH($G763,設定!$B$6:$B$18,0)),0))</f>
        <v/>
      </c>
      <c r="M763" s="82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1">
        <f>IF(OR($C763="",$H763="",$J763=""),0,IF(ROUND(($J763-$H763)*1440,0)&gt;設定!$C$42,ROUND(($J763-$H763)*1440,0),0))</f>
        <v/>
      </c>
      <c r="P763" s="81">
        <f>IF(OR($C763="",$I763="",$K763=""),0,IF(ROUND(($I763-$K763)*1440,0)&gt;設定!$C$42,ROUND(($I763-$K763)*1440,0),0))</f>
        <v/>
      </c>
      <c r="Q763" s="82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79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0">
        <f>IF($G764="","",IFERROR(INDEX(設定!$D$6:$D$18,MATCH($G764,設定!$B$6:$B$18,0)),""))</f>
        <v/>
      </c>
      <c r="I764" s="80">
        <f>IF($G764="","",IFERROR(INDEX(設定!$E$6:$E$18,MATCH($G764,設定!$B$6:$B$18,0)),""))</f>
        <v/>
      </c>
      <c r="J764" s="80">
        <f>IFERROR(INDEX(打卡匯入!$C$3:$C$2002,MATCH($C764&amp;"|"&amp;DAY($A764),打卡匯入!$E$3:$E$2002,0)),"")</f>
        <v/>
      </c>
      <c r="K764" s="80">
        <f>IFERROR(INDEX(打卡匯入!$D$3:$D$2002,MATCH($C764&amp;"|"&amp;DAY($A764),打卡匯入!$E$3:$E$2002,0)),"")</f>
        <v/>
      </c>
      <c r="L764" s="81">
        <f>IF(OR($J764="",$K764=""),"",IFERROR(INDEX(設定!$F$6:$F$18,MATCH($G764,設定!$B$6:$B$18,0)),0))</f>
        <v/>
      </c>
      <c r="M764" s="82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1">
        <f>IF(OR($C764="",$H764="",$J764=""),0,IF(ROUND(($J764-$H764)*1440,0)&gt;設定!$C$42,ROUND(($J764-$H764)*1440,0),0))</f>
        <v/>
      </c>
      <c r="P764" s="81">
        <f>IF(OR($C764="",$I764="",$K764=""),0,IF(ROUND(($I764-$K764)*1440,0)&gt;設定!$C$42,ROUND(($I764-$K764)*1440,0),0))</f>
        <v/>
      </c>
      <c r="Q764" s="82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79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0">
        <f>IF($G765="","",IFERROR(INDEX(設定!$D$6:$D$18,MATCH($G765,設定!$B$6:$B$18,0)),""))</f>
        <v/>
      </c>
      <c r="I765" s="80">
        <f>IF($G765="","",IFERROR(INDEX(設定!$E$6:$E$18,MATCH($G765,設定!$B$6:$B$18,0)),""))</f>
        <v/>
      </c>
      <c r="J765" s="80">
        <f>IFERROR(INDEX(打卡匯入!$C$3:$C$2002,MATCH($C765&amp;"|"&amp;DAY($A765),打卡匯入!$E$3:$E$2002,0)),"")</f>
        <v/>
      </c>
      <c r="K765" s="80">
        <f>IFERROR(INDEX(打卡匯入!$D$3:$D$2002,MATCH($C765&amp;"|"&amp;DAY($A765),打卡匯入!$E$3:$E$2002,0)),"")</f>
        <v/>
      </c>
      <c r="L765" s="81">
        <f>IF(OR($J765="",$K765=""),"",IFERROR(INDEX(設定!$F$6:$F$18,MATCH($G765,設定!$B$6:$B$18,0)),0))</f>
        <v/>
      </c>
      <c r="M765" s="82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1">
        <f>IF(OR($C765="",$H765="",$J765=""),0,IF(ROUND(($J765-$H765)*1440,0)&gt;設定!$C$42,ROUND(($J765-$H765)*1440,0),0))</f>
        <v/>
      </c>
      <c r="P765" s="81">
        <f>IF(OR($C765="",$I765="",$K765=""),0,IF(ROUND(($I765-$K765)*1440,0)&gt;設定!$C$42,ROUND(($I765-$K765)*1440,0),0))</f>
        <v/>
      </c>
      <c r="Q765" s="82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79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0">
        <f>IF($G766="","",IFERROR(INDEX(設定!$D$6:$D$18,MATCH($G766,設定!$B$6:$B$18,0)),""))</f>
        <v/>
      </c>
      <c r="I766" s="80">
        <f>IF($G766="","",IFERROR(INDEX(設定!$E$6:$E$18,MATCH($G766,設定!$B$6:$B$18,0)),""))</f>
        <v/>
      </c>
      <c r="J766" s="80">
        <f>IFERROR(INDEX(打卡匯入!$C$3:$C$2002,MATCH($C766&amp;"|"&amp;DAY($A766),打卡匯入!$E$3:$E$2002,0)),"")</f>
        <v/>
      </c>
      <c r="K766" s="80">
        <f>IFERROR(INDEX(打卡匯入!$D$3:$D$2002,MATCH($C766&amp;"|"&amp;DAY($A766),打卡匯入!$E$3:$E$2002,0)),"")</f>
        <v/>
      </c>
      <c r="L766" s="81">
        <f>IF(OR($J766="",$K766=""),"",IFERROR(INDEX(設定!$F$6:$F$18,MATCH($G766,設定!$B$6:$B$18,0)),0))</f>
        <v/>
      </c>
      <c r="M766" s="82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1">
        <f>IF(OR($C766="",$H766="",$J766=""),0,IF(ROUND(($J766-$H766)*1440,0)&gt;設定!$C$42,ROUND(($J766-$H766)*1440,0),0))</f>
        <v/>
      </c>
      <c r="P766" s="81">
        <f>IF(OR($C766="",$I766="",$K766=""),0,IF(ROUND(($I766-$K766)*1440,0)&gt;設定!$C$42,ROUND(($I766-$K766)*1440,0),0))</f>
        <v/>
      </c>
      <c r="Q766" s="82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79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0">
        <f>IF($G767="","",IFERROR(INDEX(設定!$D$6:$D$18,MATCH($G767,設定!$B$6:$B$18,0)),""))</f>
        <v/>
      </c>
      <c r="I767" s="80">
        <f>IF($G767="","",IFERROR(INDEX(設定!$E$6:$E$18,MATCH($G767,設定!$B$6:$B$18,0)),""))</f>
        <v/>
      </c>
      <c r="J767" s="80">
        <f>IFERROR(INDEX(打卡匯入!$C$3:$C$2002,MATCH($C767&amp;"|"&amp;DAY($A767),打卡匯入!$E$3:$E$2002,0)),"")</f>
        <v/>
      </c>
      <c r="K767" s="80">
        <f>IFERROR(INDEX(打卡匯入!$D$3:$D$2002,MATCH($C767&amp;"|"&amp;DAY($A767),打卡匯入!$E$3:$E$2002,0)),"")</f>
        <v/>
      </c>
      <c r="L767" s="81">
        <f>IF(OR($J767="",$K767=""),"",IFERROR(INDEX(設定!$F$6:$F$18,MATCH($G767,設定!$B$6:$B$18,0)),0))</f>
        <v/>
      </c>
      <c r="M767" s="82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1">
        <f>IF(OR($C767="",$H767="",$J767=""),0,IF(ROUND(($J767-$H767)*1440,0)&gt;設定!$C$42,ROUND(($J767-$H767)*1440,0),0))</f>
        <v/>
      </c>
      <c r="P767" s="81">
        <f>IF(OR($C767="",$I767="",$K767=""),0,IF(ROUND(($I767-$K767)*1440,0)&gt;設定!$C$42,ROUND(($I767-$K767)*1440,0),0))</f>
        <v/>
      </c>
      <c r="Q767" s="82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79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0">
        <f>IF($G768="","",IFERROR(INDEX(設定!$D$6:$D$18,MATCH($G768,設定!$B$6:$B$18,0)),""))</f>
        <v/>
      </c>
      <c r="I768" s="80">
        <f>IF($G768="","",IFERROR(INDEX(設定!$E$6:$E$18,MATCH($G768,設定!$B$6:$B$18,0)),""))</f>
        <v/>
      </c>
      <c r="J768" s="80">
        <f>IFERROR(INDEX(打卡匯入!$C$3:$C$2002,MATCH($C768&amp;"|"&amp;DAY($A768),打卡匯入!$E$3:$E$2002,0)),"")</f>
        <v/>
      </c>
      <c r="K768" s="80">
        <f>IFERROR(INDEX(打卡匯入!$D$3:$D$2002,MATCH($C768&amp;"|"&amp;DAY($A768),打卡匯入!$E$3:$E$2002,0)),"")</f>
        <v/>
      </c>
      <c r="L768" s="81">
        <f>IF(OR($J768="",$K768=""),"",IFERROR(INDEX(設定!$F$6:$F$18,MATCH($G768,設定!$B$6:$B$18,0)),0))</f>
        <v/>
      </c>
      <c r="M768" s="82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1">
        <f>IF(OR($C768="",$H768="",$J768=""),0,IF(ROUND(($J768-$H768)*1440,0)&gt;設定!$C$42,ROUND(($J768-$H768)*1440,0),0))</f>
        <v/>
      </c>
      <c r="P768" s="81">
        <f>IF(OR($C768="",$I768="",$K768=""),0,IF(ROUND(($I768-$K768)*1440,0)&gt;設定!$C$42,ROUND(($I768-$K768)*1440,0),0))</f>
        <v/>
      </c>
      <c r="Q768" s="82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79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0">
        <f>IF($G769="","",IFERROR(INDEX(設定!$D$6:$D$18,MATCH($G769,設定!$B$6:$B$18,0)),""))</f>
        <v/>
      </c>
      <c r="I769" s="80">
        <f>IF($G769="","",IFERROR(INDEX(設定!$E$6:$E$18,MATCH($G769,設定!$B$6:$B$18,0)),""))</f>
        <v/>
      </c>
      <c r="J769" s="80">
        <f>IFERROR(INDEX(打卡匯入!$C$3:$C$2002,MATCH($C769&amp;"|"&amp;DAY($A769),打卡匯入!$E$3:$E$2002,0)),"")</f>
        <v/>
      </c>
      <c r="K769" s="80">
        <f>IFERROR(INDEX(打卡匯入!$D$3:$D$2002,MATCH($C769&amp;"|"&amp;DAY($A769),打卡匯入!$E$3:$E$2002,0)),"")</f>
        <v/>
      </c>
      <c r="L769" s="81">
        <f>IF(OR($J769="",$K769=""),"",IFERROR(INDEX(設定!$F$6:$F$18,MATCH($G769,設定!$B$6:$B$18,0)),0))</f>
        <v/>
      </c>
      <c r="M769" s="82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1">
        <f>IF(OR($C769="",$H769="",$J769=""),0,IF(ROUND(($J769-$H769)*1440,0)&gt;設定!$C$42,ROUND(($J769-$H769)*1440,0),0))</f>
        <v/>
      </c>
      <c r="P769" s="81">
        <f>IF(OR($C769="",$I769="",$K769=""),0,IF(ROUND(($I769-$K769)*1440,0)&gt;設定!$C$42,ROUND(($I769-$K769)*1440,0),0))</f>
        <v/>
      </c>
      <c r="Q769" s="82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79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0">
        <f>IF($G770="","",IFERROR(INDEX(設定!$D$6:$D$18,MATCH($G770,設定!$B$6:$B$18,0)),""))</f>
        <v/>
      </c>
      <c r="I770" s="80">
        <f>IF($G770="","",IFERROR(INDEX(設定!$E$6:$E$18,MATCH($G770,設定!$B$6:$B$18,0)),""))</f>
        <v/>
      </c>
      <c r="J770" s="80">
        <f>IFERROR(INDEX(打卡匯入!$C$3:$C$2002,MATCH($C770&amp;"|"&amp;DAY($A770),打卡匯入!$E$3:$E$2002,0)),"")</f>
        <v/>
      </c>
      <c r="K770" s="80">
        <f>IFERROR(INDEX(打卡匯入!$D$3:$D$2002,MATCH($C770&amp;"|"&amp;DAY($A770),打卡匯入!$E$3:$E$2002,0)),"")</f>
        <v/>
      </c>
      <c r="L770" s="81">
        <f>IF(OR($J770="",$K770=""),"",IFERROR(INDEX(設定!$F$6:$F$18,MATCH($G770,設定!$B$6:$B$18,0)),0))</f>
        <v/>
      </c>
      <c r="M770" s="82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1">
        <f>IF(OR($C770="",$H770="",$J770=""),0,IF(ROUND(($J770-$H770)*1440,0)&gt;設定!$C$42,ROUND(($J770-$H770)*1440,0),0))</f>
        <v/>
      </c>
      <c r="P770" s="81">
        <f>IF(OR($C770="",$I770="",$K770=""),0,IF(ROUND(($I770-$K770)*1440,0)&gt;設定!$C$42,ROUND(($I770-$K770)*1440,0),0))</f>
        <v/>
      </c>
      <c r="Q770" s="82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79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0">
        <f>IF($G771="","",IFERROR(INDEX(設定!$D$6:$D$18,MATCH($G771,設定!$B$6:$B$18,0)),""))</f>
        <v/>
      </c>
      <c r="I771" s="80">
        <f>IF($G771="","",IFERROR(INDEX(設定!$E$6:$E$18,MATCH($G771,設定!$B$6:$B$18,0)),""))</f>
        <v/>
      </c>
      <c r="J771" s="80">
        <f>IFERROR(INDEX(打卡匯入!$C$3:$C$2002,MATCH($C771&amp;"|"&amp;DAY($A771),打卡匯入!$E$3:$E$2002,0)),"")</f>
        <v/>
      </c>
      <c r="K771" s="80">
        <f>IFERROR(INDEX(打卡匯入!$D$3:$D$2002,MATCH($C771&amp;"|"&amp;DAY($A771),打卡匯入!$E$3:$E$2002,0)),"")</f>
        <v/>
      </c>
      <c r="L771" s="81">
        <f>IF(OR($J771="",$K771=""),"",IFERROR(INDEX(設定!$F$6:$F$18,MATCH($G771,設定!$B$6:$B$18,0)),0))</f>
        <v/>
      </c>
      <c r="M771" s="82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1">
        <f>IF(OR($C771="",$H771="",$J771=""),0,IF(ROUND(($J771-$H771)*1440,0)&gt;設定!$C$42,ROUND(($J771-$H771)*1440,0),0))</f>
        <v/>
      </c>
      <c r="P771" s="81">
        <f>IF(OR($C771="",$I771="",$K771=""),0,IF(ROUND(($I771-$K771)*1440,0)&gt;設定!$C$42,ROUND(($I771-$K771)*1440,0),0))</f>
        <v/>
      </c>
      <c r="Q771" s="82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79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0">
        <f>IF($G772="","",IFERROR(INDEX(設定!$D$6:$D$18,MATCH($G772,設定!$B$6:$B$18,0)),""))</f>
        <v/>
      </c>
      <c r="I772" s="80">
        <f>IF($G772="","",IFERROR(INDEX(設定!$E$6:$E$18,MATCH($G772,設定!$B$6:$B$18,0)),""))</f>
        <v/>
      </c>
      <c r="J772" s="80">
        <f>IFERROR(INDEX(打卡匯入!$C$3:$C$2002,MATCH($C772&amp;"|"&amp;DAY($A772),打卡匯入!$E$3:$E$2002,0)),"")</f>
        <v/>
      </c>
      <c r="K772" s="80">
        <f>IFERROR(INDEX(打卡匯入!$D$3:$D$2002,MATCH($C772&amp;"|"&amp;DAY($A772),打卡匯入!$E$3:$E$2002,0)),"")</f>
        <v/>
      </c>
      <c r="L772" s="81">
        <f>IF(OR($J772="",$K772=""),"",IFERROR(INDEX(設定!$F$6:$F$18,MATCH($G772,設定!$B$6:$B$18,0)),0))</f>
        <v/>
      </c>
      <c r="M772" s="82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1">
        <f>IF(OR($C772="",$H772="",$J772=""),0,IF(ROUND(($J772-$H772)*1440,0)&gt;設定!$C$42,ROUND(($J772-$H772)*1440,0),0))</f>
        <v/>
      </c>
      <c r="P772" s="81">
        <f>IF(OR($C772="",$I772="",$K772=""),0,IF(ROUND(($I772-$K772)*1440,0)&gt;設定!$C$42,ROUND(($I772-$K772)*1440,0),0))</f>
        <v/>
      </c>
      <c r="Q772" s="82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79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0">
        <f>IF($G773="","",IFERROR(INDEX(設定!$D$6:$D$18,MATCH($G773,設定!$B$6:$B$18,0)),""))</f>
        <v/>
      </c>
      <c r="I773" s="80">
        <f>IF($G773="","",IFERROR(INDEX(設定!$E$6:$E$18,MATCH($G773,設定!$B$6:$B$18,0)),""))</f>
        <v/>
      </c>
      <c r="J773" s="80">
        <f>IFERROR(INDEX(打卡匯入!$C$3:$C$2002,MATCH($C773&amp;"|"&amp;DAY($A773),打卡匯入!$E$3:$E$2002,0)),"")</f>
        <v/>
      </c>
      <c r="K773" s="80">
        <f>IFERROR(INDEX(打卡匯入!$D$3:$D$2002,MATCH($C773&amp;"|"&amp;DAY($A773),打卡匯入!$E$3:$E$2002,0)),"")</f>
        <v/>
      </c>
      <c r="L773" s="81">
        <f>IF(OR($J773="",$K773=""),"",IFERROR(INDEX(設定!$F$6:$F$18,MATCH($G773,設定!$B$6:$B$18,0)),0))</f>
        <v/>
      </c>
      <c r="M773" s="82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1">
        <f>IF(OR($C773="",$H773="",$J773=""),0,IF(ROUND(($J773-$H773)*1440,0)&gt;設定!$C$42,ROUND(($J773-$H773)*1440,0),0))</f>
        <v/>
      </c>
      <c r="P773" s="81">
        <f>IF(OR($C773="",$I773="",$K773=""),0,IF(ROUND(($I773-$K773)*1440,0)&gt;設定!$C$42,ROUND(($I773-$K773)*1440,0),0))</f>
        <v/>
      </c>
      <c r="Q773" s="82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79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0">
        <f>IF($G774="","",IFERROR(INDEX(設定!$D$6:$D$18,MATCH($G774,設定!$B$6:$B$18,0)),""))</f>
        <v/>
      </c>
      <c r="I774" s="80">
        <f>IF($G774="","",IFERROR(INDEX(設定!$E$6:$E$18,MATCH($G774,設定!$B$6:$B$18,0)),""))</f>
        <v/>
      </c>
      <c r="J774" s="80">
        <f>IFERROR(INDEX(打卡匯入!$C$3:$C$2002,MATCH($C774&amp;"|"&amp;DAY($A774),打卡匯入!$E$3:$E$2002,0)),"")</f>
        <v/>
      </c>
      <c r="K774" s="80">
        <f>IFERROR(INDEX(打卡匯入!$D$3:$D$2002,MATCH($C774&amp;"|"&amp;DAY($A774),打卡匯入!$E$3:$E$2002,0)),"")</f>
        <v/>
      </c>
      <c r="L774" s="81">
        <f>IF(OR($J774="",$K774=""),"",IFERROR(INDEX(設定!$F$6:$F$18,MATCH($G774,設定!$B$6:$B$18,0)),0))</f>
        <v/>
      </c>
      <c r="M774" s="82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1">
        <f>IF(OR($C774="",$H774="",$J774=""),0,IF(ROUND(($J774-$H774)*1440,0)&gt;設定!$C$42,ROUND(($J774-$H774)*1440,0),0))</f>
        <v/>
      </c>
      <c r="P774" s="81">
        <f>IF(OR($C774="",$I774="",$K774=""),0,IF(ROUND(($I774-$K774)*1440,0)&gt;設定!$C$42,ROUND(($I774-$K774)*1440,0),0))</f>
        <v/>
      </c>
      <c r="Q774" s="82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79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0">
        <f>IF($G775="","",IFERROR(INDEX(設定!$D$6:$D$18,MATCH($G775,設定!$B$6:$B$18,0)),""))</f>
        <v/>
      </c>
      <c r="I775" s="80">
        <f>IF($G775="","",IFERROR(INDEX(設定!$E$6:$E$18,MATCH($G775,設定!$B$6:$B$18,0)),""))</f>
        <v/>
      </c>
      <c r="J775" s="80">
        <f>IFERROR(INDEX(打卡匯入!$C$3:$C$2002,MATCH($C775&amp;"|"&amp;DAY($A775),打卡匯入!$E$3:$E$2002,0)),"")</f>
        <v/>
      </c>
      <c r="K775" s="80">
        <f>IFERROR(INDEX(打卡匯入!$D$3:$D$2002,MATCH($C775&amp;"|"&amp;DAY($A775),打卡匯入!$E$3:$E$2002,0)),"")</f>
        <v/>
      </c>
      <c r="L775" s="81">
        <f>IF(OR($J775="",$K775=""),"",IFERROR(INDEX(設定!$F$6:$F$18,MATCH($G775,設定!$B$6:$B$18,0)),0))</f>
        <v/>
      </c>
      <c r="M775" s="82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1">
        <f>IF(OR($C775="",$H775="",$J775=""),0,IF(ROUND(($J775-$H775)*1440,0)&gt;設定!$C$42,ROUND(($J775-$H775)*1440,0),0))</f>
        <v/>
      </c>
      <c r="P775" s="81">
        <f>IF(OR($C775="",$I775="",$K775=""),0,IF(ROUND(($I775-$K775)*1440,0)&gt;設定!$C$42,ROUND(($I775-$K775)*1440,0),0))</f>
        <v/>
      </c>
      <c r="Q775" s="82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79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0">
        <f>IF($G776="","",IFERROR(INDEX(設定!$D$6:$D$18,MATCH($G776,設定!$B$6:$B$18,0)),""))</f>
        <v/>
      </c>
      <c r="I776" s="80">
        <f>IF($G776="","",IFERROR(INDEX(設定!$E$6:$E$18,MATCH($G776,設定!$B$6:$B$18,0)),""))</f>
        <v/>
      </c>
      <c r="J776" s="80">
        <f>IFERROR(INDEX(打卡匯入!$C$3:$C$2002,MATCH($C776&amp;"|"&amp;DAY($A776),打卡匯入!$E$3:$E$2002,0)),"")</f>
        <v/>
      </c>
      <c r="K776" s="80">
        <f>IFERROR(INDEX(打卡匯入!$D$3:$D$2002,MATCH($C776&amp;"|"&amp;DAY($A776),打卡匯入!$E$3:$E$2002,0)),"")</f>
        <v/>
      </c>
      <c r="L776" s="81">
        <f>IF(OR($J776="",$K776=""),"",IFERROR(INDEX(設定!$F$6:$F$18,MATCH($G776,設定!$B$6:$B$18,0)),0))</f>
        <v/>
      </c>
      <c r="M776" s="82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1">
        <f>IF(OR($C776="",$H776="",$J776=""),0,IF(ROUND(($J776-$H776)*1440,0)&gt;設定!$C$42,ROUND(($J776-$H776)*1440,0),0))</f>
        <v/>
      </c>
      <c r="P776" s="81">
        <f>IF(OR($C776="",$I776="",$K776=""),0,IF(ROUND(($I776-$K776)*1440,0)&gt;設定!$C$42,ROUND(($I776-$K776)*1440,0),0))</f>
        <v/>
      </c>
      <c r="Q776" s="82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79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0">
        <f>IF($G777="","",IFERROR(INDEX(設定!$D$6:$D$18,MATCH($G777,設定!$B$6:$B$18,0)),""))</f>
        <v/>
      </c>
      <c r="I777" s="80">
        <f>IF($G777="","",IFERROR(INDEX(設定!$E$6:$E$18,MATCH($G777,設定!$B$6:$B$18,0)),""))</f>
        <v/>
      </c>
      <c r="J777" s="80">
        <f>IFERROR(INDEX(打卡匯入!$C$3:$C$2002,MATCH($C777&amp;"|"&amp;DAY($A777),打卡匯入!$E$3:$E$2002,0)),"")</f>
        <v/>
      </c>
      <c r="K777" s="80">
        <f>IFERROR(INDEX(打卡匯入!$D$3:$D$2002,MATCH($C777&amp;"|"&amp;DAY($A777),打卡匯入!$E$3:$E$2002,0)),"")</f>
        <v/>
      </c>
      <c r="L777" s="81">
        <f>IF(OR($J777="",$K777=""),"",IFERROR(INDEX(設定!$F$6:$F$18,MATCH($G777,設定!$B$6:$B$18,0)),0))</f>
        <v/>
      </c>
      <c r="M777" s="82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1">
        <f>IF(OR($C777="",$H777="",$J777=""),0,IF(ROUND(($J777-$H777)*1440,0)&gt;設定!$C$42,ROUND(($J777-$H777)*1440,0),0))</f>
        <v/>
      </c>
      <c r="P777" s="81">
        <f>IF(OR($C777="",$I777="",$K777=""),0,IF(ROUND(($I777-$K777)*1440,0)&gt;設定!$C$42,ROUND(($I777-$K777)*1440,0),0))</f>
        <v/>
      </c>
      <c r="Q777" s="82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79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0">
        <f>IF($G778="","",IFERROR(INDEX(設定!$D$6:$D$18,MATCH($G778,設定!$B$6:$B$18,0)),""))</f>
        <v/>
      </c>
      <c r="I778" s="80">
        <f>IF($G778="","",IFERROR(INDEX(設定!$E$6:$E$18,MATCH($G778,設定!$B$6:$B$18,0)),""))</f>
        <v/>
      </c>
      <c r="J778" s="80">
        <f>IFERROR(INDEX(打卡匯入!$C$3:$C$2002,MATCH($C778&amp;"|"&amp;DAY($A778),打卡匯入!$E$3:$E$2002,0)),"")</f>
        <v/>
      </c>
      <c r="K778" s="80">
        <f>IFERROR(INDEX(打卡匯入!$D$3:$D$2002,MATCH($C778&amp;"|"&amp;DAY($A778),打卡匯入!$E$3:$E$2002,0)),"")</f>
        <v/>
      </c>
      <c r="L778" s="81">
        <f>IF(OR($J778="",$K778=""),"",IFERROR(INDEX(設定!$F$6:$F$18,MATCH($G778,設定!$B$6:$B$18,0)),0))</f>
        <v/>
      </c>
      <c r="M778" s="82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1">
        <f>IF(OR($C778="",$H778="",$J778=""),0,IF(ROUND(($J778-$H778)*1440,0)&gt;設定!$C$42,ROUND(($J778-$H778)*1440,0),0))</f>
        <v/>
      </c>
      <c r="P778" s="81">
        <f>IF(OR($C778="",$I778="",$K778=""),0,IF(ROUND(($I778-$K778)*1440,0)&gt;設定!$C$42,ROUND(($I778-$K778)*1440,0),0))</f>
        <v/>
      </c>
      <c r="Q778" s="82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79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0">
        <f>IF($G779="","",IFERROR(INDEX(設定!$D$6:$D$18,MATCH($G779,設定!$B$6:$B$18,0)),""))</f>
        <v/>
      </c>
      <c r="I779" s="80">
        <f>IF($G779="","",IFERROR(INDEX(設定!$E$6:$E$18,MATCH($G779,設定!$B$6:$B$18,0)),""))</f>
        <v/>
      </c>
      <c r="J779" s="80">
        <f>IFERROR(INDEX(打卡匯入!$C$3:$C$2002,MATCH($C779&amp;"|"&amp;DAY($A779),打卡匯入!$E$3:$E$2002,0)),"")</f>
        <v/>
      </c>
      <c r="K779" s="80">
        <f>IFERROR(INDEX(打卡匯入!$D$3:$D$2002,MATCH($C779&amp;"|"&amp;DAY($A779),打卡匯入!$E$3:$E$2002,0)),"")</f>
        <v/>
      </c>
      <c r="L779" s="81">
        <f>IF(OR($J779="",$K779=""),"",IFERROR(INDEX(設定!$F$6:$F$18,MATCH($G779,設定!$B$6:$B$18,0)),0))</f>
        <v/>
      </c>
      <c r="M779" s="82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1">
        <f>IF(OR($C779="",$H779="",$J779=""),0,IF(ROUND(($J779-$H779)*1440,0)&gt;設定!$C$42,ROUND(($J779-$H779)*1440,0),0))</f>
        <v/>
      </c>
      <c r="P779" s="81">
        <f>IF(OR($C779="",$I779="",$K779=""),0,IF(ROUND(($I779-$K779)*1440,0)&gt;設定!$C$42,ROUND(($I779-$K779)*1440,0),0))</f>
        <v/>
      </c>
      <c r="Q779" s="82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79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0">
        <f>IF($G780="","",IFERROR(INDEX(設定!$D$6:$D$18,MATCH($G780,設定!$B$6:$B$18,0)),""))</f>
        <v/>
      </c>
      <c r="I780" s="80">
        <f>IF($G780="","",IFERROR(INDEX(設定!$E$6:$E$18,MATCH($G780,設定!$B$6:$B$18,0)),""))</f>
        <v/>
      </c>
      <c r="J780" s="80">
        <f>IFERROR(INDEX(打卡匯入!$C$3:$C$2002,MATCH($C780&amp;"|"&amp;DAY($A780),打卡匯入!$E$3:$E$2002,0)),"")</f>
        <v/>
      </c>
      <c r="K780" s="80">
        <f>IFERROR(INDEX(打卡匯入!$D$3:$D$2002,MATCH($C780&amp;"|"&amp;DAY($A780),打卡匯入!$E$3:$E$2002,0)),"")</f>
        <v/>
      </c>
      <c r="L780" s="81">
        <f>IF(OR($J780="",$K780=""),"",IFERROR(INDEX(設定!$F$6:$F$18,MATCH($G780,設定!$B$6:$B$18,0)),0))</f>
        <v/>
      </c>
      <c r="M780" s="82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1">
        <f>IF(OR($C780="",$H780="",$J780=""),0,IF(ROUND(($J780-$H780)*1440,0)&gt;設定!$C$42,ROUND(($J780-$H780)*1440,0),0))</f>
        <v/>
      </c>
      <c r="P780" s="81">
        <f>IF(OR($C780="",$I780="",$K780=""),0,IF(ROUND(($I780-$K780)*1440,0)&gt;設定!$C$42,ROUND(($I780-$K780)*1440,0),0))</f>
        <v/>
      </c>
      <c r="Q780" s="82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79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0">
        <f>IF($G781="","",IFERROR(INDEX(設定!$D$6:$D$18,MATCH($G781,設定!$B$6:$B$18,0)),""))</f>
        <v/>
      </c>
      <c r="I781" s="80">
        <f>IF($G781="","",IFERROR(INDEX(設定!$E$6:$E$18,MATCH($G781,設定!$B$6:$B$18,0)),""))</f>
        <v/>
      </c>
      <c r="J781" s="80">
        <f>IFERROR(INDEX(打卡匯入!$C$3:$C$2002,MATCH($C781&amp;"|"&amp;DAY($A781),打卡匯入!$E$3:$E$2002,0)),"")</f>
        <v/>
      </c>
      <c r="K781" s="80">
        <f>IFERROR(INDEX(打卡匯入!$D$3:$D$2002,MATCH($C781&amp;"|"&amp;DAY($A781),打卡匯入!$E$3:$E$2002,0)),"")</f>
        <v/>
      </c>
      <c r="L781" s="81">
        <f>IF(OR($J781="",$K781=""),"",IFERROR(INDEX(設定!$F$6:$F$18,MATCH($G781,設定!$B$6:$B$18,0)),0))</f>
        <v/>
      </c>
      <c r="M781" s="82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1">
        <f>IF(OR($C781="",$H781="",$J781=""),0,IF(ROUND(($J781-$H781)*1440,0)&gt;設定!$C$42,ROUND(($J781-$H781)*1440,0),0))</f>
        <v/>
      </c>
      <c r="P781" s="81">
        <f>IF(OR($C781="",$I781="",$K781=""),0,IF(ROUND(($I781-$K781)*1440,0)&gt;設定!$C$42,ROUND(($I781-$K781)*1440,0),0))</f>
        <v/>
      </c>
      <c r="Q781" s="82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79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0">
        <f>IF($G782="","",IFERROR(INDEX(設定!$D$6:$D$18,MATCH($G782,設定!$B$6:$B$18,0)),""))</f>
        <v/>
      </c>
      <c r="I782" s="80">
        <f>IF($G782="","",IFERROR(INDEX(設定!$E$6:$E$18,MATCH($G782,設定!$B$6:$B$18,0)),""))</f>
        <v/>
      </c>
      <c r="J782" s="80">
        <f>IFERROR(INDEX(打卡匯入!$C$3:$C$2002,MATCH($C782&amp;"|"&amp;DAY($A782),打卡匯入!$E$3:$E$2002,0)),"")</f>
        <v/>
      </c>
      <c r="K782" s="80">
        <f>IFERROR(INDEX(打卡匯入!$D$3:$D$2002,MATCH($C782&amp;"|"&amp;DAY($A782),打卡匯入!$E$3:$E$2002,0)),"")</f>
        <v/>
      </c>
      <c r="L782" s="81">
        <f>IF(OR($J782="",$K782=""),"",IFERROR(INDEX(設定!$F$6:$F$18,MATCH($G782,設定!$B$6:$B$18,0)),0))</f>
        <v/>
      </c>
      <c r="M782" s="82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1">
        <f>IF(OR($C782="",$H782="",$J782=""),0,IF(ROUND(($J782-$H782)*1440,0)&gt;設定!$C$42,ROUND(($J782-$H782)*1440,0),0))</f>
        <v/>
      </c>
      <c r="P782" s="81">
        <f>IF(OR($C782="",$I782="",$K782=""),0,IF(ROUND(($I782-$K782)*1440,0)&gt;設定!$C$42,ROUND(($I782-$K782)*1440,0),0))</f>
        <v/>
      </c>
      <c r="Q782" s="82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79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0">
        <f>IF($G783="","",IFERROR(INDEX(設定!$D$6:$D$18,MATCH($G783,設定!$B$6:$B$18,0)),""))</f>
        <v/>
      </c>
      <c r="I783" s="80">
        <f>IF($G783="","",IFERROR(INDEX(設定!$E$6:$E$18,MATCH($G783,設定!$B$6:$B$18,0)),""))</f>
        <v/>
      </c>
      <c r="J783" s="80">
        <f>IFERROR(INDEX(打卡匯入!$C$3:$C$2002,MATCH($C783&amp;"|"&amp;DAY($A783),打卡匯入!$E$3:$E$2002,0)),"")</f>
        <v/>
      </c>
      <c r="K783" s="80">
        <f>IFERROR(INDEX(打卡匯入!$D$3:$D$2002,MATCH($C783&amp;"|"&amp;DAY($A783),打卡匯入!$E$3:$E$2002,0)),"")</f>
        <v/>
      </c>
      <c r="L783" s="81">
        <f>IF(OR($J783="",$K783=""),"",IFERROR(INDEX(設定!$F$6:$F$18,MATCH($G783,設定!$B$6:$B$18,0)),0))</f>
        <v/>
      </c>
      <c r="M783" s="82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1">
        <f>IF(OR($C783="",$H783="",$J783=""),0,IF(ROUND(($J783-$H783)*1440,0)&gt;設定!$C$42,ROUND(($J783-$H783)*1440,0),0))</f>
        <v/>
      </c>
      <c r="P783" s="81">
        <f>IF(OR($C783="",$I783="",$K783=""),0,IF(ROUND(($I783-$K783)*1440,0)&gt;設定!$C$42,ROUND(($I783-$K783)*1440,0),0))</f>
        <v/>
      </c>
      <c r="Q783" s="82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79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0">
        <f>IF($G784="","",IFERROR(INDEX(設定!$D$6:$D$18,MATCH($G784,設定!$B$6:$B$18,0)),""))</f>
        <v/>
      </c>
      <c r="I784" s="80">
        <f>IF($G784="","",IFERROR(INDEX(設定!$E$6:$E$18,MATCH($G784,設定!$B$6:$B$18,0)),""))</f>
        <v/>
      </c>
      <c r="J784" s="80">
        <f>IFERROR(INDEX(打卡匯入!$C$3:$C$2002,MATCH($C784&amp;"|"&amp;DAY($A784),打卡匯入!$E$3:$E$2002,0)),"")</f>
        <v/>
      </c>
      <c r="K784" s="80">
        <f>IFERROR(INDEX(打卡匯入!$D$3:$D$2002,MATCH($C784&amp;"|"&amp;DAY($A784),打卡匯入!$E$3:$E$2002,0)),"")</f>
        <v/>
      </c>
      <c r="L784" s="81">
        <f>IF(OR($J784="",$K784=""),"",IFERROR(INDEX(設定!$F$6:$F$18,MATCH($G784,設定!$B$6:$B$18,0)),0))</f>
        <v/>
      </c>
      <c r="M784" s="82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1">
        <f>IF(OR($C784="",$H784="",$J784=""),0,IF(ROUND(($J784-$H784)*1440,0)&gt;設定!$C$42,ROUND(($J784-$H784)*1440,0),0))</f>
        <v/>
      </c>
      <c r="P784" s="81">
        <f>IF(OR($C784="",$I784="",$K784=""),0,IF(ROUND(($I784-$K784)*1440,0)&gt;設定!$C$42,ROUND(($I784-$K784)*1440,0),0))</f>
        <v/>
      </c>
      <c r="Q784" s="82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79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0">
        <f>IF($G785="","",IFERROR(INDEX(設定!$D$6:$D$18,MATCH($G785,設定!$B$6:$B$18,0)),""))</f>
        <v/>
      </c>
      <c r="I785" s="80">
        <f>IF($G785="","",IFERROR(INDEX(設定!$E$6:$E$18,MATCH($G785,設定!$B$6:$B$18,0)),""))</f>
        <v/>
      </c>
      <c r="J785" s="80">
        <f>IFERROR(INDEX(打卡匯入!$C$3:$C$2002,MATCH($C785&amp;"|"&amp;DAY($A785),打卡匯入!$E$3:$E$2002,0)),"")</f>
        <v/>
      </c>
      <c r="K785" s="80">
        <f>IFERROR(INDEX(打卡匯入!$D$3:$D$2002,MATCH($C785&amp;"|"&amp;DAY($A785),打卡匯入!$E$3:$E$2002,0)),"")</f>
        <v/>
      </c>
      <c r="L785" s="81">
        <f>IF(OR($J785="",$K785=""),"",IFERROR(INDEX(設定!$F$6:$F$18,MATCH($G785,設定!$B$6:$B$18,0)),0))</f>
        <v/>
      </c>
      <c r="M785" s="82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1">
        <f>IF(OR($C785="",$H785="",$J785=""),0,IF(ROUND(($J785-$H785)*1440,0)&gt;設定!$C$42,ROUND(($J785-$H785)*1440,0),0))</f>
        <v/>
      </c>
      <c r="P785" s="81">
        <f>IF(OR($C785="",$I785="",$K785=""),0,IF(ROUND(($I785-$K785)*1440,0)&gt;設定!$C$42,ROUND(($I785-$K785)*1440,0),0))</f>
        <v/>
      </c>
      <c r="Q785" s="82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79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0">
        <f>IF($G786="","",IFERROR(INDEX(設定!$D$6:$D$18,MATCH($G786,設定!$B$6:$B$18,0)),""))</f>
        <v/>
      </c>
      <c r="I786" s="80">
        <f>IF($G786="","",IFERROR(INDEX(設定!$E$6:$E$18,MATCH($G786,設定!$B$6:$B$18,0)),""))</f>
        <v/>
      </c>
      <c r="J786" s="80">
        <f>IFERROR(INDEX(打卡匯入!$C$3:$C$2002,MATCH($C786&amp;"|"&amp;DAY($A786),打卡匯入!$E$3:$E$2002,0)),"")</f>
        <v/>
      </c>
      <c r="K786" s="80">
        <f>IFERROR(INDEX(打卡匯入!$D$3:$D$2002,MATCH($C786&amp;"|"&amp;DAY($A786),打卡匯入!$E$3:$E$2002,0)),"")</f>
        <v/>
      </c>
      <c r="L786" s="81">
        <f>IF(OR($J786="",$K786=""),"",IFERROR(INDEX(設定!$F$6:$F$18,MATCH($G786,設定!$B$6:$B$18,0)),0))</f>
        <v/>
      </c>
      <c r="M786" s="82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1">
        <f>IF(OR($C786="",$H786="",$J786=""),0,IF(ROUND(($J786-$H786)*1440,0)&gt;設定!$C$42,ROUND(($J786-$H786)*1440,0),0))</f>
        <v/>
      </c>
      <c r="P786" s="81">
        <f>IF(OR($C786="",$I786="",$K786=""),0,IF(ROUND(($I786-$K786)*1440,0)&gt;設定!$C$42,ROUND(($I786-$K786)*1440,0),0))</f>
        <v/>
      </c>
      <c r="Q786" s="82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79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0">
        <f>IF($G787="","",IFERROR(INDEX(設定!$D$6:$D$18,MATCH($G787,設定!$B$6:$B$18,0)),""))</f>
        <v/>
      </c>
      <c r="I787" s="80">
        <f>IF($G787="","",IFERROR(INDEX(設定!$E$6:$E$18,MATCH($G787,設定!$B$6:$B$18,0)),""))</f>
        <v/>
      </c>
      <c r="J787" s="80">
        <f>IFERROR(INDEX(打卡匯入!$C$3:$C$2002,MATCH($C787&amp;"|"&amp;DAY($A787),打卡匯入!$E$3:$E$2002,0)),"")</f>
        <v/>
      </c>
      <c r="K787" s="80">
        <f>IFERROR(INDEX(打卡匯入!$D$3:$D$2002,MATCH($C787&amp;"|"&amp;DAY($A787),打卡匯入!$E$3:$E$2002,0)),"")</f>
        <v/>
      </c>
      <c r="L787" s="81">
        <f>IF(OR($J787="",$K787=""),"",IFERROR(INDEX(設定!$F$6:$F$18,MATCH($G787,設定!$B$6:$B$18,0)),0))</f>
        <v/>
      </c>
      <c r="M787" s="82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1">
        <f>IF(OR($C787="",$H787="",$J787=""),0,IF(ROUND(($J787-$H787)*1440,0)&gt;設定!$C$42,ROUND(($J787-$H787)*1440,0),0))</f>
        <v/>
      </c>
      <c r="P787" s="81">
        <f>IF(OR($C787="",$I787="",$K787=""),0,IF(ROUND(($I787-$K787)*1440,0)&gt;設定!$C$42,ROUND(($I787-$K787)*1440,0),0))</f>
        <v/>
      </c>
      <c r="Q787" s="82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79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0">
        <f>IF($G788="","",IFERROR(INDEX(設定!$D$6:$D$18,MATCH($G788,設定!$B$6:$B$18,0)),""))</f>
        <v/>
      </c>
      <c r="I788" s="80">
        <f>IF($G788="","",IFERROR(INDEX(設定!$E$6:$E$18,MATCH($G788,設定!$B$6:$B$18,0)),""))</f>
        <v/>
      </c>
      <c r="J788" s="80">
        <f>IFERROR(INDEX(打卡匯入!$C$3:$C$2002,MATCH($C788&amp;"|"&amp;DAY($A788),打卡匯入!$E$3:$E$2002,0)),"")</f>
        <v/>
      </c>
      <c r="K788" s="80">
        <f>IFERROR(INDEX(打卡匯入!$D$3:$D$2002,MATCH($C788&amp;"|"&amp;DAY($A788),打卡匯入!$E$3:$E$2002,0)),"")</f>
        <v/>
      </c>
      <c r="L788" s="81">
        <f>IF(OR($J788="",$K788=""),"",IFERROR(INDEX(設定!$F$6:$F$18,MATCH($G788,設定!$B$6:$B$18,0)),0))</f>
        <v/>
      </c>
      <c r="M788" s="82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1">
        <f>IF(OR($C788="",$H788="",$J788=""),0,IF(ROUND(($J788-$H788)*1440,0)&gt;設定!$C$42,ROUND(($J788-$H788)*1440,0),0))</f>
        <v/>
      </c>
      <c r="P788" s="81">
        <f>IF(OR($C788="",$I788="",$K788=""),0,IF(ROUND(($I788-$K788)*1440,0)&gt;設定!$C$42,ROUND(($I788-$K788)*1440,0),0))</f>
        <v/>
      </c>
      <c r="Q788" s="82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79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0">
        <f>IF($G789="","",IFERROR(INDEX(設定!$D$6:$D$18,MATCH($G789,設定!$B$6:$B$18,0)),""))</f>
        <v/>
      </c>
      <c r="I789" s="80">
        <f>IF($G789="","",IFERROR(INDEX(設定!$E$6:$E$18,MATCH($G789,設定!$B$6:$B$18,0)),""))</f>
        <v/>
      </c>
      <c r="J789" s="80">
        <f>IFERROR(INDEX(打卡匯入!$C$3:$C$2002,MATCH($C789&amp;"|"&amp;DAY($A789),打卡匯入!$E$3:$E$2002,0)),"")</f>
        <v/>
      </c>
      <c r="K789" s="80">
        <f>IFERROR(INDEX(打卡匯入!$D$3:$D$2002,MATCH($C789&amp;"|"&amp;DAY($A789),打卡匯入!$E$3:$E$2002,0)),"")</f>
        <v/>
      </c>
      <c r="L789" s="81">
        <f>IF(OR($J789="",$K789=""),"",IFERROR(INDEX(設定!$F$6:$F$18,MATCH($G789,設定!$B$6:$B$18,0)),0))</f>
        <v/>
      </c>
      <c r="M789" s="82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1">
        <f>IF(OR($C789="",$H789="",$J789=""),0,IF(ROUND(($J789-$H789)*1440,0)&gt;設定!$C$42,ROUND(($J789-$H789)*1440,0),0))</f>
        <v/>
      </c>
      <c r="P789" s="81">
        <f>IF(OR($C789="",$I789="",$K789=""),0,IF(ROUND(($I789-$K789)*1440,0)&gt;設定!$C$42,ROUND(($I789-$K789)*1440,0),0))</f>
        <v/>
      </c>
      <c r="Q789" s="82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79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0">
        <f>IF($G790="","",IFERROR(INDEX(設定!$D$6:$D$18,MATCH($G790,設定!$B$6:$B$18,0)),""))</f>
        <v/>
      </c>
      <c r="I790" s="80">
        <f>IF($G790="","",IFERROR(INDEX(設定!$E$6:$E$18,MATCH($G790,設定!$B$6:$B$18,0)),""))</f>
        <v/>
      </c>
      <c r="J790" s="80">
        <f>IFERROR(INDEX(打卡匯入!$C$3:$C$2002,MATCH($C790&amp;"|"&amp;DAY($A790),打卡匯入!$E$3:$E$2002,0)),"")</f>
        <v/>
      </c>
      <c r="K790" s="80">
        <f>IFERROR(INDEX(打卡匯入!$D$3:$D$2002,MATCH($C790&amp;"|"&amp;DAY($A790),打卡匯入!$E$3:$E$2002,0)),"")</f>
        <v/>
      </c>
      <c r="L790" s="81">
        <f>IF(OR($J790="",$K790=""),"",IFERROR(INDEX(設定!$F$6:$F$18,MATCH($G790,設定!$B$6:$B$18,0)),0))</f>
        <v/>
      </c>
      <c r="M790" s="82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1">
        <f>IF(OR($C790="",$H790="",$J790=""),0,IF(ROUND(($J790-$H790)*1440,0)&gt;設定!$C$42,ROUND(($J790-$H790)*1440,0),0))</f>
        <v/>
      </c>
      <c r="P790" s="81">
        <f>IF(OR($C790="",$I790="",$K790=""),0,IF(ROUND(($I790-$K790)*1440,0)&gt;設定!$C$42,ROUND(($I790-$K790)*1440,0),0))</f>
        <v/>
      </c>
      <c r="Q790" s="82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79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0">
        <f>IF($G791="","",IFERROR(INDEX(設定!$D$6:$D$18,MATCH($G791,設定!$B$6:$B$18,0)),""))</f>
        <v/>
      </c>
      <c r="I791" s="80">
        <f>IF($G791="","",IFERROR(INDEX(設定!$E$6:$E$18,MATCH($G791,設定!$B$6:$B$18,0)),""))</f>
        <v/>
      </c>
      <c r="J791" s="80">
        <f>IFERROR(INDEX(打卡匯入!$C$3:$C$2002,MATCH($C791&amp;"|"&amp;DAY($A791),打卡匯入!$E$3:$E$2002,0)),"")</f>
        <v/>
      </c>
      <c r="K791" s="80">
        <f>IFERROR(INDEX(打卡匯入!$D$3:$D$2002,MATCH($C791&amp;"|"&amp;DAY($A791),打卡匯入!$E$3:$E$2002,0)),"")</f>
        <v/>
      </c>
      <c r="L791" s="81">
        <f>IF(OR($J791="",$K791=""),"",IFERROR(INDEX(設定!$F$6:$F$18,MATCH($G791,設定!$B$6:$B$18,0)),0))</f>
        <v/>
      </c>
      <c r="M791" s="82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1">
        <f>IF(OR($C791="",$H791="",$J791=""),0,IF(ROUND(($J791-$H791)*1440,0)&gt;設定!$C$42,ROUND(($J791-$H791)*1440,0),0))</f>
        <v/>
      </c>
      <c r="P791" s="81">
        <f>IF(OR($C791="",$I791="",$K791=""),0,IF(ROUND(($I791-$K791)*1440,0)&gt;設定!$C$42,ROUND(($I791-$K791)*1440,0),0))</f>
        <v/>
      </c>
      <c r="Q791" s="82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79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0">
        <f>IF($G792="","",IFERROR(INDEX(設定!$D$6:$D$18,MATCH($G792,設定!$B$6:$B$18,0)),""))</f>
        <v/>
      </c>
      <c r="I792" s="80">
        <f>IF($G792="","",IFERROR(INDEX(設定!$E$6:$E$18,MATCH($G792,設定!$B$6:$B$18,0)),""))</f>
        <v/>
      </c>
      <c r="J792" s="80">
        <f>IFERROR(INDEX(打卡匯入!$C$3:$C$2002,MATCH($C792&amp;"|"&amp;DAY($A792),打卡匯入!$E$3:$E$2002,0)),"")</f>
        <v/>
      </c>
      <c r="K792" s="80">
        <f>IFERROR(INDEX(打卡匯入!$D$3:$D$2002,MATCH($C792&amp;"|"&amp;DAY($A792),打卡匯入!$E$3:$E$2002,0)),"")</f>
        <v/>
      </c>
      <c r="L792" s="81">
        <f>IF(OR($J792="",$K792=""),"",IFERROR(INDEX(設定!$F$6:$F$18,MATCH($G792,設定!$B$6:$B$18,0)),0))</f>
        <v/>
      </c>
      <c r="M792" s="82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1">
        <f>IF(OR($C792="",$H792="",$J792=""),0,IF(ROUND(($J792-$H792)*1440,0)&gt;設定!$C$42,ROUND(($J792-$H792)*1440,0),0))</f>
        <v/>
      </c>
      <c r="P792" s="81">
        <f>IF(OR($C792="",$I792="",$K792=""),0,IF(ROUND(($I792-$K792)*1440,0)&gt;設定!$C$42,ROUND(($I792-$K792)*1440,0),0))</f>
        <v/>
      </c>
      <c r="Q792" s="82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79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0">
        <f>IF($G793="","",IFERROR(INDEX(設定!$D$6:$D$18,MATCH($G793,設定!$B$6:$B$18,0)),""))</f>
        <v/>
      </c>
      <c r="I793" s="80">
        <f>IF($G793="","",IFERROR(INDEX(設定!$E$6:$E$18,MATCH($G793,設定!$B$6:$B$18,0)),""))</f>
        <v/>
      </c>
      <c r="J793" s="80">
        <f>IFERROR(INDEX(打卡匯入!$C$3:$C$2002,MATCH($C793&amp;"|"&amp;DAY($A793),打卡匯入!$E$3:$E$2002,0)),"")</f>
        <v/>
      </c>
      <c r="K793" s="80">
        <f>IFERROR(INDEX(打卡匯入!$D$3:$D$2002,MATCH($C793&amp;"|"&amp;DAY($A793),打卡匯入!$E$3:$E$2002,0)),"")</f>
        <v/>
      </c>
      <c r="L793" s="81">
        <f>IF(OR($J793="",$K793=""),"",IFERROR(INDEX(設定!$F$6:$F$18,MATCH($G793,設定!$B$6:$B$18,0)),0))</f>
        <v/>
      </c>
      <c r="M793" s="82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1">
        <f>IF(OR($C793="",$H793="",$J793=""),0,IF(ROUND(($J793-$H793)*1440,0)&gt;設定!$C$42,ROUND(($J793-$H793)*1440,0),0))</f>
        <v/>
      </c>
      <c r="P793" s="81">
        <f>IF(OR($C793="",$I793="",$K793=""),0,IF(ROUND(($I793-$K793)*1440,0)&gt;設定!$C$42,ROUND(($I793-$K793)*1440,0),0))</f>
        <v/>
      </c>
      <c r="Q793" s="82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79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0">
        <f>IF($G794="","",IFERROR(INDEX(設定!$D$6:$D$18,MATCH($G794,設定!$B$6:$B$18,0)),""))</f>
        <v/>
      </c>
      <c r="I794" s="80">
        <f>IF($G794="","",IFERROR(INDEX(設定!$E$6:$E$18,MATCH($G794,設定!$B$6:$B$18,0)),""))</f>
        <v/>
      </c>
      <c r="J794" s="80">
        <f>IFERROR(INDEX(打卡匯入!$C$3:$C$2002,MATCH($C794&amp;"|"&amp;DAY($A794),打卡匯入!$E$3:$E$2002,0)),"")</f>
        <v/>
      </c>
      <c r="K794" s="80">
        <f>IFERROR(INDEX(打卡匯入!$D$3:$D$2002,MATCH($C794&amp;"|"&amp;DAY($A794),打卡匯入!$E$3:$E$2002,0)),"")</f>
        <v/>
      </c>
      <c r="L794" s="81">
        <f>IF(OR($J794="",$K794=""),"",IFERROR(INDEX(設定!$F$6:$F$18,MATCH($G794,設定!$B$6:$B$18,0)),0))</f>
        <v/>
      </c>
      <c r="M794" s="82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1">
        <f>IF(OR($C794="",$H794="",$J794=""),0,IF(ROUND(($J794-$H794)*1440,0)&gt;設定!$C$42,ROUND(($J794-$H794)*1440,0),0))</f>
        <v/>
      </c>
      <c r="P794" s="81">
        <f>IF(OR($C794="",$I794="",$K794=""),0,IF(ROUND(($I794-$K794)*1440,0)&gt;設定!$C$42,ROUND(($I794-$K794)*1440,0),0))</f>
        <v/>
      </c>
      <c r="Q794" s="82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79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0">
        <f>IF($G795="","",IFERROR(INDEX(設定!$D$6:$D$18,MATCH($G795,設定!$B$6:$B$18,0)),""))</f>
        <v/>
      </c>
      <c r="I795" s="80">
        <f>IF($G795="","",IFERROR(INDEX(設定!$E$6:$E$18,MATCH($G795,設定!$B$6:$B$18,0)),""))</f>
        <v/>
      </c>
      <c r="J795" s="80">
        <f>IFERROR(INDEX(打卡匯入!$C$3:$C$2002,MATCH($C795&amp;"|"&amp;DAY($A795),打卡匯入!$E$3:$E$2002,0)),"")</f>
        <v/>
      </c>
      <c r="K795" s="80">
        <f>IFERROR(INDEX(打卡匯入!$D$3:$D$2002,MATCH($C795&amp;"|"&amp;DAY($A795),打卡匯入!$E$3:$E$2002,0)),"")</f>
        <v/>
      </c>
      <c r="L795" s="81">
        <f>IF(OR($J795="",$K795=""),"",IFERROR(INDEX(設定!$F$6:$F$18,MATCH($G795,設定!$B$6:$B$18,0)),0))</f>
        <v/>
      </c>
      <c r="M795" s="82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1">
        <f>IF(OR($C795="",$H795="",$J795=""),0,IF(ROUND(($J795-$H795)*1440,0)&gt;設定!$C$42,ROUND(($J795-$H795)*1440,0),0))</f>
        <v/>
      </c>
      <c r="P795" s="81">
        <f>IF(OR($C795="",$I795="",$K795=""),0,IF(ROUND(($I795-$K795)*1440,0)&gt;設定!$C$42,ROUND(($I795-$K795)*1440,0),0))</f>
        <v/>
      </c>
      <c r="Q795" s="82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79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0">
        <f>IF($G796="","",IFERROR(INDEX(設定!$D$6:$D$18,MATCH($G796,設定!$B$6:$B$18,0)),""))</f>
        <v/>
      </c>
      <c r="I796" s="80">
        <f>IF($G796="","",IFERROR(INDEX(設定!$E$6:$E$18,MATCH($G796,設定!$B$6:$B$18,0)),""))</f>
        <v/>
      </c>
      <c r="J796" s="80">
        <f>IFERROR(INDEX(打卡匯入!$C$3:$C$2002,MATCH($C796&amp;"|"&amp;DAY($A796),打卡匯入!$E$3:$E$2002,0)),"")</f>
        <v/>
      </c>
      <c r="K796" s="80">
        <f>IFERROR(INDEX(打卡匯入!$D$3:$D$2002,MATCH($C796&amp;"|"&amp;DAY($A796),打卡匯入!$E$3:$E$2002,0)),"")</f>
        <v/>
      </c>
      <c r="L796" s="81">
        <f>IF(OR($J796="",$K796=""),"",IFERROR(INDEX(設定!$F$6:$F$18,MATCH($G796,設定!$B$6:$B$18,0)),0))</f>
        <v/>
      </c>
      <c r="M796" s="82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1">
        <f>IF(OR($C796="",$H796="",$J796=""),0,IF(ROUND(($J796-$H796)*1440,0)&gt;設定!$C$42,ROUND(($J796-$H796)*1440,0),0))</f>
        <v/>
      </c>
      <c r="P796" s="81">
        <f>IF(OR($C796="",$I796="",$K796=""),0,IF(ROUND(($I796-$K796)*1440,0)&gt;設定!$C$42,ROUND(($I796-$K796)*1440,0),0))</f>
        <v/>
      </c>
      <c r="Q796" s="82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79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0">
        <f>IF($G797="","",IFERROR(INDEX(設定!$D$6:$D$18,MATCH($G797,設定!$B$6:$B$18,0)),""))</f>
        <v/>
      </c>
      <c r="I797" s="80">
        <f>IF($G797="","",IFERROR(INDEX(設定!$E$6:$E$18,MATCH($G797,設定!$B$6:$B$18,0)),""))</f>
        <v/>
      </c>
      <c r="J797" s="80">
        <f>IFERROR(INDEX(打卡匯入!$C$3:$C$2002,MATCH($C797&amp;"|"&amp;DAY($A797),打卡匯入!$E$3:$E$2002,0)),"")</f>
        <v/>
      </c>
      <c r="K797" s="80">
        <f>IFERROR(INDEX(打卡匯入!$D$3:$D$2002,MATCH($C797&amp;"|"&amp;DAY($A797),打卡匯入!$E$3:$E$2002,0)),"")</f>
        <v/>
      </c>
      <c r="L797" s="81">
        <f>IF(OR($J797="",$K797=""),"",IFERROR(INDEX(設定!$F$6:$F$18,MATCH($G797,設定!$B$6:$B$18,0)),0))</f>
        <v/>
      </c>
      <c r="M797" s="82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1">
        <f>IF(OR($C797="",$H797="",$J797=""),0,IF(ROUND(($J797-$H797)*1440,0)&gt;設定!$C$42,ROUND(($J797-$H797)*1440,0),0))</f>
        <v/>
      </c>
      <c r="P797" s="81">
        <f>IF(OR($C797="",$I797="",$K797=""),0,IF(ROUND(($I797-$K797)*1440,0)&gt;設定!$C$42,ROUND(($I797-$K797)*1440,0),0))</f>
        <v/>
      </c>
      <c r="Q797" s="82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79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0">
        <f>IF($G798="","",IFERROR(INDEX(設定!$D$6:$D$18,MATCH($G798,設定!$B$6:$B$18,0)),""))</f>
        <v/>
      </c>
      <c r="I798" s="80">
        <f>IF($G798="","",IFERROR(INDEX(設定!$E$6:$E$18,MATCH($G798,設定!$B$6:$B$18,0)),""))</f>
        <v/>
      </c>
      <c r="J798" s="80">
        <f>IFERROR(INDEX(打卡匯入!$C$3:$C$2002,MATCH($C798&amp;"|"&amp;DAY($A798),打卡匯入!$E$3:$E$2002,0)),"")</f>
        <v/>
      </c>
      <c r="K798" s="80">
        <f>IFERROR(INDEX(打卡匯入!$D$3:$D$2002,MATCH($C798&amp;"|"&amp;DAY($A798),打卡匯入!$E$3:$E$2002,0)),"")</f>
        <v/>
      </c>
      <c r="L798" s="81">
        <f>IF(OR($J798="",$K798=""),"",IFERROR(INDEX(設定!$F$6:$F$18,MATCH($G798,設定!$B$6:$B$18,0)),0))</f>
        <v/>
      </c>
      <c r="M798" s="82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1">
        <f>IF(OR($C798="",$H798="",$J798=""),0,IF(ROUND(($J798-$H798)*1440,0)&gt;設定!$C$42,ROUND(($J798-$H798)*1440,0),0))</f>
        <v/>
      </c>
      <c r="P798" s="81">
        <f>IF(OR($C798="",$I798="",$K798=""),0,IF(ROUND(($I798-$K798)*1440,0)&gt;設定!$C$42,ROUND(($I798-$K798)*1440,0),0))</f>
        <v/>
      </c>
      <c r="Q798" s="82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79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0">
        <f>IF($G799="","",IFERROR(INDEX(設定!$D$6:$D$18,MATCH($G799,設定!$B$6:$B$18,0)),""))</f>
        <v/>
      </c>
      <c r="I799" s="80">
        <f>IF($G799="","",IFERROR(INDEX(設定!$E$6:$E$18,MATCH($G799,設定!$B$6:$B$18,0)),""))</f>
        <v/>
      </c>
      <c r="J799" s="80">
        <f>IFERROR(INDEX(打卡匯入!$C$3:$C$2002,MATCH($C799&amp;"|"&amp;DAY($A799),打卡匯入!$E$3:$E$2002,0)),"")</f>
        <v/>
      </c>
      <c r="K799" s="80">
        <f>IFERROR(INDEX(打卡匯入!$D$3:$D$2002,MATCH($C799&amp;"|"&amp;DAY($A799),打卡匯入!$E$3:$E$2002,0)),"")</f>
        <v/>
      </c>
      <c r="L799" s="81">
        <f>IF(OR($J799="",$K799=""),"",IFERROR(INDEX(設定!$F$6:$F$18,MATCH($G799,設定!$B$6:$B$18,0)),0))</f>
        <v/>
      </c>
      <c r="M799" s="82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1">
        <f>IF(OR($C799="",$H799="",$J799=""),0,IF(ROUND(($J799-$H799)*1440,0)&gt;設定!$C$42,ROUND(($J799-$H799)*1440,0),0))</f>
        <v/>
      </c>
      <c r="P799" s="81">
        <f>IF(OR($C799="",$I799="",$K799=""),0,IF(ROUND(($I799-$K799)*1440,0)&gt;設定!$C$42,ROUND(($I799-$K799)*1440,0),0))</f>
        <v/>
      </c>
      <c r="Q799" s="82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79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0">
        <f>IF($G800="","",IFERROR(INDEX(設定!$D$6:$D$18,MATCH($G800,設定!$B$6:$B$18,0)),""))</f>
        <v/>
      </c>
      <c r="I800" s="80">
        <f>IF($G800="","",IFERROR(INDEX(設定!$E$6:$E$18,MATCH($G800,設定!$B$6:$B$18,0)),""))</f>
        <v/>
      </c>
      <c r="J800" s="80">
        <f>IFERROR(INDEX(打卡匯入!$C$3:$C$2002,MATCH($C800&amp;"|"&amp;DAY($A800),打卡匯入!$E$3:$E$2002,0)),"")</f>
        <v/>
      </c>
      <c r="K800" s="80">
        <f>IFERROR(INDEX(打卡匯入!$D$3:$D$2002,MATCH($C800&amp;"|"&amp;DAY($A800),打卡匯入!$E$3:$E$2002,0)),"")</f>
        <v/>
      </c>
      <c r="L800" s="81">
        <f>IF(OR($J800="",$K800=""),"",IFERROR(INDEX(設定!$F$6:$F$18,MATCH($G800,設定!$B$6:$B$18,0)),0))</f>
        <v/>
      </c>
      <c r="M800" s="82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1">
        <f>IF(OR($C800="",$H800="",$J800=""),0,IF(ROUND(($J800-$H800)*1440,0)&gt;設定!$C$42,ROUND(($J800-$H800)*1440,0),0))</f>
        <v/>
      </c>
      <c r="P800" s="81">
        <f>IF(OR($C800="",$I800="",$K800=""),0,IF(ROUND(($I800-$K800)*1440,0)&gt;設定!$C$42,ROUND(($I800-$K800)*1440,0),0))</f>
        <v/>
      </c>
      <c r="Q800" s="82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79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0">
        <f>IF($G801="","",IFERROR(INDEX(設定!$D$6:$D$18,MATCH($G801,設定!$B$6:$B$18,0)),""))</f>
        <v/>
      </c>
      <c r="I801" s="80">
        <f>IF($G801="","",IFERROR(INDEX(設定!$E$6:$E$18,MATCH($G801,設定!$B$6:$B$18,0)),""))</f>
        <v/>
      </c>
      <c r="J801" s="80">
        <f>IFERROR(INDEX(打卡匯入!$C$3:$C$2002,MATCH($C801&amp;"|"&amp;DAY($A801),打卡匯入!$E$3:$E$2002,0)),"")</f>
        <v/>
      </c>
      <c r="K801" s="80">
        <f>IFERROR(INDEX(打卡匯入!$D$3:$D$2002,MATCH($C801&amp;"|"&amp;DAY($A801),打卡匯入!$E$3:$E$2002,0)),"")</f>
        <v/>
      </c>
      <c r="L801" s="81">
        <f>IF(OR($J801="",$K801=""),"",IFERROR(INDEX(設定!$F$6:$F$18,MATCH($G801,設定!$B$6:$B$18,0)),0))</f>
        <v/>
      </c>
      <c r="M801" s="82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1">
        <f>IF(OR($C801="",$H801="",$J801=""),0,IF(ROUND(($J801-$H801)*1440,0)&gt;設定!$C$42,ROUND(($J801-$H801)*1440,0),0))</f>
        <v/>
      </c>
      <c r="P801" s="81">
        <f>IF(OR($C801="",$I801="",$K801=""),0,IF(ROUND(($I801-$K801)*1440,0)&gt;設定!$C$42,ROUND(($I801-$K801)*1440,0),0))</f>
        <v/>
      </c>
      <c r="Q801" s="82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79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0">
        <f>IF($G802="","",IFERROR(INDEX(設定!$D$6:$D$18,MATCH($G802,設定!$B$6:$B$18,0)),""))</f>
        <v/>
      </c>
      <c r="I802" s="80">
        <f>IF($G802="","",IFERROR(INDEX(設定!$E$6:$E$18,MATCH($G802,設定!$B$6:$B$18,0)),""))</f>
        <v/>
      </c>
      <c r="J802" s="80">
        <f>IFERROR(INDEX(打卡匯入!$C$3:$C$2002,MATCH($C802&amp;"|"&amp;DAY($A802),打卡匯入!$E$3:$E$2002,0)),"")</f>
        <v/>
      </c>
      <c r="K802" s="80">
        <f>IFERROR(INDEX(打卡匯入!$D$3:$D$2002,MATCH($C802&amp;"|"&amp;DAY($A802),打卡匯入!$E$3:$E$2002,0)),"")</f>
        <v/>
      </c>
      <c r="L802" s="81">
        <f>IF(OR($J802="",$K802=""),"",IFERROR(INDEX(設定!$F$6:$F$18,MATCH($G802,設定!$B$6:$B$18,0)),0))</f>
        <v/>
      </c>
      <c r="M802" s="82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1">
        <f>IF(OR($C802="",$H802="",$J802=""),0,IF(ROUND(($J802-$H802)*1440,0)&gt;設定!$C$42,ROUND(($J802-$H802)*1440,0),0))</f>
        <v/>
      </c>
      <c r="P802" s="81">
        <f>IF(OR($C802="",$I802="",$K802=""),0,IF(ROUND(($I802-$K802)*1440,0)&gt;設定!$C$42,ROUND(($I802-$K802)*1440,0),0))</f>
        <v/>
      </c>
      <c r="Q802" s="82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79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0">
        <f>IF($G803="","",IFERROR(INDEX(設定!$D$6:$D$18,MATCH($G803,設定!$B$6:$B$18,0)),""))</f>
        <v/>
      </c>
      <c r="I803" s="80">
        <f>IF($G803="","",IFERROR(INDEX(設定!$E$6:$E$18,MATCH($G803,設定!$B$6:$B$18,0)),""))</f>
        <v/>
      </c>
      <c r="J803" s="80">
        <f>IFERROR(INDEX(打卡匯入!$C$3:$C$2002,MATCH($C803&amp;"|"&amp;DAY($A803),打卡匯入!$E$3:$E$2002,0)),"")</f>
        <v/>
      </c>
      <c r="K803" s="80">
        <f>IFERROR(INDEX(打卡匯入!$D$3:$D$2002,MATCH($C803&amp;"|"&amp;DAY($A803),打卡匯入!$E$3:$E$2002,0)),"")</f>
        <v/>
      </c>
      <c r="L803" s="81">
        <f>IF(OR($J803="",$K803=""),"",IFERROR(INDEX(設定!$F$6:$F$18,MATCH($G803,設定!$B$6:$B$18,0)),0))</f>
        <v/>
      </c>
      <c r="M803" s="82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1">
        <f>IF(OR($C803="",$H803="",$J803=""),0,IF(ROUND(($J803-$H803)*1440,0)&gt;設定!$C$42,ROUND(($J803-$H803)*1440,0),0))</f>
        <v/>
      </c>
      <c r="P803" s="81">
        <f>IF(OR($C803="",$I803="",$K803=""),0,IF(ROUND(($I803-$K803)*1440,0)&gt;設定!$C$42,ROUND(($I803-$K803)*1440,0),0))</f>
        <v/>
      </c>
      <c r="Q803" s="82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79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0">
        <f>IF($G804="","",IFERROR(INDEX(設定!$D$6:$D$18,MATCH($G804,設定!$B$6:$B$18,0)),""))</f>
        <v/>
      </c>
      <c r="I804" s="80">
        <f>IF($G804="","",IFERROR(INDEX(設定!$E$6:$E$18,MATCH($G804,設定!$B$6:$B$18,0)),""))</f>
        <v/>
      </c>
      <c r="J804" s="80">
        <f>IFERROR(INDEX(打卡匯入!$C$3:$C$2002,MATCH($C804&amp;"|"&amp;DAY($A804),打卡匯入!$E$3:$E$2002,0)),"")</f>
        <v/>
      </c>
      <c r="K804" s="80">
        <f>IFERROR(INDEX(打卡匯入!$D$3:$D$2002,MATCH($C804&amp;"|"&amp;DAY($A804),打卡匯入!$E$3:$E$2002,0)),"")</f>
        <v/>
      </c>
      <c r="L804" s="81">
        <f>IF(OR($J804="",$K804=""),"",IFERROR(INDEX(設定!$F$6:$F$18,MATCH($G804,設定!$B$6:$B$18,0)),0))</f>
        <v/>
      </c>
      <c r="M804" s="82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1">
        <f>IF(OR($C804="",$H804="",$J804=""),0,IF(ROUND(($J804-$H804)*1440,0)&gt;設定!$C$42,ROUND(($J804-$H804)*1440,0),0))</f>
        <v/>
      </c>
      <c r="P804" s="81">
        <f>IF(OR($C804="",$I804="",$K804=""),0,IF(ROUND(($I804-$K804)*1440,0)&gt;設定!$C$42,ROUND(($I804-$K804)*1440,0),0))</f>
        <v/>
      </c>
      <c r="Q804" s="82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79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0">
        <f>IF($G805="","",IFERROR(INDEX(設定!$D$6:$D$18,MATCH($G805,設定!$B$6:$B$18,0)),""))</f>
        <v/>
      </c>
      <c r="I805" s="80">
        <f>IF($G805="","",IFERROR(INDEX(設定!$E$6:$E$18,MATCH($G805,設定!$B$6:$B$18,0)),""))</f>
        <v/>
      </c>
      <c r="J805" s="80">
        <f>IFERROR(INDEX(打卡匯入!$C$3:$C$2002,MATCH($C805&amp;"|"&amp;DAY($A805),打卡匯入!$E$3:$E$2002,0)),"")</f>
        <v/>
      </c>
      <c r="K805" s="80">
        <f>IFERROR(INDEX(打卡匯入!$D$3:$D$2002,MATCH($C805&amp;"|"&amp;DAY($A805),打卡匯入!$E$3:$E$2002,0)),"")</f>
        <v/>
      </c>
      <c r="L805" s="81">
        <f>IF(OR($J805="",$K805=""),"",IFERROR(INDEX(設定!$F$6:$F$18,MATCH($G805,設定!$B$6:$B$18,0)),0))</f>
        <v/>
      </c>
      <c r="M805" s="82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1">
        <f>IF(OR($C805="",$H805="",$J805=""),0,IF(ROUND(($J805-$H805)*1440,0)&gt;設定!$C$42,ROUND(($J805-$H805)*1440,0),0))</f>
        <v/>
      </c>
      <c r="P805" s="81">
        <f>IF(OR($C805="",$I805="",$K805=""),0,IF(ROUND(($I805-$K805)*1440,0)&gt;設定!$C$42,ROUND(($I805-$K805)*1440,0),0))</f>
        <v/>
      </c>
      <c r="Q805" s="82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79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0">
        <f>IF($G806="","",IFERROR(INDEX(設定!$D$6:$D$18,MATCH($G806,設定!$B$6:$B$18,0)),""))</f>
        <v/>
      </c>
      <c r="I806" s="80">
        <f>IF($G806="","",IFERROR(INDEX(設定!$E$6:$E$18,MATCH($G806,設定!$B$6:$B$18,0)),""))</f>
        <v/>
      </c>
      <c r="J806" s="80">
        <f>IFERROR(INDEX(打卡匯入!$C$3:$C$2002,MATCH($C806&amp;"|"&amp;DAY($A806),打卡匯入!$E$3:$E$2002,0)),"")</f>
        <v/>
      </c>
      <c r="K806" s="80">
        <f>IFERROR(INDEX(打卡匯入!$D$3:$D$2002,MATCH($C806&amp;"|"&amp;DAY($A806),打卡匯入!$E$3:$E$2002,0)),"")</f>
        <v/>
      </c>
      <c r="L806" s="81">
        <f>IF(OR($J806="",$K806=""),"",IFERROR(INDEX(設定!$F$6:$F$18,MATCH($G806,設定!$B$6:$B$18,0)),0))</f>
        <v/>
      </c>
      <c r="M806" s="82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1">
        <f>IF(OR($C806="",$H806="",$J806=""),0,IF(ROUND(($J806-$H806)*1440,0)&gt;設定!$C$42,ROUND(($J806-$H806)*1440,0),0))</f>
        <v/>
      </c>
      <c r="P806" s="81">
        <f>IF(OR($C806="",$I806="",$K806=""),0,IF(ROUND(($I806-$K806)*1440,0)&gt;設定!$C$42,ROUND(($I806-$K806)*1440,0),0))</f>
        <v/>
      </c>
      <c r="Q806" s="82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79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0">
        <f>IF($G807="","",IFERROR(INDEX(設定!$D$6:$D$18,MATCH($G807,設定!$B$6:$B$18,0)),""))</f>
        <v/>
      </c>
      <c r="I807" s="80">
        <f>IF($G807="","",IFERROR(INDEX(設定!$E$6:$E$18,MATCH($G807,設定!$B$6:$B$18,0)),""))</f>
        <v/>
      </c>
      <c r="J807" s="80">
        <f>IFERROR(INDEX(打卡匯入!$C$3:$C$2002,MATCH($C807&amp;"|"&amp;DAY($A807),打卡匯入!$E$3:$E$2002,0)),"")</f>
        <v/>
      </c>
      <c r="K807" s="80">
        <f>IFERROR(INDEX(打卡匯入!$D$3:$D$2002,MATCH($C807&amp;"|"&amp;DAY($A807),打卡匯入!$E$3:$E$2002,0)),"")</f>
        <v/>
      </c>
      <c r="L807" s="81">
        <f>IF(OR($J807="",$K807=""),"",IFERROR(INDEX(設定!$F$6:$F$18,MATCH($G807,設定!$B$6:$B$18,0)),0))</f>
        <v/>
      </c>
      <c r="M807" s="82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1">
        <f>IF(OR($C807="",$H807="",$J807=""),0,IF(ROUND(($J807-$H807)*1440,0)&gt;設定!$C$42,ROUND(($J807-$H807)*1440,0),0))</f>
        <v/>
      </c>
      <c r="P807" s="81">
        <f>IF(OR($C807="",$I807="",$K807=""),0,IF(ROUND(($I807-$K807)*1440,0)&gt;設定!$C$42,ROUND(($I807-$K807)*1440,0),0))</f>
        <v/>
      </c>
      <c r="Q807" s="82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79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0">
        <f>IF($G808="","",IFERROR(INDEX(設定!$D$6:$D$18,MATCH($G808,設定!$B$6:$B$18,0)),""))</f>
        <v/>
      </c>
      <c r="I808" s="80">
        <f>IF($G808="","",IFERROR(INDEX(設定!$E$6:$E$18,MATCH($G808,設定!$B$6:$B$18,0)),""))</f>
        <v/>
      </c>
      <c r="J808" s="80">
        <f>IFERROR(INDEX(打卡匯入!$C$3:$C$2002,MATCH($C808&amp;"|"&amp;DAY($A808),打卡匯入!$E$3:$E$2002,0)),"")</f>
        <v/>
      </c>
      <c r="K808" s="80">
        <f>IFERROR(INDEX(打卡匯入!$D$3:$D$2002,MATCH($C808&amp;"|"&amp;DAY($A808),打卡匯入!$E$3:$E$2002,0)),"")</f>
        <v/>
      </c>
      <c r="L808" s="81">
        <f>IF(OR($J808="",$K808=""),"",IFERROR(INDEX(設定!$F$6:$F$18,MATCH($G808,設定!$B$6:$B$18,0)),0))</f>
        <v/>
      </c>
      <c r="M808" s="82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1">
        <f>IF(OR($C808="",$H808="",$J808=""),0,IF(ROUND(($J808-$H808)*1440,0)&gt;設定!$C$42,ROUND(($J808-$H808)*1440,0),0))</f>
        <v/>
      </c>
      <c r="P808" s="81">
        <f>IF(OR($C808="",$I808="",$K808=""),0,IF(ROUND(($I808-$K808)*1440,0)&gt;設定!$C$42,ROUND(($I808-$K808)*1440,0),0))</f>
        <v/>
      </c>
      <c r="Q808" s="82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79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0">
        <f>IF($G809="","",IFERROR(INDEX(設定!$D$6:$D$18,MATCH($G809,設定!$B$6:$B$18,0)),""))</f>
        <v/>
      </c>
      <c r="I809" s="80">
        <f>IF($G809="","",IFERROR(INDEX(設定!$E$6:$E$18,MATCH($G809,設定!$B$6:$B$18,0)),""))</f>
        <v/>
      </c>
      <c r="J809" s="80">
        <f>IFERROR(INDEX(打卡匯入!$C$3:$C$2002,MATCH($C809&amp;"|"&amp;DAY($A809),打卡匯入!$E$3:$E$2002,0)),"")</f>
        <v/>
      </c>
      <c r="K809" s="80">
        <f>IFERROR(INDEX(打卡匯入!$D$3:$D$2002,MATCH($C809&amp;"|"&amp;DAY($A809),打卡匯入!$E$3:$E$2002,0)),"")</f>
        <v/>
      </c>
      <c r="L809" s="81">
        <f>IF(OR($J809="",$K809=""),"",IFERROR(INDEX(設定!$F$6:$F$18,MATCH($G809,設定!$B$6:$B$18,0)),0))</f>
        <v/>
      </c>
      <c r="M809" s="82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1">
        <f>IF(OR($C809="",$H809="",$J809=""),0,IF(ROUND(($J809-$H809)*1440,0)&gt;設定!$C$42,ROUND(($J809-$H809)*1440,0),0))</f>
        <v/>
      </c>
      <c r="P809" s="81">
        <f>IF(OR($C809="",$I809="",$K809=""),0,IF(ROUND(($I809-$K809)*1440,0)&gt;設定!$C$42,ROUND(($I809-$K809)*1440,0),0))</f>
        <v/>
      </c>
      <c r="Q809" s="82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79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0">
        <f>IF($G810="","",IFERROR(INDEX(設定!$D$6:$D$18,MATCH($G810,設定!$B$6:$B$18,0)),""))</f>
        <v/>
      </c>
      <c r="I810" s="80">
        <f>IF($G810="","",IFERROR(INDEX(設定!$E$6:$E$18,MATCH($G810,設定!$B$6:$B$18,0)),""))</f>
        <v/>
      </c>
      <c r="J810" s="80">
        <f>IFERROR(INDEX(打卡匯入!$C$3:$C$2002,MATCH($C810&amp;"|"&amp;DAY($A810),打卡匯入!$E$3:$E$2002,0)),"")</f>
        <v/>
      </c>
      <c r="K810" s="80">
        <f>IFERROR(INDEX(打卡匯入!$D$3:$D$2002,MATCH($C810&amp;"|"&amp;DAY($A810),打卡匯入!$E$3:$E$2002,0)),"")</f>
        <v/>
      </c>
      <c r="L810" s="81">
        <f>IF(OR($J810="",$K810=""),"",IFERROR(INDEX(設定!$F$6:$F$18,MATCH($G810,設定!$B$6:$B$18,0)),0))</f>
        <v/>
      </c>
      <c r="M810" s="82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1">
        <f>IF(OR($C810="",$H810="",$J810=""),0,IF(ROUND(($J810-$H810)*1440,0)&gt;設定!$C$42,ROUND(($J810-$H810)*1440,0),0))</f>
        <v/>
      </c>
      <c r="P810" s="81">
        <f>IF(OR($C810="",$I810="",$K810=""),0,IF(ROUND(($I810-$K810)*1440,0)&gt;設定!$C$42,ROUND(($I810-$K810)*1440,0),0))</f>
        <v/>
      </c>
      <c r="Q810" s="82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79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0">
        <f>IF($G811="","",IFERROR(INDEX(設定!$D$6:$D$18,MATCH($G811,設定!$B$6:$B$18,0)),""))</f>
        <v/>
      </c>
      <c r="I811" s="80">
        <f>IF($G811="","",IFERROR(INDEX(設定!$E$6:$E$18,MATCH($G811,設定!$B$6:$B$18,0)),""))</f>
        <v/>
      </c>
      <c r="J811" s="80">
        <f>IFERROR(INDEX(打卡匯入!$C$3:$C$2002,MATCH($C811&amp;"|"&amp;DAY($A811),打卡匯入!$E$3:$E$2002,0)),"")</f>
        <v/>
      </c>
      <c r="K811" s="80">
        <f>IFERROR(INDEX(打卡匯入!$D$3:$D$2002,MATCH($C811&amp;"|"&amp;DAY($A811),打卡匯入!$E$3:$E$2002,0)),"")</f>
        <v/>
      </c>
      <c r="L811" s="81">
        <f>IF(OR($J811="",$K811=""),"",IFERROR(INDEX(設定!$F$6:$F$18,MATCH($G811,設定!$B$6:$B$18,0)),0))</f>
        <v/>
      </c>
      <c r="M811" s="82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1">
        <f>IF(OR($C811="",$H811="",$J811=""),0,IF(ROUND(($J811-$H811)*1440,0)&gt;設定!$C$42,ROUND(($J811-$H811)*1440,0),0))</f>
        <v/>
      </c>
      <c r="P811" s="81">
        <f>IF(OR($C811="",$I811="",$K811=""),0,IF(ROUND(($I811-$K811)*1440,0)&gt;設定!$C$42,ROUND(($I811-$K811)*1440,0),0))</f>
        <v/>
      </c>
      <c r="Q811" s="82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79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0">
        <f>IF($G812="","",IFERROR(INDEX(設定!$D$6:$D$18,MATCH($G812,設定!$B$6:$B$18,0)),""))</f>
        <v/>
      </c>
      <c r="I812" s="80">
        <f>IF($G812="","",IFERROR(INDEX(設定!$E$6:$E$18,MATCH($G812,設定!$B$6:$B$18,0)),""))</f>
        <v/>
      </c>
      <c r="J812" s="80">
        <f>IFERROR(INDEX(打卡匯入!$C$3:$C$2002,MATCH($C812&amp;"|"&amp;DAY($A812),打卡匯入!$E$3:$E$2002,0)),"")</f>
        <v/>
      </c>
      <c r="K812" s="80">
        <f>IFERROR(INDEX(打卡匯入!$D$3:$D$2002,MATCH($C812&amp;"|"&amp;DAY($A812),打卡匯入!$E$3:$E$2002,0)),"")</f>
        <v/>
      </c>
      <c r="L812" s="81">
        <f>IF(OR($J812="",$K812=""),"",IFERROR(INDEX(設定!$F$6:$F$18,MATCH($G812,設定!$B$6:$B$18,0)),0))</f>
        <v/>
      </c>
      <c r="M812" s="82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1">
        <f>IF(OR($C812="",$H812="",$J812=""),0,IF(ROUND(($J812-$H812)*1440,0)&gt;設定!$C$42,ROUND(($J812-$H812)*1440,0),0))</f>
        <v/>
      </c>
      <c r="P812" s="81">
        <f>IF(OR($C812="",$I812="",$K812=""),0,IF(ROUND(($I812-$K812)*1440,0)&gt;設定!$C$42,ROUND(($I812-$K812)*1440,0),0))</f>
        <v/>
      </c>
      <c r="Q812" s="82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79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0">
        <f>IF($G813="","",IFERROR(INDEX(設定!$D$6:$D$18,MATCH($G813,設定!$B$6:$B$18,0)),""))</f>
        <v/>
      </c>
      <c r="I813" s="80">
        <f>IF($G813="","",IFERROR(INDEX(設定!$E$6:$E$18,MATCH($G813,設定!$B$6:$B$18,0)),""))</f>
        <v/>
      </c>
      <c r="J813" s="80">
        <f>IFERROR(INDEX(打卡匯入!$C$3:$C$2002,MATCH($C813&amp;"|"&amp;DAY($A813),打卡匯入!$E$3:$E$2002,0)),"")</f>
        <v/>
      </c>
      <c r="K813" s="80">
        <f>IFERROR(INDEX(打卡匯入!$D$3:$D$2002,MATCH($C813&amp;"|"&amp;DAY($A813),打卡匯入!$E$3:$E$2002,0)),"")</f>
        <v/>
      </c>
      <c r="L813" s="81">
        <f>IF(OR($J813="",$K813=""),"",IFERROR(INDEX(設定!$F$6:$F$18,MATCH($G813,設定!$B$6:$B$18,0)),0))</f>
        <v/>
      </c>
      <c r="M813" s="82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1">
        <f>IF(OR($C813="",$H813="",$J813=""),0,IF(ROUND(($J813-$H813)*1440,0)&gt;設定!$C$42,ROUND(($J813-$H813)*1440,0),0))</f>
        <v/>
      </c>
      <c r="P813" s="81">
        <f>IF(OR($C813="",$I813="",$K813=""),0,IF(ROUND(($I813-$K813)*1440,0)&gt;設定!$C$42,ROUND(($I813-$K813)*1440,0),0))</f>
        <v/>
      </c>
      <c r="Q813" s="82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79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0">
        <f>IF($G814="","",IFERROR(INDEX(設定!$D$6:$D$18,MATCH($G814,設定!$B$6:$B$18,0)),""))</f>
        <v/>
      </c>
      <c r="I814" s="80">
        <f>IF($G814="","",IFERROR(INDEX(設定!$E$6:$E$18,MATCH($G814,設定!$B$6:$B$18,0)),""))</f>
        <v/>
      </c>
      <c r="J814" s="80">
        <f>IFERROR(INDEX(打卡匯入!$C$3:$C$2002,MATCH($C814&amp;"|"&amp;DAY($A814),打卡匯入!$E$3:$E$2002,0)),"")</f>
        <v/>
      </c>
      <c r="K814" s="80">
        <f>IFERROR(INDEX(打卡匯入!$D$3:$D$2002,MATCH($C814&amp;"|"&amp;DAY($A814),打卡匯入!$E$3:$E$2002,0)),"")</f>
        <v/>
      </c>
      <c r="L814" s="81">
        <f>IF(OR($J814="",$K814=""),"",IFERROR(INDEX(設定!$F$6:$F$18,MATCH($G814,設定!$B$6:$B$18,0)),0))</f>
        <v/>
      </c>
      <c r="M814" s="82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1">
        <f>IF(OR($C814="",$H814="",$J814=""),0,IF(ROUND(($J814-$H814)*1440,0)&gt;設定!$C$42,ROUND(($J814-$H814)*1440,0),0))</f>
        <v/>
      </c>
      <c r="P814" s="81">
        <f>IF(OR($C814="",$I814="",$K814=""),0,IF(ROUND(($I814-$K814)*1440,0)&gt;設定!$C$42,ROUND(($I814-$K814)*1440,0),0))</f>
        <v/>
      </c>
      <c r="Q814" s="82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79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0">
        <f>IF($G815="","",IFERROR(INDEX(設定!$D$6:$D$18,MATCH($G815,設定!$B$6:$B$18,0)),""))</f>
        <v/>
      </c>
      <c r="I815" s="80">
        <f>IF($G815="","",IFERROR(INDEX(設定!$E$6:$E$18,MATCH($G815,設定!$B$6:$B$18,0)),""))</f>
        <v/>
      </c>
      <c r="J815" s="80">
        <f>IFERROR(INDEX(打卡匯入!$C$3:$C$2002,MATCH($C815&amp;"|"&amp;DAY($A815),打卡匯入!$E$3:$E$2002,0)),"")</f>
        <v/>
      </c>
      <c r="K815" s="80">
        <f>IFERROR(INDEX(打卡匯入!$D$3:$D$2002,MATCH($C815&amp;"|"&amp;DAY($A815),打卡匯入!$E$3:$E$2002,0)),"")</f>
        <v/>
      </c>
      <c r="L815" s="81">
        <f>IF(OR($J815="",$K815=""),"",IFERROR(INDEX(設定!$F$6:$F$18,MATCH($G815,設定!$B$6:$B$18,0)),0))</f>
        <v/>
      </c>
      <c r="M815" s="82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1">
        <f>IF(OR($C815="",$H815="",$J815=""),0,IF(ROUND(($J815-$H815)*1440,0)&gt;設定!$C$42,ROUND(($J815-$H815)*1440,0),0))</f>
        <v/>
      </c>
      <c r="P815" s="81">
        <f>IF(OR($C815="",$I815="",$K815=""),0,IF(ROUND(($I815-$K815)*1440,0)&gt;設定!$C$42,ROUND(($I815-$K815)*1440,0),0))</f>
        <v/>
      </c>
      <c r="Q815" s="82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79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0">
        <f>IF($G816="","",IFERROR(INDEX(設定!$D$6:$D$18,MATCH($G816,設定!$B$6:$B$18,0)),""))</f>
        <v/>
      </c>
      <c r="I816" s="80">
        <f>IF($G816="","",IFERROR(INDEX(設定!$E$6:$E$18,MATCH($G816,設定!$B$6:$B$18,0)),""))</f>
        <v/>
      </c>
      <c r="J816" s="80">
        <f>IFERROR(INDEX(打卡匯入!$C$3:$C$2002,MATCH($C816&amp;"|"&amp;DAY($A816),打卡匯入!$E$3:$E$2002,0)),"")</f>
        <v/>
      </c>
      <c r="K816" s="80">
        <f>IFERROR(INDEX(打卡匯入!$D$3:$D$2002,MATCH($C816&amp;"|"&amp;DAY($A816),打卡匯入!$E$3:$E$2002,0)),"")</f>
        <v/>
      </c>
      <c r="L816" s="81">
        <f>IF(OR($J816="",$K816=""),"",IFERROR(INDEX(設定!$F$6:$F$18,MATCH($G816,設定!$B$6:$B$18,0)),0))</f>
        <v/>
      </c>
      <c r="M816" s="82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1">
        <f>IF(OR($C816="",$H816="",$J816=""),0,IF(ROUND(($J816-$H816)*1440,0)&gt;設定!$C$42,ROUND(($J816-$H816)*1440,0),0))</f>
        <v/>
      </c>
      <c r="P816" s="81">
        <f>IF(OR($C816="",$I816="",$K816=""),0,IF(ROUND(($I816-$K816)*1440,0)&gt;設定!$C$42,ROUND(($I816-$K816)*1440,0),0))</f>
        <v/>
      </c>
      <c r="Q816" s="82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79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0">
        <f>IF($G817="","",IFERROR(INDEX(設定!$D$6:$D$18,MATCH($G817,設定!$B$6:$B$18,0)),""))</f>
        <v/>
      </c>
      <c r="I817" s="80">
        <f>IF($G817="","",IFERROR(INDEX(設定!$E$6:$E$18,MATCH($G817,設定!$B$6:$B$18,0)),""))</f>
        <v/>
      </c>
      <c r="J817" s="80">
        <f>IFERROR(INDEX(打卡匯入!$C$3:$C$2002,MATCH($C817&amp;"|"&amp;DAY($A817),打卡匯入!$E$3:$E$2002,0)),"")</f>
        <v/>
      </c>
      <c r="K817" s="80">
        <f>IFERROR(INDEX(打卡匯入!$D$3:$D$2002,MATCH($C817&amp;"|"&amp;DAY($A817),打卡匯入!$E$3:$E$2002,0)),"")</f>
        <v/>
      </c>
      <c r="L817" s="81">
        <f>IF(OR($J817="",$K817=""),"",IFERROR(INDEX(設定!$F$6:$F$18,MATCH($G817,設定!$B$6:$B$18,0)),0))</f>
        <v/>
      </c>
      <c r="M817" s="82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1">
        <f>IF(OR($C817="",$H817="",$J817=""),0,IF(ROUND(($J817-$H817)*1440,0)&gt;設定!$C$42,ROUND(($J817-$H817)*1440,0),0))</f>
        <v/>
      </c>
      <c r="P817" s="81">
        <f>IF(OR($C817="",$I817="",$K817=""),0,IF(ROUND(($I817-$K817)*1440,0)&gt;設定!$C$42,ROUND(($I817-$K817)*1440,0),0))</f>
        <v/>
      </c>
      <c r="Q817" s="82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79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0">
        <f>IF($G818="","",IFERROR(INDEX(設定!$D$6:$D$18,MATCH($G818,設定!$B$6:$B$18,0)),""))</f>
        <v/>
      </c>
      <c r="I818" s="80">
        <f>IF($G818="","",IFERROR(INDEX(設定!$E$6:$E$18,MATCH($G818,設定!$B$6:$B$18,0)),""))</f>
        <v/>
      </c>
      <c r="J818" s="80">
        <f>IFERROR(INDEX(打卡匯入!$C$3:$C$2002,MATCH($C818&amp;"|"&amp;DAY($A818),打卡匯入!$E$3:$E$2002,0)),"")</f>
        <v/>
      </c>
      <c r="K818" s="80">
        <f>IFERROR(INDEX(打卡匯入!$D$3:$D$2002,MATCH($C818&amp;"|"&amp;DAY($A818),打卡匯入!$E$3:$E$2002,0)),"")</f>
        <v/>
      </c>
      <c r="L818" s="81">
        <f>IF(OR($J818="",$K818=""),"",IFERROR(INDEX(設定!$F$6:$F$18,MATCH($G818,設定!$B$6:$B$18,0)),0))</f>
        <v/>
      </c>
      <c r="M818" s="82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1">
        <f>IF(OR($C818="",$H818="",$J818=""),0,IF(ROUND(($J818-$H818)*1440,0)&gt;設定!$C$42,ROUND(($J818-$H818)*1440,0),0))</f>
        <v/>
      </c>
      <c r="P818" s="81">
        <f>IF(OR($C818="",$I818="",$K818=""),0,IF(ROUND(($I818-$K818)*1440,0)&gt;設定!$C$42,ROUND(($I818-$K818)*1440,0),0))</f>
        <v/>
      </c>
      <c r="Q818" s="82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79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0">
        <f>IF($G819="","",IFERROR(INDEX(設定!$D$6:$D$18,MATCH($G819,設定!$B$6:$B$18,0)),""))</f>
        <v/>
      </c>
      <c r="I819" s="80">
        <f>IF($G819="","",IFERROR(INDEX(設定!$E$6:$E$18,MATCH($G819,設定!$B$6:$B$18,0)),""))</f>
        <v/>
      </c>
      <c r="J819" s="80">
        <f>IFERROR(INDEX(打卡匯入!$C$3:$C$2002,MATCH($C819&amp;"|"&amp;DAY($A819),打卡匯入!$E$3:$E$2002,0)),"")</f>
        <v/>
      </c>
      <c r="K819" s="80">
        <f>IFERROR(INDEX(打卡匯入!$D$3:$D$2002,MATCH($C819&amp;"|"&amp;DAY($A819),打卡匯入!$E$3:$E$2002,0)),"")</f>
        <v/>
      </c>
      <c r="L819" s="81">
        <f>IF(OR($J819="",$K819=""),"",IFERROR(INDEX(設定!$F$6:$F$18,MATCH($G819,設定!$B$6:$B$18,0)),0))</f>
        <v/>
      </c>
      <c r="M819" s="82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1">
        <f>IF(OR($C819="",$H819="",$J819=""),0,IF(ROUND(($J819-$H819)*1440,0)&gt;設定!$C$42,ROUND(($J819-$H819)*1440,0),0))</f>
        <v/>
      </c>
      <c r="P819" s="81">
        <f>IF(OR($C819="",$I819="",$K819=""),0,IF(ROUND(($I819-$K819)*1440,0)&gt;設定!$C$42,ROUND(($I819-$K819)*1440,0),0))</f>
        <v/>
      </c>
      <c r="Q819" s="82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79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0">
        <f>IF($G820="","",IFERROR(INDEX(設定!$D$6:$D$18,MATCH($G820,設定!$B$6:$B$18,0)),""))</f>
        <v/>
      </c>
      <c r="I820" s="80">
        <f>IF($G820="","",IFERROR(INDEX(設定!$E$6:$E$18,MATCH($G820,設定!$B$6:$B$18,0)),""))</f>
        <v/>
      </c>
      <c r="J820" s="80">
        <f>IFERROR(INDEX(打卡匯入!$C$3:$C$2002,MATCH($C820&amp;"|"&amp;DAY($A820),打卡匯入!$E$3:$E$2002,0)),"")</f>
        <v/>
      </c>
      <c r="K820" s="80">
        <f>IFERROR(INDEX(打卡匯入!$D$3:$D$2002,MATCH($C820&amp;"|"&amp;DAY($A820),打卡匯入!$E$3:$E$2002,0)),"")</f>
        <v/>
      </c>
      <c r="L820" s="81">
        <f>IF(OR($J820="",$K820=""),"",IFERROR(INDEX(設定!$F$6:$F$18,MATCH($G820,設定!$B$6:$B$18,0)),0))</f>
        <v/>
      </c>
      <c r="M820" s="82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1">
        <f>IF(OR($C820="",$H820="",$J820=""),0,IF(ROUND(($J820-$H820)*1440,0)&gt;設定!$C$42,ROUND(($J820-$H820)*1440,0),0))</f>
        <v/>
      </c>
      <c r="P820" s="81">
        <f>IF(OR($C820="",$I820="",$K820=""),0,IF(ROUND(($I820-$K820)*1440,0)&gt;設定!$C$42,ROUND(($I820-$K820)*1440,0),0))</f>
        <v/>
      </c>
      <c r="Q820" s="82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79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0">
        <f>IF($G821="","",IFERROR(INDEX(設定!$D$6:$D$18,MATCH($G821,設定!$B$6:$B$18,0)),""))</f>
        <v/>
      </c>
      <c r="I821" s="80">
        <f>IF($G821="","",IFERROR(INDEX(設定!$E$6:$E$18,MATCH($G821,設定!$B$6:$B$18,0)),""))</f>
        <v/>
      </c>
      <c r="J821" s="80">
        <f>IFERROR(INDEX(打卡匯入!$C$3:$C$2002,MATCH($C821&amp;"|"&amp;DAY($A821),打卡匯入!$E$3:$E$2002,0)),"")</f>
        <v/>
      </c>
      <c r="K821" s="80">
        <f>IFERROR(INDEX(打卡匯入!$D$3:$D$2002,MATCH($C821&amp;"|"&amp;DAY($A821),打卡匯入!$E$3:$E$2002,0)),"")</f>
        <v/>
      </c>
      <c r="L821" s="81">
        <f>IF(OR($J821="",$K821=""),"",IFERROR(INDEX(設定!$F$6:$F$18,MATCH($G821,設定!$B$6:$B$18,0)),0))</f>
        <v/>
      </c>
      <c r="M821" s="82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1">
        <f>IF(OR($C821="",$H821="",$J821=""),0,IF(ROUND(($J821-$H821)*1440,0)&gt;設定!$C$42,ROUND(($J821-$H821)*1440,0),0))</f>
        <v/>
      </c>
      <c r="P821" s="81">
        <f>IF(OR($C821="",$I821="",$K821=""),0,IF(ROUND(($I821-$K821)*1440,0)&gt;設定!$C$42,ROUND(($I821-$K821)*1440,0),0))</f>
        <v/>
      </c>
      <c r="Q821" s="82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79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0">
        <f>IF($G822="","",IFERROR(INDEX(設定!$D$6:$D$18,MATCH($G822,設定!$B$6:$B$18,0)),""))</f>
        <v/>
      </c>
      <c r="I822" s="80">
        <f>IF($G822="","",IFERROR(INDEX(設定!$E$6:$E$18,MATCH($G822,設定!$B$6:$B$18,0)),""))</f>
        <v/>
      </c>
      <c r="J822" s="80">
        <f>IFERROR(INDEX(打卡匯入!$C$3:$C$2002,MATCH($C822&amp;"|"&amp;DAY($A822),打卡匯入!$E$3:$E$2002,0)),"")</f>
        <v/>
      </c>
      <c r="K822" s="80">
        <f>IFERROR(INDEX(打卡匯入!$D$3:$D$2002,MATCH($C822&amp;"|"&amp;DAY($A822),打卡匯入!$E$3:$E$2002,0)),"")</f>
        <v/>
      </c>
      <c r="L822" s="81">
        <f>IF(OR($J822="",$K822=""),"",IFERROR(INDEX(設定!$F$6:$F$18,MATCH($G822,設定!$B$6:$B$18,0)),0))</f>
        <v/>
      </c>
      <c r="M822" s="82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1">
        <f>IF(OR($C822="",$H822="",$J822=""),0,IF(ROUND(($J822-$H822)*1440,0)&gt;設定!$C$42,ROUND(($J822-$H822)*1440,0),0))</f>
        <v/>
      </c>
      <c r="P822" s="81">
        <f>IF(OR($C822="",$I822="",$K822=""),0,IF(ROUND(($I822-$K822)*1440,0)&gt;設定!$C$42,ROUND(($I822-$K822)*1440,0),0))</f>
        <v/>
      </c>
      <c r="Q822" s="82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79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0">
        <f>IF($G823="","",IFERROR(INDEX(設定!$D$6:$D$18,MATCH($G823,設定!$B$6:$B$18,0)),""))</f>
        <v/>
      </c>
      <c r="I823" s="80">
        <f>IF($G823="","",IFERROR(INDEX(設定!$E$6:$E$18,MATCH($G823,設定!$B$6:$B$18,0)),""))</f>
        <v/>
      </c>
      <c r="J823" s="80">
        <f>IFERROR(INDEX(打卡匯入!$C$3:$C$2002,MATCH($C823&amp;"|"&amp;DAY($A823),打卡匯入!$E$3:$E$2002,0)),"")</f>
        <v/>
      </c>
      <c r="K823" s="80">
        <f>IFERROR(INDEX(打卡匯入!$D$3:$D$2002,MATCH($C823&amp;"|"&amp;DAY($A823),打卡匯入!$E$3:$E$2002,0)),"")</f>
        <v/>
      </c>
      <c r="L823" s="81">
        <f>IF(OR($J823="",$K823=""),"",IFERROR(INDEX(設定!$F$6:$F$18,MATCH($G823,設定!$B$6:$B$18,0)),0))</f>
        <v/>
      </c>
      <c r="M823" s="82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1">
        <f>IF(OR($C823="",$H823="",$J823=""),0,IF(ROUND(($J823-$H823)*1440,0)&gt;設定!$C$42,ROUND(($J823-$H823)*1440,0),0))</f>
        <v/>
      </c>
      <c r="P823" s="81">
        <f>IF(OR($C823="",$I823="",$K823=""),0,IF(ROUND(($I823-$K823)*1440,0)&gt;設定!$C$42,ROUND(($I823-$K823)*1440,0),0))</f>
        <v/>
      </c>
      <c r="Q823" s="82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79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0">
        <f>IF($G824="","",IFERROR(INDEX(設定!$D$6:$D$18,MATCH($G824,設定!$B$6:$B$18,0)),""))</f>
        <v/>
      </c>
      <c r="I824" s="80">
        <f>IF($G824="","",IFERROR(INDEX(設定!$E$6:$E$18,MATCH($G824,設定!$B$6:$B$18,0)),""))</f>
        <v/>
      </c>
      <c r="J824" s="80">
        <f>IFERROR(INDEX(打卡匯入!$C$3:$C$2002,MATCH($C824&amp;"|"&amp;DAY($A824),打卡匯入!$E$3:$E$2002,0)),"")</f>
        <v/>
      </c>
      <c r="K824" s="80">
        <f>IFERROR(INDEX(打卡匯入!$D$3:$D$2002,MATCH($C824&amp;"|"&amp;DAY($A824),打卡匯入!$E$3:$E$2002,0)),"")</f>
        <v/>
      </c>
      <c r="L824" s="81">
        <f>IF(OR($J824="",$K824=""),"",IFERROR(INDEX(設定!$F$6:$F$18,MATCH($G824,設定!$B$6:$B$18,0)),0))</f>
        <v/>
      </c>
      <c r="M824" s="82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1">
        <f>IF(OR($C824="",$H824="",$J824=""),0,IF(ROUND(($J824-$H824)*1440,0)&gt;設定!$C$42,ROUND(($J824-$H824)*1440,0),0))</f>
        <v/>
      </c>
      <c r="P824" s="81">
        <f>IF(OR($C824="",$I824="",$K824=""),0,IF(ROUND(($I824-$K824)*1440,0)&gt;設定!$C$42,ROUND(($I824-$K824)*1440,0),0))</f>
        <v/>
      </c>
      <c r="Q824" s="82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79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0">
        <f>IF($G825="","",IFERROR(INDEX(設定!$D$6:$D$18,MATCH($G825,設定!$B$6:$B$18,0)),""))</f>
        <v/>
      </c>
      <c r="I825" s="80">
        <f>IF($G825="","",IFERROR(INDEX(設定!$E$6:$E$18,MATCH($G825,設定!$B$6:$B$18,0)),""))</f>
        <v/>
      </c>
      <c r="J825" s="80">
        <f>IFERROR(INDEX(打卡匯入!$C$3:$C$2002,MATCH($C825&amp;"|"&amp;DAY($A825),打卡匯入!$E$3:$E$2002,0)),"")</f>
        <v/>
      </c>
      <c r="K825" s="80">
        <f>IFERROR(INDEX(打卡匯入!$D$3:$D$2002,MATCH($C825&amp;"|"&amp;DAY($A825),打卡匯入!$E$3:$E$2002,0)),"")</f>
        <v/>
      </c>
      <c r="L825" s="81">
        <f>IF(OR($J825="",$K825=""),"",IFERROR(INDEX(設定!$F$6:$F$18,MATCH($G825,設定!$B$6:$B$18,0)),0))</f>
        <v/>
      </c>
      <c r="M825" s="82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1">
        <f>IF(OR($C825="",$H825="",$J825=""),0,IF(ROUND(($J825-$H825)*1440,0)&gt;設定!$C$42,ROUND(($J825-$H825)*1440,0),0))</f>
        <v/>
      </c>
      <c r="P825" s="81">
        <f>IF(OR($C825="",$I825="",$K825=""),0,IF(ROUND(($I825-$K825)*1440,0)&gt;設定!$C$42,ROUND(($I825-$K825)*1440,0),0))</f>
        <v/>
      </c>
      <c r="Q825" s="82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79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0">
        <f>IF($G826="","",IFERROR(INDEX(設定!$D$6:$D$18,MATCH($G826,設定!$B$6:$B$18,0)),""))</f>
        <v/>
      </c>
      <c r="I826" s="80">
        <f>IF($G826="","",IFERROR(INDEX(設定!$E$6:$E$18,MATCH($G826,設定!$B$6:$B$18,0)),""))</f>
        <v/>
      </c>
      <c r="J826" s="80">
        <f>IFERROR(INDEX(打卡匯入!$C$3:$C$2002,MATCH($C826&amp;"|"&amp;DAY($A826),打卡匯入!$E$3:$E$2002,0)),"")</f>
        <v/>
      </c>
      <c r="K826" s="80">
        <f>IFERROR(INDEX(打卡匯入!$D$3:$D$2002,MATCH($C826&amp;"|"&amp;DAY($A826),打卡匯入!$E$3:$E$2002,0)),"")</f>
        <v/>
      </c>
      <c r="L826" s="81">
        <f>IF(OR($J826="",$K826=""),"",IFERROR(INDEX(設定!$F$6:$F$18,MATCH($G826,設定!$B$6:$B$18,0)),0))</f>
        <v/>
      </c>
      <c r="M826" s="82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1">
        <f>IF(OR($C826="",$H826="",$J826=""),0,IF(ROUND(($J826-$H826)*1440,0)&gt;設定!$C$42,ROUND(($J826-$H826)*1440,0),0))</f>
        <v/>
      </c>
      <c r="P826" s="81">
        <f>IF(OR($C826="",$I826="",$K826=""),0,IF(ROUND(($I826-$K826)*1440,0)&gt;設定!$C$42,ROUND(($I826-$K826)*1440,0),0))</f>
        <v/>
      </c>
      <c r="Q826" s="82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79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0">
        <f>IF($G827="","",IFERROR(INDEX(設定!$D$6:$D$18,MATCH($G827,設定!$B$6:$B$18,0)),""))</f>
        <v/>
      </c>
      <c r="I827" s="80">
        <f>IF($G827="","",IFERROR(INDEX(設定!$E$6:$E$18,MATCH($G827,設定!$B$6:$B$18,0)),""))</f>
        <v/>
      </c>
      <c r="J827" s="80">
        <f>IFERROR(INDEX(打卡匯入!$C$3:$C$2002,MATCH($C827&amp;"|"&amp;DAY($A827),打卡匯入!$E$3:$E$2002,0)),"")</f>
        <v/>
      </c>
      <c r="K827" s="80">
        <f>IFERROR(INDEX(打卡匯入!$D$3:$D$2002,MATCH($C827&amp;"|"&amp;DAY($A827),打卡匯入!$E$3:$E$2002,0)),"")</f>
        <v/>
      </c>
      <c r="L827" s="81">
        <f>IF(OR($J827="",$K827=""),"",IFERROR(INDEX(設定!$F$6:$F$18,MATCH($G827,設定!$B$6:$B$18,0)),0))</f>
        <v/>
      </c>
      <c r="M827" s="82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1">
        <f>IF(OR($C827="",$H827="",$J827=""),0,IF(ROUND(($J827-$H827)*1440,0)&gt;設定!$C$42,ROUND(($J827-$H827)*1440,0),0))</f>
        <v/>
      </c>
      <c r="P827" s="81">
        <f>IF(OR($C827="",$I827="",$K827=""),0,IF(ROUND(($I827-$K827)*1440,0)&gt;設定!$C$42,ROUND(($I827-$K827)*1440,0),0))</f>
        <v/>
      </c>
      <c r="Q827" s="82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79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0">
        <f>IF($G828="","",IFERROR(INDEX(設定!$D$6:$D$18,MATCH($G828,設定!$B$6:$B$18,0)),""))</f>
        <v/>
      </c>
      <c r="I828" s="80">
        <f>IF($G828="","",IFERROR(INDEX(設定!$E$6:$E$18,MATCH($G828,設定!$B$6:$B$18,0)),""))</f>
        <v/>
      </c>
      <c r="J828" s="80">
        <f>IFERROR(INDEX(打卡匯入!$C$3:$C$2002,MATCH($C828&amp;"|"&amp;DAY($A828),打卡匯入!$E$3:$E$2002,0)),"")</f>
        <v/>
      </c>
      <c r="K828" s="80">
        <f>IFERROR(INDEX(打卡匯入!$D$3:$D$2002,MATCH($C828&amp;"|"&amp;DAY($A828),打卡匯入!$E$3:$E$2002,0)),"")</f>
        <v/>
      </c>
      <c r="L828" s="81">
        <f>IF(OR($J828="",$K828=""),"",IFERROR(INDEX(設定!$F$6:$F$18,MATCH($G828,設定!$B$6:$B$18,0)),0))</f>
        <v/>
      </c>
      <c r="M828" s="82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1">
        <f>IF(OR($C828="",$H828="",$J828=""),0,IF(ROUND(($J828-$H828)*1440,0)&gt;設定!$C$42,ROUND(($J828-$H828)*1440,0),0))</f>
        <v/>
      </c>
      <c r="P828" s="81">
        <f>IF(OR($C828="",$I828="",$K828=""),0,IF(ROUND(($I828-$K828)*1440,0)&gt;設定!$C$42,ROUND(($I828-$K828)*1440,0),0))</f>
        <v/>
      </c>
      <c r="Q828" s="82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79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0">
        <f>IF($G829="","",IFERROR(INDEX(設定!$D$6:$D$18,MATCH($G829,設定!$B$6:$B$18,0)),""))</f>
        <v/>
      </c>
      <c r="I829" s="80">
        <f>IF($G829="","",IFERROR(INDEX(設定!$E$6:$E$18,MATCH($G829,設定!$B$6:$B$18,0)),""))</f>
        <v/>
      </c>
      <c r="J829" s="80">
        <f>IFERROR(INDEX(打卡匯入!$C$3:$C$2002,MATCH($C829&amp;"|"&amp;DAY($A829),打卡匯入!$E$3:$E$2002,0)),"")</f>
        <v/>
      </c>
      <c r="K829" s="80">
        <f>IFERROR(INDEX(打卡匯入!$D$3:$D$2002,MATCH($C829&amp;"|"&amp;DAY($A829),打卡匯入!$E$3:$E$2002,0)),"")</f>
        <v/>
      </c>
      <c r="L829" s="81">
        <f>IF(OR($J829="",$K829=""),"",IFERROR(INDEX(設定!$F$6:$F$18,MATCH($G829,設定!$B$6:$B$18,0)),0))</f>
        <v/>
      </c>
      <c r="M829" s="82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1">
        <f>IF(OR($C829="",$H829="",$J829=""),0,IF(ROUND(($J829-$H829)*1440,0)&gt;設定!$C$42,ROUND(($J829-$H829)*1440,0),0))</f>
        <v/>
      </c>
      <c r="P829" s="81">
        <f>IF(OR($C829="",$I829="",$K829=""),0,IF(ROUND(($I829-$K829)*1440,0)&gt;設定!$C$42,ROUND(($I829-$K829)*1440,0),0))</f>
        <v/>
      </c>
      <c r="Q829" s="82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79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0">
        <f>IF($G830="","",IFERROR(INDEX(設定!$D$6:$D$18,MATCH($G830,設定!$B$6:$B$18,0)),""))</f>
        <v/>
      </c>
      <c r="I830" s="80">
        <f>IF($G830="","",IFERROR(INDEX(設定!$E$6:$E$18,MATCH($G830,設定!$B$6:$B$18,0)),""))</f>
        <v/>
      </c>
      <c r="J830" s="80">
        <f>IFERROR(INDEX(打卡匯入!$C$3:$C$2002,MATCH($C830&amp;"|"&amp;DAY($A830),打卡匯入!$E$3:$E$2002,0)),"")</f>
        <v/>
      </c>
      <c r="K830" s="80">
        <f>IFERROR(INDEX(打卡匯入!$D$3:$D$2002,MATCH($C830&amp;"|"&amp;DAY($A830),打卡匯入!$E$3:$E$2002,0)),"")</f>
        <v/>
      </c>
      <c r="L830" s="81">
        <f>IF(OR($J830="",$K830=""),"",IFERROR(INDEX(設定!$F$6:$F$18,MATCH($G830,設定!$B$6:$B$18,0)),0))</f>
        <v/>
      </c>
      <c r="M830" s="82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1">
        <f>IF(OR($C830="",$H830="",$J830=""),0,IF(ROUND(($J830-$H830)*1440,0)&gt;設定!$C$42,ROUND(($J830-$H830)*1440,0),0))</f>
        <v/>
      </c>
      <c r="P830" s="81">
        <f>IF(OR($C830="",$I830="",$K830=""),0,IF(ROUND(($I830-$K830)*1440,0)&gt;設定!$C$42,ROUND(($I830-$K830)*1440,0),0))</f>
        <v/>
      </c>
      <c r="Q830" s="82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79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0">
        <f>IF($G831="","",IFERROR(INDEX(設定!$D$6:$D$18,MATCH($G831,設定!$B$6:$B$18,0)),""))</f>
        <v/>
      </c>
      <c r="I831" s="80">
        <f>IF($G831="","",IFERROR(INDEX(設定!$E$6:$E$18,MATCH($G831,設定!$B$6:$B$18,0)),""))</f>
        <v/>
      </c>
      <c r="J831" s="80">
        <f>IFERROR(INDEX(打卡匯入!$C$3:$C$2002,MATCH($C831&amp;"|"&amp;DAY($A831),打卡匯入!$E$3:$E$2002,0)),"")</f>
        <v/>
      </c>
      <c r="K831" s="80">
        <f>IFERROR(INDEX(打卡匯入!$D$3:$D$2002,MATCH($C831&amp;"|"&amp;DAY($A831),打卡匯入!$E$3:$E$2002,0)),"")</f>
        <v/>
      </c>
      <c r="L831" s="81">
        <f>IF(OR($J831="",$K831=""),"",IFERROR(INDEX(設定!$F$6:$F$18,MATCH($G831,設定!$B$6:$B$18,0)),0))</f>
        <v/>
      </c>
      <c r="M831" s="82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1">
        <f>IF(OR($C831="",$H831="",$J831=""),0,IF(ROUND(($J831-$H831)*1440,0)&gt;設定!$C$42,ROUND(($J831-$H831)*1440,0),0))</f>
        <v/>
      </c>
      <c r="P831" s="81">
        <f>IF(OR($C831="",$I831="",$K831=""),0,IF(ROUND(($I831-$K831)*1440,0)&gt;設定!$C$42,ROUND(($I831-$K831)*1440,0),0))</f>
        <v/>
      </c>
      <c r="Q831" s="82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79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0">
        <f>IF($G832="","",IFERROR(INDEX(設定!$D$6:$D$18,MATCH($G832,設定!$B$6:$B$18,0)),""))</f>
        <v/>
      </c>
      <c r="I832" s="80">
        <f>IF($G832="","",IFERROR(INDEX(設定!$E$6:$E$18,MATCH($G832,設定!$B$6:$B$18,0)),""))</f>
        <v/>
      </c>
      <c r="J832" s="80">
        <f>IFERROR(INDEX(打卡匯入!$C$3:$C$2002,MATCH($C832&amp;"|"&amp;DAY($A832),打卡匯入!$E$3:$E$2002,0)),"")</f>
        <v/>
      </c>
      <c r="K832" s="80">
        <f>IFERROR(INDEX(打卡匯入!$D$3:$D$2002,MATCH($C832&amp;"|"&amp;DAY($A832),打卡匯入!$E$3:$E$2002,0)),"")</f>
        <v/>
      </c>
      <c r="L832" s="81">
        <f>IF(OR($J832="",$K832=""),"",IFERROR(INDEX(設定!$F$6:$F$18,MATCH($G832,設定!$B$6:$B$18,0)),0))</f>
        <v/>
      </c>
      <c r="M832" s="82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1">
        <f>IF(OR($C832="",$H832="",$J832=""),0,IF(ROUND(($J832-$H832)*1440,0)&gt;設定!$C$42,ROUND(($J832-$H832)*1440,0),0))</f>
        <v/>
      </c>
      <c r="P832" s="81">
        <f>IF(OR($C832="",$I832="",$K832=""),0,IF(ROUND(($I832-$K832)*1440,0)&gt;設定!$C$42,ROUND(($I832-$K832)*1440,0),0))</f>
        <v/>
      </c>
      <c r="Q832" s="82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79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0">
        <f>IF($G833="","",IFERROR(INDEX(設定!$D$6:$D$18,MATCH($G833,設定!$B$6:$B$18,0)),""))</f>
        <v/>
      </c>
      <c r="I833" s="80">
        <f>IF($G833="","",IFERROR(INDEX(設定!$E$6:$E$18,MATCH($G833,設定!$B$6:$B$18,0)),""))</f>
        <v/>
      </c>
      <c r="J833" s="80">
        <f>IFERROR(INDEX(打卡匯入!$C$3:$C$2002,MATCH($C833&amp;"|"&amp;DAY($A833),打卡匯入!$E$3:$E$2002,0)),"")</f>
        <v/>
      </c>
      <c r="K833" s="80">
        <f>IFERROR(INDEX(打卡匯入!$D$3:$D$2002,MATCH($C833&amp;"|"&amp;DAY($A833),打卡匯入!$E$3:$E$2002,0)),"")</f>
        <v/>
      </c>
      <c r="L833" s="81">
        <f>IF(OR($J833="",$K833=""),"",IFERROR(INDEX(設定!$F$6:$F$18,MATCH($G833,設定!$B$6:$B$18,0)),0))</f>
        <v/>
      </c>
      <c r="M833" s="82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1">
        <f>IF(OR($C833="",$H833="",$J833=""),0,IF(ROUND(($J833-$H833)*1440,0)&gt;設定!$C$42,ROUND(($J833-$H833)*1440,0),0))</f>
        <v/>
      </c>
      <c r="P833" s="81">
        <f>IF(OR($C833="",$I833="",$K833=""),0,IF(ROUND(($I833-$K833)*1440,0)&gt;設定!$C$42,ROUND(($I833-$K833)*1440,0),0))</f>
        <v/>
      </c>
      <c r="Q833" s="82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79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0">
        <f>IF($G834="","",IFERROR(INDEX(設定!$D$6:$D$18,MATCH($G834,設定!$B$6:$B$18,0)),""))</f>
        <v/>
      </c>
      <c r="I834" s="80">
        <f>IF($G834="","",IFERROR(INDEX(設定!$E$6:$E$18,MATCH($G834,設定!$B$6:$B$18,0)),""))</f>
        <v/>
      </c>
      <c r="J834" s="80">
        <f>IFERROR(INDEX(打卡匯入!$C$3:$C$2002,MATCH($C834&amp;"|"&amp;DAY($A834),打卡匯入!$E$3:$E$2002,0)),"")</f>
        <v/>
      </c>
      <c r="K834" s="80">
        <f>IFERROR(INDEX(打卡匯入!$D$3:$D$2002,MATCH($C834&amp;"|"&amp;DAY($A834),打卡匯入!$E$3:$E$2002,0)),"")</f>
        <v/>
      </c>
      <c r="L834" s="81">
        <f>IF(OR($J834="",$K834=""),"",IFERROR(INDEX(設定!$F$6:$F$18,MATCH($G834,設定!$B$6:$B$18,0)),0))</f>
        <v/>
      </c>
      <c r="M834" s="82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1">
        <f>IF(OR($C834="",$H834="",$J834=""),0,IF(ROUND(($J834-$H834)*1440,0)&gt;設定!$C$42,ROUND(($J834-$H834)*1440,0),0))</f>
        <v/>
      </c>
      <c r="P834" s="81">
        <f>IF(OR($C834="",$I834="",$K834=""),0,IF(ROUND(($I834-$K834)*1440,0)&gt;設定!$C$42,ROUND(($I834-$K834)*1440,0),0))</f>
        <v/>
      </c>
      <c r="Q834" s="82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79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0">
        <f>IF($G835="","",IFERROR(INDEX(設定!$D$6:$D$18,MATCH($G835,設定!$B$6:$B$18,0)),""))</f>
        <v/>
      </c>
      <c r="I835" s="80">
        <f>IF($G835="","",IFERROR(INDEX(設定!$E$6:$E$18,MATCH($G835,設定!$B$6:$B$18,0)),""))</f>
        <v/>
      </c>
      <c r="J835" s="80">
        <f>IFERROR(INDEX(打卡匯入!$C$3:$C$2002,MATCH($C835&amp;"|"&amp;DAY($A835),打卡匯入!$E$3:$E$2002,0)),"")</f>
        <v/>
      </c>
      <c r="K835" s="80">
        <f>IFERROR(INDEX(打卡匯入!$D$3:$D$2002,MATCH($C835&amp;"|"&amp;DAY($A835),打卡匯入!$E$3:$E$2002,0)),"")</f>
        <v/>
      </c>
      <c r="L835" s="81">
        <f>IF(OR($J835="",$K835=""),"",IFERROR(INDEX(設定!$F$6:$F$18,MATCH($G835,設定!$B$6:$B$18,0)),0))</f>
        <v/>
      </c>
      <c r="M835" s="82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1">
        <f>IF(OR($C835="",$H835="",$J835=""),0,IF(ROUND(($J835-$H835)*1440,0)&gt;設定!$C$42,ROUND(($J835-$H835)*1440,0),0))</f>
        <v/>
      </c>
      <c r="P835" s="81">
        <f>IF(OR($C835="",$I835="",$K835=""),0,IF(ROUND(($I835-$K835)*1440,0)&gt;設定!$C$42,ROUND(($I835-$K835)*1440,0),0))</f>
        <v/>
      </c>
      <c r="Q835" s="82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79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0">
        <f>IF($G836="","",IFERROR(INDEX(設定!$D$6:$D$18,MATCH($G836,設定!$B$6:$B$18,0)),""))</f>
        <v/>
      </c>
      <c r="I836" s="80">
        <f>IF($G836="","",IFERROR(INDEX(設定!$E$6:$E$18,MATCH($G836,設定!$B$6:$B$18,0)),""))</f>
        <v/>
      </c>
      <c r="J836" s="80">
        <f>IFERROR(INDEX(打卡匯入!$C$3:$C$2002,MATCH($C836&amp;"|"&amp;DAY($A836),打卡匯入!$E$3:$E$2002,0)),"")</f>
        <v/>
      </c>
      <c r="K836" s="80">
        <f>IFERROR(INDEX(打卡匯入!$D$3:$D$2002,MATCH($C836&amp;"|"&amp;DAY($A836),打卡匯入!$E$3:$E$2002,0)),"")</f>
        <v/>
      </c>
      <c r="L836" s="81">
        <f>IF(OR($J836="",$K836=""),"",IFERROR(INDEX(設定!$F$6:$F$18,MATCH($G836,設定!$B$6:$B$18,0)),0))</f>
        <v/>
      </c>
      <c r="M836" s="82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1">
        <f>IF(OR($C836="",$H836="",$J836=""),0,IF(ROUND(($J836-$H836)*1440,0)&gt;設定!$C$42,ROUND(($J836-$H836)*1440,0),0))</f>
        <v/>
      </c>
      <c r="P836" s="81">
        <f>IF(OR($C836="",$I836="",$K836=""),0,IF(ROUND(($I836-$K836)*1440,0)&gt;設定!$C$42,ROUND(($I836-$K836)*1440,0),0))</f>
        <v/>
      </c>
      <c r="Q836" s="82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79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0">
        <f>IF($G837="","",IFERROR(INDEX(設定!$D$6:$D$18,MATCH($G837,設定!$B$6:$B$18,0)),""))</f>
        <v/>
      </c>
      <c r="I837" s="80">
        <f>IF($G837="","",IFERROR(INDEX(設定!$E$6:$E$18,MATCH($G837,設定!$B$6:$B$18,0)),""))</f>
        <v/>
      </c>
      <c r="J837" s="80">
        <f>IFERROR(INDEX(打卡匯入!$C$3:$C$2002,MATCH($C837&amp;"|"&amp;DAY($A837),打卡匯入!$E$3:$E$2002,0)),"")</f>
        <v/>
      </c>
      <c r="K837" s="80">
        <f>IFERROR(INDEX(打卡匯入!$D$3:$D$2002,MATCH($C837&amp;"|"&amp;DAY($A837),打卡匯入!$E$3:$E$2002,0)),"")</f>
        <v/>
      </c>
      <c r="L837" s="81">
        <f>IF(OR($J837="",$K837=""),"",IFERROR(INDEX(設定!$F$6:$F$18,MATCH($G837,設定!$B$6:$B$18,0)),0))</f>
        <v/>
      </c>
      <c r="M837" s="82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1">
        <f>IF(OR($C837="",$H837="",$J837=""),0,IF(ROUND(($J837-$H837)*1440,0)&gt;設定!$C$42,ROUND(($J837-$H837)*1440,0),0))</f>
        <v/>
      </c>
      <c r="P837" s="81">
        <f>IF(OR($C837="",$I837="",$K837=""),0,IF(ROUND(($I837-$K837)*1440,0)&gt;設定!$C$42,ROUND(($I837-$K837)*1440,0),0))</f>
        <v/>
      </c>
      <c r="Q837" s="82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79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0">
        <f>IF($G838="","",IFERROR(INDEX(設定!$D$6:$D$18,MATCH($G838,設定!$B$6:$B$18,0)),""))</f>
        <v/>
      </c>
      <c r="I838" s="80">
        <f>IF($G838="","",IFERROR(INDEX(設定!$E$6:$E$18,MATCH($G838,設定!$B$6:$B$18,0)),""))</f>
        <v/>
      </c>
      <c r="J838" s="80">
        <f>IFERROR(INDEX(打卡匯入!$C$3:$C$2002,MATCH($C838&amp;"|"&amp;DAY($A838),打卡匯入!$E$3:$E$2002,0)),"")</f>
        <v/>
      </c>
      <c r="K838" s="80">
        <f>IFERROR(INDEX(打卡匯入!$D$3:$D$2002,MATCH($C838&amp;"|"&amp;DAY($A838),打卡匯入!$E$3:$E$2002,0)),"")</f>
        <v/>
      </c>
      <c r="L838" s="81">
        <f>IF(OR($J838="",$K838=""),"",IFERROR(INDEX(設定!$F$6:$F$18,MATCH($G838,設定!$B$6:$B$18,0)),0))</f>
        <v/>
      </c>
      <c r="M838" s="82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1">
        <f>IF(OR($C838="",$H838="",$J838=""),0,IF(ROUND(($J838-$H838)*1440,0)&gt;設定!$C$42,ROUND(($J838-$H838)*1440,0),0))</f>
        <v/>
      </c>
      <c r="P838" s="81">
        <f>IF(OR($C838="",$I838="",$K838=""),0,IF(ROUND(($I838-$K838)*1440,0)&gt;設定!$C$42,ROUND(($I838-$K838)*1440,0),0))</f>
        <v/>
      </c>
      <c r="Q838" s="82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79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0">
        <f>IF($G839="","",IFERROR(INDEX(設定!$D$6:$D$18,MATCH($G839,設定!$B$6:$B$18,0)),""))</f>
        <v/>
      </c>
      <c r="I839" s="80">
        <f>IF($G839="","",IFERROR(INDEX(設定!$E$6:$E$18,MATCH($G839,設定!$B$6:$B$18,0)),""))</f>
        <v/>
      </c>
      <c r="J839" s="80">
        <f>IFERROR(INDEX(打卡匯入!$C$3:$C$2002,MATCH($C839&amp;"|"&amp;DAY($A839),打卡匯入!$E$3:$E$2002,0)),"")</f>
        <v/>
      </c>
      <c r="K839" s="80">
        <f>IFERROR(INDEX(打卡匯入!$D$3:$D$2002,MATCH($C839&amp;"|"&amp;DAY($A839),打卡匯入!$E$3:$E$2002,0)),"")</f>
        <v/>
      </c>
      <c r="L839" s="81">
        <f>IF(OR($J839="",$K839=""),"",IFERROR(INDEX(設定!$F$6:$F$18,MATCH($G839,設定!$B$6:$B$18,0)),0))</f>
        <v/>
      </c>
      <c r="M839" s="82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1">
        <f>IF(OR($C839="",$H839="",$J839=""),0,IF(ROUND(($J839-$H839)*1440,0)&gt;設定!$C$42,ROUND(($J839-$H839)*1440,0),0))</f>
        <v/>
      </c>
      <c r="P839" s="81">
        <f>IF(OR($C839="",$I839="",$K839=""),0,IF(ROUND(($I839-$K839)*1440,0)&gt;設定!$C$42,ROUND(($I839-$K839)*1440,0),0))</f>
        <v/>
      </c>
      <c r="Q839" s="82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79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0">
        <f>IF($G840="","",IFERROR(INDEX(設定!$D$6:$D$18,MATCH($G840,設定!$B$6:$B$18,0)),""))</f>
        <v/>
      </c>
      <c r="I840" s="80">
        <f>IF($G840="","",IFERROR(INDEX(設定!$E$6:$E$18,MATCH($G840,設定!$B$6:$B$18,0)),""))</f>
        <v/>
      </c>
      <c r="J840" s="80">
        <f>IFERROR(INDEX(打卡匯入!$C$3:$C$2002,MATCH($C840&amp;"|"&amp;DAY($A840),打卡匯入!$E$3:$E$2002,0)),"")</f>
        <v/>
      </c>
      <c r="K840" s="80">
        <f>IFERROR(INDEX(打卡匯入!$D$3:$D$2002,MATCH($C840&amp;"|"&amp;DAY($A840),打卡匯入!$E$3:$E$2002,0)),"")</f>
        <v/>
      </c>
      <c r="L840" s="81">
        <f>IF(OR($J840="",$K840=""),"",IFERROR(INDEX(設定!$F$6:$F$18,MATCH($G840,設定!$B$6:$B$18,0)),0))</f>
        <v/>
      </c>
      <c r="M840" s="82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1">
        <f>IF(OR($C840="",$H840="",$J840=""),0,IF(ROUND(($J840-$H840)*1440,0)&gt;設定!$C$42,ROUND(($J840-$H840)*1440,0),0))</f>
        <v/>
      </c>
      <c r="P840" s="81">
        <f>IF(OR($C840="",$I840="",$K840=""),0,IF(ROUND(($I840-$K840)*1440,0)&gt;設定!$C$42,ROUND(($I840-$K840)*1440,0),0))</f>
        <v/>
      </c>
      <c r="Q840" s="82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79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0">
        <f>IF($G841="","",IFERROR(INDEX(設定!$D$6:$D$18,MATCH($G841,設定!$B$6:$B$18,0)),""))</f>
        <v/>
      </c>
      <c r="I841" s="80">
        <f>IF($G841="","",IFERROR(INDEX(設定!$E$6:$E$18,MATCH($G841,設定!$B$6:$B$18,0)),""))</f>
        <v/>
      </c>
      <c r="J841" s="80">
        <f>IFERROR(INDEX(打卡匯入!$C$3:$C$2002,MATCH($C841&amp;"|"&amp;DAY($A841),打卡匯入!$E$3:$E$2002,0)),"")</f>
        <v/>
      </c>
      <c r="K841" s="80">
        <f>IFERROR(INDEX(打卡匯入!$D$3:$D$2002,MATCH($C841&amp;"|"&amp;DAY($A841),打卡匯入!$E$3:$E$2002,0)),"")</f>
        <v/>
      </c>
      <c r="L841" s="81">
        <f>IF(OR($J841="",$K841=""),"",IFERROR(INDEX(設定!$F$6:$F$18,MATCH($G841,設定!$B$6:$B$18,0)),0))</f>
        <v/>
      </c>
      <c r="M841" s="82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1">
        <f>IF(OR($C841="",$H841="",$J841=""),0,IF(ROUND(($J841-$H841)*1440,0)&gt;設定!$C$42,ROUND(($J841-$H841)*1440,0),0))</f>
        <v/>
      </c>
      <c r="P841" s="81">
        <f>IF(OR($C841="",$I841="",$K841=""),0,IF(ROUND(($I841-$K841)*1440,0)&gt;設定!$C$42,ROUND(($I841-$K841)*1440,0),0))</f>
        <v/>
      </c>
      <c r="Q841" s="82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79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0">
        <f>IF($G842="","",IFERROR(INDEX(設定!$D$6:$D$18,MATCH($G842,設定!$B$6:$B$18,0)),""))</f>
        <v/>
      </c>
      <c r="I842" s="80">
        <f>IF($G842="","",IFERROR(INDEX(設定!$E$6:$E$18,MATCH($G842,設定!$B$6:$B$18,0)),""))</f>
        <v/>
      </c>
      <c r="J842" s="80">
        <f>IFERROR(INDEX(打卡匯入!$C$3:$C$2002,MATCH($C842&amp;"|"&amp;DAY($A842),打卡匯入!$E$3:$E$2002,0)),"")</f>
        <v/>
      </c>
      <c r="K842" s="80">
        <f>IFERROR(INDEX(打卡匯入!$D$3:$D$2002,MATCH($C842&amp;"|"&amp;DAY($A842),打卡匯入!$E$3:$E$2002,0)),"")</f>
        <v/>
      </c>
      <c r="L842" s="81">
        <f>IF(OR($J842="",$K842=""),"",IFERROR(INDEX(設定!$F$6:$F$18,MATCH($G842,設定!$B$6:$B$18,0)),0))</f>
        <v/>
      </c>
      <c r="M842" s="82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1">
        <f>IF(OR($C842="",$H842="",$J842=""),0,IF(ROUND(($J842-$H842)*1440,0)&gt;設定!$C$42,ROUND(($J842-$H842)*1440,0),0))</f>
        <v/>
      </c>
      <c r="P842" s="81">
        <f>IF(OR($C842="",$I842="",$K842=""),0,IF(ROUND(($I842-$K842)*1440,0)&gt;設定!$C$42,ROUND(($I842-$K842)*1440,0),0))</f>
        <v/>
      </c>
      <c r="Q842" s="82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79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0">
        <f>IF($G843="","",IFERROR(INDEX(設定!$D$6:$D$18,MATCH($G843,設定!$B$6:$B$18,0)),""))</f>
        <v/>
      </c>
      <c r="I843" s="80">
        <f>IF($G843="","",IFERROR(INDEX(設定!$E$6:$E$18,MATCH($G843,設定!$B$6:$B$18,0)),""))</f>
        <v/>
      </c>
      <c r="J843" s="80">
        <f>IFERROR(INDEX(打卡匯入!$C$3:$C$2002,MATCH($C843&amp;"|"&amp;DAY($A843),打卡匯入!$E$3:$E$2002,0)),"")</f>
        <v/>
      </c>
      <c r="K843" s="80">
        <f>IFERROR(INDEX(打卡匯入!$D$3:$D$2002,MATCH($C843&amp;"|"&amp;DAY($A843),打卡匯入!$E$3:$E$2002,0)),"")</f>
        <v/>
      </c>
      <c r="L843" s="81">
        <f>IF(OR($J843="",$K843=""),"",IFERROR(INDEX(設定!$F$6:$F$18,MATCH($G843,設定!$B$6:$B$18,0)),0))</f>
        <v/>
      </c>
      <c r="M843" s="82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1">
        <f>IF(OR($C843="",$H843="",$J843=""),0,IF(ROUND(($J843-$H843)*1440,0)&gt;設定!$C$42,ROUND(($J843-$H843)*1440,0),0))</f>
        <v/>
      </c>
      <c r="P843" s="81">
        <f>IF(OR($C843="",$I843="",$K843=""),0,IF(ROUND(($I843-$K843)*1440,0)&gt;設定!$C$42,ROUND(($I843-$K843)*1440,0),0))</f>
        <v/>
      </c>
      <c r="Q843" s="82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79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0">
        <f>IF($G844="","",IFERROR(INDEX(設定!$D$6:$D$18,MATCH($G844,設定!$B$6:$B$18,0)),""))</f>
        <v/>
      </c>
      <c r="I844" s="80">
        <f>IF($G844="","",IFERROR(INDEX(設定!$E$6:$E$18,MATCH($G844,設定!$B$6:$B$18,0)),""))</f>
        <v/>
      </c>
      <c r="J844" s="80">
        <f>IFERROR(INDEX(打卡匯入!$C$3:$C$2002,MATCH($C844&amp;"|"&amp;DAY($A844),打卡匯入!$E$3:$E$2002,0)),"")</f>
        <v/>
      </c>
      <c r="K844" s="80">
        <f>IFERROR(INDEX(打卡匯入!$D$3:$D$2002,MATCH($C844&amp;"|"&amp;DAY($A844),打卡匯入!$E$3:$E$2002,0)),"")</f>
        <v/>
      </c>
      <c r="L844" s="81">
        <f>IF(OR($J844="",$K844=""),"",IFERROR(INDEX(設定!$F$6:$F$18,MATCH($G844,設定!$B$6:$B$18,0)),0))</f>
        <v/>
      </c>
      <c r="M844" s="82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1">
        <f>IF(OR($C844="",$H844="",$J844=""),0,IF(ROUND(($J844-$H844)*1440,0)&gt;設定!$C$42,ROUND(($J844-$H844)*1440,0),0))</f>
        <v/>
      </c>
      <c r="P844" s="81">
        <f>IF(OR($C844="",$I844="",$K844=""),0,IF(ROUND(($I844-$K844)*1440,0)&gt;設定!$C$42,ROUND(($I844-$K844)*1440,0),0))</f>
        <v/>
      </c>
      <c r="Q844" s="82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79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0">
        <f>IF($G845="","",IFERROR(INDEX(設定!$D$6:$D$18,MATCH($G845,設定!$B$6:$B$18,0)),""))</f>
        <v/>
      </c>
      <c r="I845" s="80">
        <f>IF($G845="","",IFERROR(INDEX(設定!$E$6:$E$18,MATCH($G845,設定!$B$6:$B$18,0)),""))</f>
        <v/>
      </c>
      <c r="J845" s="80">
        <f>IFERROR(INDEX(打卡匯入!$C$3:$C$2002,MATCH($C845&amp;"|"&amp;DAY($A845),打卡匯入!$E$3:$E$2002,0)),"")</f>
        <v/>
      </c>
      <c r="K845" s="80">
        <f>IFERROR(INDEX(打卡匯入!$D$3:$D$2002,MATCH($C845&amp;"|"&amp;DAY($A845),打卡匯入!$E$3:$E$2002,0)),"")</f>
        <v/>
      </c>
      <c r="L845" s="81">
        <f>IF(OR($J845="",$K845=""),"",IFERROR(INDEX(設定!$F$6:$F$18,MATCH($G845,設定!$B$6:$B$18,0)),0))</f>
        <v/>
      </c>
      <c r="M845" s="82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1">
        <f>IF(OR($C845="",$H845="",$J845=""),0,IF(ROUND(($J845-$H845)*1440,0)&gt;設定!$C$42,ROUND(($J845-$H845)*1440,0),0))</f>
        <v/>
      </c>
      <c r="P845" s="81">
        <f>IF(OR($C845="",$I845="",$K845=""),0,IF(ROUND(($I845-$K845)*1440,0)&gt;設定!$C$42,ROUND(($I845-$K845)*1440,0),0))</f>
        <v/>
      </c>
      <c r="Q845" s="82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79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0">
        <f>IF($G846="","",IFERROR(INDEX(設定!$D$6:$D$18,MATCH($G846,設定!$B$6:$B$18,0)),""))</f>
        <v/>
      </c>
      <c r="I846" s="80">
        <f>IF($G846="","",IFERROR(INDEX(設定!$E$6:$E$18,MATCH($G846,設定!$B$6:$B$18,0)),""))</f>
        <v/>
      </c>
      <c r="J846" s="80">
        <f>IFERROR(INDEX(打卡匯入!$C$3:$C$2002,MATCH($C846&amp;"|"&amp;DAY($A846),打卡匯入!$E$3:$E$2002,0)),"")</f>
        <v/>
      </c>
      <c r="K846" s="80">
        <f>IFERROR(INDEX(打卡匯入!$D$3:$D$2002,MATCH($C846&amp;"|"&amp;DAY($A846),打卡匯入!$E$3:$E$2002,0)),"")</f>
        <v/>
      </c>
      <c r="L846" s="81">
        <f>IF(OR($J846="",$K846=""),"",IFERROR(INDEX(設定!$F$6:$F$18,MATCH($G846,設定!$B$6:$B$18,0)),0))</f>
        <v/>
      </c>
      <c r="M846" s="82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1">
        <f>IF(OR($C846="",$H846="",$J846=""),0,IF(ROUND(($J846-$H846)*1440,0)&gt;設定!$C$42,ROUND(($J846-$H846)*1440,0),0))</f>
        <v/>
      </c>
      <c r="P846" s="81">
        <f>IF(OR($C846="",$I846="",$K846=""),0,IF(ROUND(($I846-$K846)*1440,0)&gt;設定!$C$42,ROUND(($I846-$K846)*1440,0),0))</f>
        <v/>
      </c>
      <c r="Q846" s="82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79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0">
        <f>IF($G847="","",IFERROR(INDEX(設定!$D$6:$D$18,MATCH($G847,設定!$B$6:$B$18,0)),""))</f>
        <v/>
      </c>
      <c r="I847" s="80">
        <f>IF($G847="","",IFERROR(INDEX(設定!$E$6:$E$18,MATCH($G847,設定!$B$6:$B$18,0)),""))</f>
        <v/>
      </c>
      <c r="J847" s="80">
        <f>IFERROR(INDEX(打卡匯入!$C$3:$C$2002,MATCH($C847&amp;"|"&amp;DAY($A847),打卡匯入!$E$3:$E$2002,0)),"")</f>
        <v/>
      </c>
      <c r="K847" s="80">
        <f>IFERROR(INDEX(打卡匯入!$D$3:$D$2002,MATCH($C847&amp;"|"&amp;DAY($A847),打卡匯入!$E$3:$E$2002,0)),"")</f>
        <v/>
      </c>
      <c r="L847" s="81">
        <f>IF(OR($J847="",$K847=""),"",IFERROR(INDEX(設定!$F$6:$F$18,MATCH($G847,設定!$B$6:$B$18,0)),0))</f>
        <v/>
      </c>
      <c r="M847" s="82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1">
        <f>IF(OR($C847="",$H847="",$J847=""),0,IF(ROUND(($J847-$H847)*1440,0)&gt;設定!$C$42,ROUND(($J847-$H847)*1440,0),0))</f>
        <v/>
      </c>
      <c r="P847" s="81">
        <f>IF(OR($C847="",$I847="",$K847=""),0,IF(ROUND(($I847-$K847)*1440,0)&gt;設定!$C$42,ROUND(($I847-$K847)*1440,0),0))</f>
        <v/>
      </c>
      <c r="Q847" s="82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79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0">
        <f>IF($G848="","",IFERROR(INDEX(設定!$D$6:$D$18,MATCH($G848,設定!$B$6:$B$18,0)),""))</f>
        <v/>
      </c>
      <c r="I848" s="80">
        <f>IF($G848="","",IFERROR(INDEX(設定!$E$6:$E$18,MATCH($G848,設定!$B$6:$B$18,0)),""))</f>
        <v/>
      </c>
      <c r="J848" s="80">
        <f>IFERROR(INDEX(打卡匯入!$C$3:$C$2002,MATCH($C848&amp;"|"&amp;DAY($A848),打卡匯入!$E$3:$E$2002,0)),"")</f>
        <v/>
      </c>
      <c r="K848" s="80">
        <f>IFERROR(INDEX(打卡匯入!$D$3:$D$2002,MATCH($C848&amp;"|"&amp;DAY($A848),打卡匯入!$E$3:$E$2002,0)),"")</f>
        <v/>
      </c>
      <c r="L848" s="81">
        <f>IF(OR($J848="",$K848=""),"",IFERROR(INDEX(設定!$F$6:$F$18,MATCH($G848,設定!$B$6:$B$18,0)),0))</f>
        <v/>
      </c>
      <c r="M848" s="82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1">
        <f>IF(OR($C848="",$H848="",$J848=""),0,IF(ROUND(($J848-$H848)*1440,0)&gt;設定!$C$42,ROUND(($J848-$H848)*1440,0),0))</f>
        <v/>
      </c>
      <c r="P848" s="81">
        <f>IF(OR($C848="",$I848="",$K848=""),0,IF(ROUND(($I848-$K848)*1440,0)&gt;設定!$C$42,ROUND(($I848-$K848)*1440,0),0))</f>
        <v/>
      </c>
      <c r="Q848" s="82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79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0">
        <f>IF($G849="","",IFERROR(INDEX(設定!$D$6:$D$18,MATCH($G849,設定!$B$6:$B$18,0)),""))</f>
        <v/>
      </c>
      <c r="I849" s="80">
        <f>IF($G849="","",IFERROR(INDEX(設定!$E$6:$E$18,MATCH($G849,設定!$B$6:$B$18,0)),""))</f>
        <v/>
      </c>
      <c r="J849" s="80">
        <f>IFERROR(INDEX(打卡匯入!$C$3:$C$2002,MATCH($C849&amp;"|"&amp;DAY($A849),打卡匯入!$E$3:$E$2002,0)),"")</f>
        <v/>
      </c>
      <c r="K849" s="80">
        <f>IFERROR(INDEX(打卡匯入!$D$3:$D$2002,MATCH($C849&amp;"|"&amp;DAY($A849),打卡匯入!$E$3:$E$2002,0)),"")</f>
        <v/>
      </c>
      <c r="L849" s="81">
        <f>IF(OR($J849="",$K849=""),"",IFERROR(INDEX(設定!$F$6:$F$18,MATCH($G849,設定!$B$6:$B$18,0)),0))</f>
        <v/>
      </c>
      <c r="M849" s="82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1">
        <f>IF(OR($C849="",$H849="",$J849=""),0,IF(ROUND(($J849-$H849)*1440,0)&gt;設定!$C$42,ROUND(($J849-$H849)*1440,0),0))</f>
        <v/>
      </c>
      <c r="P849" s="81">
        <f>IF(OR($C849="",$I849="",$K849=""),0,IF(ROUND(($I849-$K849)*1440,0)&gt;設定!$C$42,ROUND(($I849-$K849)*1440,0),0))</f>
        <v/>
      </c>
      <c r="Q849" s="82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79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0">
        <f>IF($G850="","",IFERROR(INDEX(設定!$D$6:$D$18,MATCH($G850,設定!$B$6:$B$18,0)),""))</f>
        <v/>
      </c>
      <c r="I850" s="80">
        <f>IF($G850="","",IFERROR(INDEX(設定!$E$6:$E$18,MATCH($G850,設定!$B$6:$B$18,0)),""))</f>
        <v/>
      </c>
      <c r="J850" s="80">
        <f>IFERROR(INDEX(打卡匯入!$C$3:$C$2002,MATCH($C850&amp;"|"&amp;DAY($A850),打卡匯入!$E$3:$E$2002,0)),"")</f>
        <v/>
      </c>
      <c r="K850" s="80">
        <f>IFERROR(INDEX(打卡匯入!$D$3:$D$2002,MATCH($C850&amp;"|"&amp;DAY($A850),打卡匯入!$E$3:$E$2002,0)),"")</f>
        <v/>
      </c>
      <c r="L850" s="81">
        <f>IF(OR($J850="",$K850=""),"",IFERROR(INDEX(設定!$F$6:$F$18,MATCH($G850,設定!$B$6:$B$18,0)),0))</f>
        <v/>
      </c>
      <c r="M850" s="82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1">
        <f>IF(OR($C850="",$H850="",$J850=""),0,IF(ROUND(($J850-$H850)*1440,0)&gt;設定!$C$42,ROUND(($J850-$H850)*1440,0),0))</f>
        <v/>
      </c>
      <c r="P850" s="81">
        <f>IF(OR($C850="",$I850="",$K850=""),0,IF(ROUND(($I850-$K850)*1440,0)&gt;設定!$C$42,ROUND(($I850-$K850)*1440,0),0))</f>
        <v/>
      </c>
      <c r="Q850" s="82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79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0">
        <f>IF($G851="","",IFERROR(INDEX(設定!$D$6:$D$18,MATCH($G851,設定!$B$6:$B$18,0)),""))</f>
        <v/>
      </c>
      <c r="I851" s="80">
        <f>IF($G851="","",IFERROR(INDEX(設定!$E$6:$E$18,MATCH($G851,設定!$B$6:$B$18,0)),""))</f>
        <v/>
      </c>
      <c r="J851" s="80">
        <f>IFERROR(INDEX(打卡匯入!$C$3:$C$2002,MATCH($C851&amp;"|"&amp;DAY($A851),打卡匯入!$E$3:$E$2002,0)),"")</f>
        <v/>
      </c>
      <c r="K851" s="80">
        <f>IFERROR(INDEX(打卡匯入!$D$3:$D$2002,MATCH($C851&amp;"|"&amp;DAY($A851),打卡匯入!$E$3:$E$2002,0)),"")</f>
        <v/>
      </c>
      <c r="L851" s="81">
        <f>IF(OR($J851="",$K851=""),"",IFERROR(INDEX(設定!$F$6:$F$18,MATCH($G851,設定!$B$6:$B$18,0)),0))</f>
        <v/>
      </c>
      <c r="M851" s="82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1">
        <f>IF(OR($C851="",$H851="",$J851=""),0,IF(ROUND(($J851-$H851)*1440,0)&gt;設定!$C$42,ROUND(($J851-$H851)*1440,0),0))</f>
        <v/>
      </c>
      <c r="P851" s="81">
        <f>IF(OR($C851="",$I851="",$K851=""),0,IF(ROUND(($I851-$K851)*1440,0)&gt;設定!$C$42,ROUND(($I851-$K851)*1440,0),0))</f>
        <v/>
      </c>
      <c r="Q851" s="82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79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0">
        <f>IF($G852="","",IFERROR(INDEX(設定!$D$6:$D$18,MATCH($G852,設定!$B$6:$B$18,0)),""))</f>
        <v/>
      </c>
      <c r="I852" s="80">
        <f>IF($G852="","",IFERROR(INDEX(設定!$E$6:$E$18,MATCH($G852,設定!$B$6:$B$18,0)),""))</f>
        <v/>
      </c>
      <c r="J852" s="80">
        <f>IFERROR(INDEX(打卡匯入!$C$3:$C$2002,MATCH($C852&amp;"|"&amp;DAY($A852),打卡匯入!$E$3:$E$2002,0)),"")</f>
        <v/>
      </c>
      <c r="K852" s="80">
        <f>IFERROR(INDEX(打卡匯入!$D$3:$D$2002,MATCH($C852&amp;"|"&amp;DAY($A852),打卡匯入!$E$3:$E$2002,0)),"")</f>
        <v/>
      </c>
      <c r="L852" s="81">
        <f>IF(OR($J852="",$K852=""),"",IFERROR(INDEX(設定!$F$6:$F$18,MATCH($G852,設定!$B$6:$B$18,0)),0))</f>
        <v/>
      </c>
      <c r="M852" s="82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1">
        <f>IF(OR($C852="",$H852="",$J852=""),0,IF(ROUND(($J852-$H852)*1440,0)&gt;設定!$C$42,ROUND(($J852-$H852)*1440,0),0))</f>
        <v/>
      </c>
      <c r="P852" s="81">
        <f>IF(OR($C852="",$I852="",$K852=""),0,IF(ROUND(($I852-$K852)*1440,0)&gt;設定!$C$42,ROUND(($I852-$K852)*1440,0),0))</f>
        <v/>
      </c>
      <c r="Q852" s="82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79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0">
        <f>IF($G853="","",IFERROR(INDEX(設定!$D$6:$D$18,MATCH($G853,設定!$B$6:$B$18,0)),""))</f>
        <v/>
      </c>
      <c r="I853" s="80">
        <f>IF($G853="","",IFERROR(INDEX(設定!$E$6:$E$18,MATCH($G853,設定!$B$6:$B$18,0)),""))</f>
        <v/>
      </c>
      <c r="J853" s="80">
        <f>IFERROR(INDEX(打卡匯入!$C$3:$C$2002,MATCH($C853&amp;"|"&amp;DAY($A853),打卡匯入!$E$3:$E$2002,0)),"")</f>
        <v/>
      </c>
      <c r="K853" s="80">
        <f>IFERROR(INDEX(打卡匯入!$D$3:$D$2002,MATCH($C853&amp;"|"&amp;DAY($A853),打卡匯入!$E$3:$E$2002,0)),"")</f>
        <v/>
      </c>
      <c r="L853" s="81">
        <f>IF(OR($J853="",$K853=""),"",IFERROR(INDEX(設定!$F$6:$F$18,MATCH($G853,設定!$B$6:$B$18,0)),0))</f>
        <v/>
      </c>
      <c r="M853" s="82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1">
        <f>IF(OR($C853="",$H853="",$J853=""),0,IF(ROUND(($J853-$H853)*1440,0)&gt;設定!$C$42,ROUND(($J853-$H853)*1440,0),0))</f>
        <v/>
      </c>
      <c r="P853" s="81">
        <f>IF(OR($C853="",$I853="",$K853=""),0,IF(ROUND(($I853-$K853)*1440,0)&gt;設定!$C$42,ROUND(($I853-$K853)*1440,0),0))</f>
        <v/>
      </c>
      <c r="Q853" s="82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79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0">
        <f>IF($G854="","",IFERROR(INDEX(設定!$D$6:$D$18,MATCH($G854,設定!$B$6:$B$18,0)),""))</f>
        <v/>
      </c>
      <c r="I854" s="80">
        <f>IF($G854="","",IFERROR(INDEX(設定!$E$6:$E$18,MATCH($G854,設定!$B$6:$B$18,0)),""))</f>
        <v/>
      </c>
      <c r="J854" s="80">
        <f>IFERROR(INDEX(打卡匯入!$C$3:$C$2002,MATCH($C854&amp;"|"&amp;DAY($A854),打卡匯入!$E$3:$E$2002,0)),"")</f>
        <v/>
      </c>
      <c r="K854" s="80">
        <f>IFERROR(INDEX(打卡匯入!$D$3:$D$2002,MATCH($C854&amp;"|"&amp;DAY($A854),打卡匯入!$E$3:$E$2002,0)),"")</f>
        <v/>
      </c>
      <c r="L854" s="81">
        <f>IF(OR($J854="",$K854=""),"",IFERROR(INDEX(設定!$F$6:$F$18,MATCH($G854,設定!$B$6:$B$18,0)),0))</f>
        <v/>
      </c>
      <c r="M854" s="82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1">
        <f>IF(OR($C854="",$H854="",$J854=""),0,IF(ROUND(($J854-$H854)*1440,0)&gt;設定!$C$42,ROUND(($J854-$H854)*1440,0),0))</f>
        <v/>
      </c>
      <c r="P854" s="81">
        <f>IF(OR($C854="",$I854="",$K854=""),0,IF(ROUND(($I854-$K854)*1440,0)&gt;設定!$C$42,ROUND(($I854-$K854)*1440,0),0))</f>
        <v/>
      </c>
      <c r="Q854" s="82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79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0">
        <f>IF($G855="","",IFERROR(INDEX(設定!$D$6:$D$18,MATCH($G855,設定!$B$6:$B$18,0)),""))</f>
        <v/>
      </c>
      <c r="I855" s="80">
        <f>IF($G855="","",IFERROR(INDEX(設定!$E$6:$E$18,MATCH($G855,設定!$B$6:$B$18,0)),""))</f>
        <v/>
      </c>
      <c r="J855" s="80">
        <f>IFERROR(INDEX(打卡匯入!$C$3:$C$2002,MATCH($C855&amp;"|"&amp;DAY($A855),打卡匯入!$E$3:$E$2002,0)),"")</f>
        <v/>
      </c>
      <c r="K855" s="80">
        <f>IFERROR(INDEX(打卡匯入!$D$3:$D$2002,MATCH($C855&amp;"|"&amp;DAY($A855),打卡匯入!$E$3:$E$2002,0)),"")</f>
        <v/>
      </c>
      <c r="L855" s="81">
        <f>IF(OR($J855="",$K855=""),"",IFERROR(INDEX(設定!$F$6:$F$18,MATCH($G855,設定!$B$6:$B$18,0)),0))</f>
        <v/>
      </c>
      <c r="M855" s="82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1">
        <f>IF(OR($C855="",$H855="",$J855=""),0,IF(ROUND(($J855-$H855)*1440,0)&gt;設定!$C$42,ROUND(($J855-$H855)*1440,0),0))</f>
        <v/>
      </c>
      <c r="P855" s="81">
        <f>IF(OR($C855="",$I855="",$K855=""),0,IF(ROUND(($I855-$K855)*1440,0)&gt;設定!$C$42,ROUND(($I855-$K855)*1440,0),0))</f>
        <v/>
      </c>
      <c r="Q855" s="82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79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0">
        <f>IF($G856="","",IFERROR(INDEX(設定!$D$6:$D$18,MATCH($G856,設定!$B$6:$B$18,0)),""))</f>
        <v/>
      </c>
      <c r="I856" s="80">
        <f>IF($G856="","",IFERROR(INDEX(設定!$E$6:$E$18,MATCH($G856,設定!$B$6:$B$18,0)),""))</f>
        <v/>
      </c>
      <c r="J856" s="80">
        <f>IFERROR(INDEX(打卡匯入!$C$3:$C$2002,MATCH($C856&amp;"|"&amp;DAY($A856),打卡匯入!$E$3:$E$2002,0)),"")</f>
        <v/>
      </c>
      <c r="K856" s="80">
        <f>IFERROR(INDEX(打卡匯入!$D$3:$D$2002,MATCH($C856&amp;"|"&amp;DAY($A856),打卡匯入!$E$3:$E$2002,0)),"")</f>
        <v/>
      </c>
      <c r="L856" s="81">
        <f>IF(OR($J856="",$K856=""),"",IFERROR(INDEX(設定!$F$6:$F$18,MATCH($G856,設定!$B$6:$B$18,0)),0))</f>
        <v/>
      </c>
      <c r="M856" s="82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1">
        <f>IF(OR($C856="",$H856="",$J856=""),0,IF(ROUND(($J856-$H856)*1440,0)&gt;設定!$C$42,ROUND(($J856-$H856)*1440,0),0))</f>
        <v/>
      </c>
      <c r="P856" s="81">
        <f>IF(OR($C856="",$I856="",$K856=""),0,IF(ROUND(($I856-$K856)*1440,0)&gt;設定!$C$42,ROUND(($I856-$K856)*1440,0),0))</f>
        <v/>
      </c>
      <c r="Q856" s="82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79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0">
        <f>IF($G857="","",IFERROR(INDEX(設定!$D$6:$D$18,MATCH($G857,設定!$B$6:$B$18,0)),""))</f>
        <v/>
      </c>
      <c r="I857" s="80">
        <f>IF($G857="","",IFERROR(INDEX(設定!$E$6:$E$18,MATCH($G857,設定!$B$6:$B$18,0)),""))</f>
        <v/>
      </c>
      <c r="J857" s="80">
        <f>IFERROR(INDEX(打卡匯入!$C$3:$C$2002,MATCH($C857&amp;"|"&amp;DAY($A857),打卡匯入!$E$3:$E$2002,0)),"")</f>
        <v/>
      </c>
      <c r="K857" s="80">
        <f>IFERROR(INDEX(打卡匯入!$D$3:$D$2002,MATCH($C857&amp;"|"&amp;DAY($A857),打卡匯入!$E$3:$E$2002,0)),"")</f>
        <v/>
      </c>
      <c r="L857" s="81">
        <f>IF(OR($J857="",$K857=""),"",IFERROR(INDEX(設定!$F$6:$F$18,MATCH($G857,設定!$B$6:$B$18,0)),0))</f>
        <v/>
      </c>
      <c r="M857" s="82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1">
        <f>IF(OR($C857="",$H857="",$J857=""),0,IF(ROUND(($J857-$H857)*1440,0)&gt;設定!$C$42,ROUND(($J857-$H857)*1440,0),0))</f>
        <v/>
      </c>
      <c r="P857" s="81">
        <f>IF(OR($C857="",$I857="",$K857=""),0,IF(ROUND(($I857-$K857)*1440,0)&gt;設定!$C$42,ROUND(($I857-$K857)*1440,0),0))</f>
        <v/>
      </c>
      <c r="Q857" s="82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79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0">
        <f>IF($G858="","",IFERROR(INDEX(設定!$D$6:$D$18,MATCH($G858,設定!$B$6:$B$18,0)),""))</f>
        <v/>
      </c>
      <c r="I858" s="80">
        <f>IF($G858="","",IFERROR(INDEX(設定!$E$6:$E$18,MATCH($G858,設定!$B$6:$B$18,0)),""))</f>
        <v/>
      </c>
      <c r="J858" s="80">
        <f>IFERROR(INDEX(打卡匯入!$C$3:$C$2002,MATCH($C858&amp;"|"&amp;DAY($A858),打卡匯入!$E$3:$E$2002,0)),"")</f>
        <v/>
      </c>
      <c r="K858" s="80">
        <f>IFERROR(INDEX(打卡匯入!$D$3:$D$2002,MATCH($C858&amp;"|"&amp;DAY($A858),打卡匯入!$E$3:$E$2002,0)),"")</f>
        <v/>
      </c>
      <c r="L858" s="81">
        <f>IF(OR($J858="",$K858=""),"",IFERROR(INDEX(設定!$F$6:$F$18,MATCH($G858,設定!$B$6:$B$18,0)),0))</f>
        <v/>
      </c>
      <c r="M858" s="82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1">
        <f>IF(OR($C858="",$H858="",$J858=""),0,IF(ROUND(($J858-$H858)*1440,0)&gt;設定!$C$42,ROUND(($J858-$H858)*1440,0),0))</f>
        <v/>
      </c>
      <c r="P858" s="81">
        <f>IF(OR($C858="",$I858="",$K858=""),0,IF(ROUND(($I858-$K858)*1440,0)&gt;設定!$C$42,ROUND(($I858-$K858)*1440,0),0))</f>
        <v/>
      </c>
      <c r="Q858" s="82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79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0">
        <f>IF($G859="","",IFERROR(INDEX(設定!$D$6:$D$18,MATCH($G859,設定!$B$6:$B$18,0)),""))</f>
        <v/>
      </c>
      <c r="I859" s="80">
        <f>IF($G859="","",IFERROR(INDEX(設定!$E$6:$E$18,MATCH($G859,設定!$B$6:$B$18,0)),""))</f>
        <v/>
      </c>
      <c r="J859" s="80">
        <f>IFERROR(INDEX(打卡匯入!$C$3:$C$2002,MATCH($C859&amp;"|"&amp;DAY($A859),打卡匯入!$E$3:$E$2002,0)),"")</f>
        <v/>
      </c>
      <c r="K859" s="80">
        <f>IFERROR(INDEX(打卡匯入!$D$3:$D$2002,MATCH($C859&amp;"|"&amp;DAY($A859),打卡匯入!$E$3:$E$2002,0)),"")</f>
        <v/>
      </c>
      <c r="L859" s="81">
        <f>IF(OR($J859="",$K859=""),"",IFERROR(INDEX(設定!$F$6:$F$18,MATCH($G859,設定!$B$6:$B$18,0)),0))</f>
        <v/>
      </c>
      <c r="M859" s="82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1">
        <f>IF(OR($C859="",$H859="",$J859=""),0,IF(ROUND(($J859-$H859)*1440,0)&gt;設定!$C$42,ROUND(($J859-$H859)*1440,0),0))</f>
        <v/>
      </c>
      <c r="P859" s="81">
        <f>IF(OR($C859="",$I859="",$K859=""),0,IF(ROUND(($I859-$K859)*1440,0)&gt;設定!$C$42,ROUND(($I859-$K859)*1440,0),0))</f>
        <v/>
      </c>
      <c r="Q859" s="82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79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0">
        <f>IF($G860="","",IFERROR(INDEX(設定!$D$6:$D$18,MATCH($G860,設定!$B$6:$B$18,0)),""))</f>
        <v/>
      </c>
      <c r="I860" s="80">
        <f>IF($G860="","",IFERROR(INDEX(設定!$E$6:$E$18,MATCH($G860,設定!$B$6:$B$18,0)),""))</f>
        <v/>
      </c>
      <c r="J860" s="80">
        <f>IFERROR(INDEX(打卡匯入!$C$3:$C$2002,MATCH($C860&amp;"|"&amp;DAY($A860),打卡匯入!$E$3:$E$2002,0)),"")</f>
        <v/>
      </c>
      <c r="K860" s="80">
        <f>IFERROR(INDEX(打卡匯入!$D$3:$D$2002,MATCH($C860&amp;"|"&amp;DAY($A860),打卡匯入!$E$3:$E$2002,0)),"")</f>
        <v/>
      </c>
      <c r="L860" s="81">
        <f>IF(OR($J860="",$K860=""),"",IFERROR(INDEX(設定!$F$6:$F$18,MATCH($G860,設定!$B$6:$B$18,0)),0))</f>
        <v/>
      </c>
      <c r="M860" s="82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1">
        <f>IF(OR($C860="",$H860="",$J860=""),0,IF(ROUND(($J860-$H860)*1440,0)&gt;設定!$C$42,ROUND(($J860-$H860)*1440,0),0))</f>
        <v/>
      </c>
      <c r="P860" s="81">
        <f>IF(OR($C860="",$I860="",$K860=""),0,IF(ROUND(($I860-$K860)*1440,0)&gt;設定!$C$42,ROUND(($I860-$K860)*1440,0),0))</f>
        <v/>
      </c>
      <c r="Q860" s="82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79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0">
        <f>IF($G861="","",IFERROR(INDEX(設定!$D$6:$D$18,MATCH($G861,設定!$B$6:$B$18,0)),""))</f>
        <v/>
      </c>
      <c r="I861" s="80">
        <f>IF($G861="","",IFERROR(INDEX(設定!$E$6:$E$18,MATCH($G861,設定!$B$6:$B$18,0)),""))</f>
        <v/>
      </c>
      <c r="J861" s="80">
        <f>IFERROR(INDEX(打卡匯入!$C$3:$C$2002,MATCH($C861&amp;"|"&amp;DAY($A861),打卡匯入!$E$3:$E$2002,0)),"")</f>
        <v/>
      </c>
      <c r="K861" s="80">
        <f>IFERROR(INDEX(打卡匯入!$D$3:$D$2002,MATCH($C861&amp;"|"&amp;DAY($A861),打卡匯入!$E$3:$E$2002,0)),"")</f>
        <v/>
      </c>
      <c r="L861" s="81">
        <f>IF(OR($J861="",$K861=""),"",IFERROR(INDEX(設定!$F$6:$F$18,MATCH($G861,設定!$B$6:$B$18,0)),0))</f>
        <v/>
      </c>
      <c r="M861" s="82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1">
        <f>IF(OR($C861="",$H861="",$J861=""),0,IF(ROUND(($J861-$H861)*1440,0)&gt;設定!$C$42,ROUND(($J861-$H861)*1440,0),0))</f>
        <v/>
      </c>
      <c r="P861" s="81">
        <f>IF(OR($C861="",$I861="",$K861=""),0,IF(ROUND(($I861-$K861)*1440,0)&gt;設定!$C$42,ROUND(($I861-$K861)*1440,0),0))</f>
        <v/>
      </c>
      <c r="Q861" s="82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79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0">
        <f>IF($G862="","",IFERROR(INDEX(設定!$D$6:$D$18,MATCH($G862,設定!$B$6:$B$18,0)),""))</f>
        <v/>
      </c>
      <c r="I862" s="80">
        <f>IF($G862="","",IFERROR(INDEX(設定!$E$6:$E$18,MATCH($G862,設定!$B$6:$B$18,0)),""))</f>
        <v/>
      </c>
      <c r="J862" s="80">
        <f>IFERROR(INDEX(打卡匯入!$C$3:$C$2002,MATCH($C862&amp;"|"&amp;DAY($A862),打卡匯入!$E$3:$E$2002,0)),"")</f>
        <v/>
      </c>
      <c r="K862" s="80">
        <f>IFERROR(INDEX(打卡匯入!$D$3:$D$2002,MATCH($C862&amp;"|"&amp;DAY($A862),打卡匯入!$E$3:$E$2002,0)),"")</f>
        <v/>
      </c>
      <c r="L862" s="81">
        <f>IF(OR($J862="",$K862=""),"",IFERROR(INDEX(設定!$F$6:$F$18,MATCH($G862,設定!$B$6:$B$18,0)),0))</f>
        <v/>
      </c>
      <c r="M862" s="82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1">
        <f>IF(OR($C862="",$H862="",$J862=""),0,IF(ROUND(($J862-$H862)*1440,0)&gt;設定!$C$42,ROUND(($J862-$H862)*1440,0),0))</f>
        <v/>
      </c>
      <c r="P862" s="81">
        <f>IF(OR($C862="",$I862="",$K862=""),0,IF(ROUND(($I862-$K862)*1440,0)&gt;設定!$C$42,ROUND(($I862-$K862)*1440,0),0))</f>
        <v/>
      </c>
      <c r="Q862" s="82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79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0">
        <f>IF($G863="","",IFERROR(INDEX(設定!$D$6:$D$18,MATCH($G863,設定!$B$6:$B$18,0)),""))</f>
        <v/>
      </c>
      <c r="I863" s="80">
        <f>IF($G863="","",IFERROR(INDEX(設定!$E$6:$E$18,MATCH($G863,設定!$B$6:$B$18,0)),""))</f>
        <v/>
      </c>
      <c r="J863" s="80">
        <f>IFERROR(INDEX(打卡匯入!$C$3:$C$2002,MATCH($C863&amp;"|"&amp;DAY($A863),打卡匯入!$E$3:$E$2002,0)),"")</f>
        <v/>
      </c>
      <c r="K863" s="80">
        <f>IFERROR(INDEX(打卡匯入!$D$3:$D$2002,MATCH($C863&amp;"|"&amp;DAY($A863),打卡匯入!$E$3:$E$2002,0)),"")</f>
        <v/>
      </c>
      <c r="L863" s="81">
        <f>IF(OR($J863="",$K863=""),"",IFERROR(INDEX(設定!$F$6:$F$18,MATCH($G863,設定!$B$6:$B$18,0)),0))</f>
        <v/>
      </c>
      <c r="M863" s="82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1">
        <f>IF(OR($C863="",$H863="",$J863=""),0,IF(ROUND(($J863-$H863)*1440,0)&gt;設定!$C$42,ROUND(($J863-$H863)*1440,0),0))</f>
        <v/>
      </c>
      <c r="P863" s="81">
        <f>IF(OR($C863="",$I863="",$K863=""),0,IF(ROUND(($I863-$K863)*1440,0)&gt;設定!$C$42,ROUND(($I863-$K863)*1440,0),0))</f>
        <v/>
      </c>
      <c r="Q863" s="82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79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0">
        <f>IF($G864="","",IFERROR(INDEX(設定!$D$6:$D$18,MATCH($G864,設定!$B$6:$B$18,0)),""))</f>
        <v/>
      </c>
      <c r="I864" s="80">
        <f>IF($G864="","",IFERROR(INDEX(設定!$E$6:$E$18,MATCH($G864,設定!$B$6:$B$18,0)),""))</f>
        <v/>
      </c>
      <c r="J864" s="80">
        <f>IFERROR(INDEX(打卡匯入!$C$3:$C$2002,MATCH($C864&amp;"|"&amp;DAY($A864),打卡匯入!$E$3:$E$2002,0)),"")</f>
        <v/>
      </c>
      <c r="K864" s="80">
        <f>IFERROR(INDEX(打卡匯入!$D$3:$D$2002,MATCH($C864&amp;"|"&amp;DAY($A864),打卡匯入!$E$3:$E$2002,0)),"")</f>
        <v/>
      </c>
      <c r="L864" s="81">
        <f>IF(OR($J864="",$K864=""),"",IFERROR(INDEX(設定!$F$6:$F$18,MATCH($G864,設定!$B$6:$B$18,0)),0))</f>
        <v/>
      </c>
      <c r="M864" s="82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1">
        <f>IF(OR($C864="",$H864="",$J864=""),0,IF(ROUND(($J864-$H864)*1440,0)&gt;設定!$C$42,ROUND(($J864-$H864)*1440,0),0))</f>
        <v/>
      </c>
      <c r="P864" s="81">
        <f>IF(OR($C864="",$I864="",$K864=""),0,IF(ROUND(($I864-$K864)*1440,0)&gt;設定!$C$42,ROUND(($I864-$K864)*1440,0),0))</f>
        <v/>
      </c>
      <c r="Q864" s="82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79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0">
        <f>IF($G865="","",IFERROR(INDEX(設定!$D$6:$D$18,MATCH($G865,設定!$B$6:$B$18,0)),""))</f>
        <v/>
      </c>
      <c r="I865" s="80">
        <f>IF($G865="","",IFERROR(INDEX(設定!$E$6:$E$18,MATCH($G865,設定!$B$6:$B$18,0)),""))</f>
        <v/>
      </c>
      <c r="J865" s="80">
        <f>IFERROR(INDEX(打卡匯入!$C$3:$C$2002,MATCH($C865&amp;"|"&amp;DAY($A865),打卡匯入!$E$3:$E$2002,0)),"")</f>
        <v/>
      </c>
      <c r="K865" s="80">
        <f>IFERROR(INDEX(打卡匯入!$D$3:$D$2002,MATCH($C865&amp;"|"&amp;DAY($A865),打卡匯入!$E$3:$E$2002,0)),"")</f>
        <v/>
      </c>
      <c r="L865" s="81">
        <f>IF(OR($J865="",$K865=""),"",IFERROR(INDEX(設定!$F$6:$F$18,MATCH($G865,設定!$B$6:$B$18,0)),0))</f>
        <v/>
      </c>
      <c r="M865" s="82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1">
        <f>IF(OR($C865="",$H865="",$J865=""),0,IF(ROUND(($J865-$H865)*1440,0)&gt;設定!$C$42,ROUND(($J865-$H865)*1440,0),0))</f>
        <v/>
      </c>
      <c r="P865" s="81">
        <f>IF(OR($C865="",$I865="",$K865=""),0,IF(ROUND(($I865-$K865)*1440,0)&gt;設定!$C$42,ROUND(($I865-$K865)*1440,0),0))</f>
        <v/>
      </c>
      <c r="Q865" s="82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79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0">
        <f>IF($G866="","",IFERROR(INDEX(設定!$D$6:$D$18,MATCH($G866,設定!$B$6:$B$18,0)),""))</f>
        <v/>
      </c>
      <c r="I866" s="80">
        <f>IF($G866="","",IFERROR(INDEX(設定!$E$6:$E$18,MATCH($G866,設定!$B$6:$B$18,0)),""))</f>
        <v/>
      </c>
      <c r="J866" s="80">
        <f>IFERROR(INDEX(打卡匯入!$C$3:$C$2002,MATCH($C866&amp;"|"&amp;DAY($A866),打卡匯入!$E$3:$E$2002,0)),"")</f>
        <v/>
      </c>
      <c r="K866" s="80">
        <f>IFERROR(INDEX(打卡匯入!$D$3:$D$2002,MATCH($C866&amp;"|"&amp;DAY($A866),打卡匯入!$E$3:$E$2002,0)),"")</f>
        <v/>
      </c>
      <c r="L866" s="81">
        <f>IF(OR($J866="",$K866=""),"",IFERROR(INDEX(設定!$F$6:$F$18,MATCH($G866,設定!$B$6:$B$18,0)),0))</f>
        <v/>
      </c>
      <c r="M866" s="82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1">
        <f>IF(OR($C866="",$H866="",$J866=""),0,IF(ROUND(($J866-$H866)*1440,0)&gt;設定!$C$42,ROUND(($J866-$H866)*1440,0),0))</f>
        <v/>
      </c>
      <c r="P866" s="81">
        <f>IF(OR($C866="",$I866="",$K866=""),0,IF(ROUND(($I866-$K866)*1440,0)&gt;設定!$C$42,ROUND(($I866-$K866)*1440,0),0))</f>
        <v/>
      </c>
      <c r="Q866" s="82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79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0">
        <f>IF($G867="","",IFERROR(INDEX(設定!$D$6:$D$18,MATCH($G867,設定!$B$6:$B$18,0)),""))</f>
        <v/>
      </c>
      <c r="I867" s="80">
        <f>IF($G867="","",IFERROR(INDEX(設定!$E$6:$E$18,MATCH($G867,設定!$B$6:$B$18,0)),""))</f>
        <v/>
      </c>
      <c r="J867" s="80">
        <f>IFERROR(INDEX(打卡匯入!$C$3:$C$2002,MATCH($C867&amp;"|"&amp;DAY($A867),打卡匯入!$E$3:$E$2002,0)),"")</f>
        <v/>
      </c>
      <c r="K867" s="80">
        <f>IFERROR(INDEX(打卡匯入!$D$3:$D$2002,MATCH($C867&amp;"|"&amp;DAY($A867),打卡匯入!$E$3:$E$2002,0)),"")</f>
        <v/>
      </c>
      <c r="L867" s="81">
        <f>IF(OR($J867="",$K867=""),"",IFERROR(INDEX(設定!$F$6:$F$18,MATCH($G867,設定!$B$6:$B$18,0)),0))</f>
        <v/>
      </c>
      <c r="M867" s="82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1">
        <f>IF(OR($C867="",$H867="",$J867=""),0,IF(ROUND(($J867-$H867)*1440,0)&gt;設定!$C$42,ROUND(($J867-$H867)*1440,0),0))</f>
        <v/>
      </c>
      <c r="P867" s="81">
        <f>IF(OR($C867="",$I867="",$K867=""),0,IF(ROUND(($I867-$K867)*1440,0)&gt;設定!$C$42,ROUND(($I867-$K867)*1440,0),0))</f>
        <v/>
      </c>
      <c r="Q867" s="82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79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0">
        <f>IF($G868="","",IFERROR(INDEX(設定!$D$6:$D$18,MATCH($G868,設定!$B$6:$B$18,0)),""))</f>
        <v/>
      </c>
      <c r="I868" s="80">
        <f>IF($G868="","",IFERROR(INDEX(設定!$E$6:$E$18,MATCH($G868,設定!$B$6:$B$18,0)),""))</f>
        <v/>
      </c>
      <c r="J868" s="80">
        <f>IFERROR(INDEX(打卡匯入!$C$3:$C$2002,MATCH($C868&amp;"|"&amp;DAY($A868),打卡匯入!$E$3:$E$2002,0)),"")</f>
        <v/>
      </c>
      <c r="K868" s="80">
        <f>IFERROR(INDEX(打卡匯入!$D$3:$D$2002,MATCH($C868&amp;"|"&amp;DAY($A868),打卡匯入!$E$3:$E$2002,0)),"")</f>
        <v/>
      </c>
      <c r="L868" s="81">
        <f>IF(OR($J868="",$K868=""),"",IFERROR(INDEX(設定!$F$6:$F$18,MATCH($G868,設定!$B$6:$B$18,0)),0))</f>
        <v/>
      </c>
      <c r="M868" s="82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1">
        <f>IF(OR($C868="",$H868="",$J868=""),0,IF(ROUND(($J868-$H868)*1440,0)&gt;設定!$C$42,ROUND(($J868-$H868)*1440,0),0))</f>
        <v/>
      </c>
      <c r="P868" s="81">
        <f>IF(OR($C868="",$I868="",$K868=""),0,IF(ROUND(($I868-$K868)*1440,0)&gt;設定!$C$42,ROUND(($I868-$K868)*1440,0),0))</f>
        <v/>
      </c>
      <c r="Q868" s="82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79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0">
        <f>IF($G869="","",IFERROR(INDEX(設定!$D$6:$D$18,MATCH($G869,設定!$B$6:$B$18,0)),""))</f>
        <v/>
      </c>
      <c r="I869" s="80">
        <f>IF($G869="","",IFERROR(INDEX(設定!$E$6:$E$18,MATCH($G869,設定!$B$6:$B$18,0)),""))</f>
        <v/>
      </c>
      <c r="J869" s="80">
        <f>IFERROR(INDEX(打卡匯入!$C$3:$C$2002,MATCH($C869&amp;"|"&amp;DAY($A869),打卡匯入!$E$3:$E$2002,0)),"")</f>
        <v/>
      </c>
      <c r="K869" s="80">
        <f>IFERROR(INDEX(打卡匯入!$D$3:$D$2002,MATCH($C869&amp;"|"&amp;DAY($A869),打卡匯入!$E$3:$E$2002,0)),"")</f>
        <v/>
      </c>
      <c r="L869" s="81">
        <f>IF(OR($J869="",$K869=""),"",IFERROR(INDEX(設定!$F$6:$F$18,MATCH($G869,設定!$B$6:$B$18,0)),0))</f>
        <v/>
      </c>
      <c r="M869" s="82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1">
        <f>IF(OR($C869="",$H869="",$J869=""),0,IF(ROUND(($J869-$H869)*1440,0)&gt;設定!$C$42,ROUND(($J869-$H869)*1440,0),0))</f>
        <v/>
      </c>
      <c r="P869" s="81">
        <f>IF(OR($C869="",$I869="",$K869=""),0,IF(ROUND(($I869-$K869)*1440,0)&gt;設定!$C$42,ROUND(($I869-$K869)*1440,0),0))</f>
        <v/>
      </c>
      <c r="Q869" s="82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79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0">
        <f>IF($G870="","",IFERROR(INDEX(設定!$D$6:$D$18,MATCH($G870,設定!$B$6:$B$18,0)),""))</f>
        <v/>
      </c>
      <c r="I870" s="80">
        <f>IF($G870="","",IFERROR(INDEX(設定!$E$6:$E$18,MATCH($G870,設定!$B$6:$B$18,0)),""))</f>
        <v/>
      </c>
      <c r="J870" s="80">
        <f>IFERROR(INDEX(打卡匯入!$C$3:$C$2002,MATCH($C870&amp;"|"&amp;DAY($A870),打卡匯入!$E$3:$E$2002,0)),"")</f>
        <v/>
      </c>
      <c r="K870" s="80">
        <f>IFERROR(INDEX(打卡匯入!$D$3:$D$2002,MATCH($C870&amp;"|"&amp;DAY($A870),打卡匯入!$E$3:$E$2002,0)),"")</f>
        <v/>
      </c>
      <c r="L870" s="81">
        <f>IF(OR($J870="",$K870=""),"",IFERROR(INDEX(設定!$F$6:$F$18,MATCH($G870,設定!$B$6:$B$18,0)),0))</f>
        <v/>
      </c>
      <c r="M870" s="82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1">
        <f>IF(OR($C870="",$H870="",$J870=""),0,IF(ROUND(($J870-$H870)*1440,0)&gt;設定!$C$42,ROUND(($J870-$H870)*1440,0),0))</f>
        <v/>
      </c>
      <c r="P870" s="81">
        <f>IF(OR($C870="",$I870="",$K870=""),0,IF(ROUND(($I870-$K870)*1440,0)&gt;設定!$C$42,ROUND(($I870-$K870)*1440,0),0))</f>
        <v/>
      </c>
      <c r="Q870" s="82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79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0">
        <f>IF($G871="","",IFERROR(INDEX(設定!$D$6:$D$18,MATCH($G871,設定!$B$6:$B$18,0)),""))</f>
        <v/>
      </c>
      <c r="I871" s="80">
        <f>IF($G871="","",IFERROR(INDEX(設定!$E$6:$E$18,MATCH($G871,設定!$B$6:$B$18,0)),""))</f>
        <v/>
      </c>
      <c r="J871" s="80">
        <f>IFERROR(INDEX(打卡匯入!$C$3:$C$2002,MATCH($C871&amp;"|"&amp;DAY($A871),打卡匯入!$E$3:$E$2002,0)),"")</f>
        <v/>
      </c>
      <c r="K871" s="80">
        <f>IFERROR(INDEX(打卡匯入!$D$3:$D$2002,MATCH($C871&amp;"|"&amp;DAY($A871),打卡匯入!$E$3:$E$2002,0)),"")</f>
        <v/>
      </c>
      <c r="L871" s="81">
        <f>IF(OR($J871="",$K871=""),"",IFERROR(INDEX(設定!$F$6:$F$18,MATCH($G871,設定!$B$6:$B$18,0)),0))</f>
        <v/>
      </c>
      <c r="M871" s="82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1">
        <f>IF(OR($C871="",$H871="",$J871=""),0,IF(ROUND(($J871-$H871)*1440,0)&gt;設定!$C$42,ROUND(($J871-$H871)*1440,0),0))</f>
        <v/>
      </c>
      <c r="P871" s="81">
        <f>IF(OR($C871="",$I871="",$K871=""),0,IF(ROUND(($I871-$K871)*1440,0)&gt;設定!$C$42,ROUND(($I871-$K871)*1440,0),0))</f>
        <v/>
      </c>
      <c r="Q871" s="82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79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0">
        <f>IF($G872="","",IFERROR(INDEX(設定!$D$6:$D$18,MATCH($G872,設定!$B$6:$B$18,0)),""))</f>
        <v/>
      </c>
      <c r="I872" s="80">
        <f>IF($G872="","",IFERROR(INDEX(設定!$E$6:$E$18,MATCH($G872,設定!$B$6:$B$18,0)),""))</f>
        <v/>
      </c>
      <c r="J872" s="80">
        <f>IFERROR(INDEX(打卡匯入!$C$3:$C$2002,MATCH($C872&amp;"|"&amp;DAY($A872),打卡匯入!$E$3:$E$2002,0)),"")</f>
        <v/>
      </c>
      <c r="K872" s="80">
        <f>IFERROR(INDEX(打卡匯入!$D$3:$D$2002,MATCH($C872&amp;"|"&amp;DAY($A872),打卡匯入!$E$3:$E$2002,0)),"")</f>
        <v/>
      </c>
      <c r="L872" s="81">
        <f>IF(OR($J872="",$K872=""),"",IFERROR(INDEX(設定!$F$6:$F$18,MATCH($G872,設定!$B$6:$B$18,0)),0))</f>
        <v/>
      </c>
      <c r="M872" s="82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1">
        <f>IF(OR($C872="",$H872="",$J872=""),0,IF(ROUND(($J872-$H872)*1440,0)&gt;設定!$C$42,ROUND(($J872-$H872)*1440,0),0))</f>
        <v/>
      </c>
      <c r="P872" s="81">
        <f>IF(OR($C872="",$I872="",$K872=""),0,IF(ROUND(($I872-$K872)*1440,0)&gt;設定!$C$42,ROUND(($I872-$K872)*1440,0),0))</f>
        <v/>
      </c>
      <c r="Q872" s="82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79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0">
        <f>IF($G873="","",IFERROR(INDEX(設定!$D$6:$D$18,MATCH($G873,設定!$B$6:$B$18,0)),""))</f>
        <v/>
      </c>
      <c r="I873" s="80">
        <f>IF($G873="","",IFERROR(INDEX(設定!$E$6:$E$18,MATCH($G873,設定!$B$6:$B$18,0)),""))</f>
        <v/>
      </c>
      <c r="J873" s="80">
        <f>IFERROR(INDEX(打卡匯入!$C$3:$C$2002,MATCH($C873&amp;"|"&amp;DAY($A873),打卡匯入!$E$3:$E$2002,0)),"")</f>
        <v/>
      </c>
      <c r="K873" s="80">
        <f>IFERROR(INDEX(打卡匯入!$D$3:$D$2002,MATCH($C873&amp;"|"&amp;DAY($A873),打卡匯入!$E$3:$E$2002,0)),"")</f>
        <v/>
      </c>
      <c r="L873" s="81">
        <f>IF(OR($J873="",$K873=""),"",IFERROR(INDEX(設定!$F$6:$F$18,MATCH($G873,設定!$B$6:$B$18,0)),0))</f>
        <v/>
      </c>
      <c r="M873" s="82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1">
        <f>IF(OR($C873="",$H873="",$J873=""),0,IF(ROUND(($J873-$H873)*1440,0)&gt;設定!$C$42,ROUND(($J873-$H873)*1440,0),0))</f>
        <v/>
      </c>
      <c r="P873" s="81">
        <f>IF(OR($C873="",$I873="",$K873=""),0,IF(ROUND(($I873-$K873)*1440,0)&gt;設定!$C$42,ROUND(($I873-$K873)*1440,0),0))</f>
        <v/>
      </c>
      <c r="Q873" s="82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79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0">
        <f>IF($G874="","",IFERROR(INDEX(設定!$D$6:$D$18,MATCH($G874,設定!$B$6:$B$18,0)),""))</f>
        <v/>
      </c>
      <c r="I874" s="80">
        <f>IF($G874="","",IFERROR(INDEX(設定!$E$6:$E$18,MATCH($G874,設定!$B$6:$B$18,0)),""))</f>
        <v/>
      </c>
      <c r="J874" s="80">
        <f>IFERROR(INDEX(打卡匯入!$C$3:$C$2002,MATCH($C874&amp;"|"&amp;DAY($A874),打卡匯入!$E$3:$E$2002,0)),"")</f>
        <v/>
      </c>
      <c r="K874" s="80">
        <f>IFERROR(INDEX(打卡匯入!$D$3:$D$2002,MATCH($C874&amp;"|"&amp;DAY($A874),打卡匯入!$E$3:$E$2002,0)),"")</f>
        <v/>
      </c>
      <c r="L874" s="81">
        <f>IF(OR($J874="",$K874=""),"",IFERROR(INDEX(設定!$F$6:$F$18,MATCH($G874,設定!$B$6:$B$18,0)),0))</f>
        <v/>
      </c>
      <c r="M874" s="82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1">
        <f>IF(OR($C874="",$H874="",$J874=""),0,IF(ROUND(($J874-$H874)*1440,0)&gt;設定!$C$42,ROUND(($J874-$H874)*1440,0),0))</f>
        <v/>
      </c>
      <c r="P874" s="81">
        <f>IF(OR($C874="",$I874="",$K874=""),0,IF(ROUND(($I874-$K874)*1440,0)&gt;設定!$C$42,ROUND(($I874-$K874)*1440,0),0))</f>
        <v/>
      </c>
      <c r="Q874" s="82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79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0">
        <f>IF($G875="","",IFERROR(INDEX(設定!$D$6:$D$18,MATCH($G875,設定!$B$6:$B$18,0)),""))</f>
        <v/>
      </c>
      <c r="I875" s="80">
        <f>IF($G875="","",IFERROR(INDEX(設定!$E$6:$E$18,MATCH($G875,設定!$B$6:$B$18,0)),""))</f>
        <v/>
      </c>
      <c r="J875" s="80">
        <f>IFERROR(INDEX(打卡匯入!$C$3:$C$2002,MATCH($C875&amp;"|"&amp;DAY($A875),打卡匯入!$E$3:$E$2002,0)),"")</f>
        <v/>
      </c>
      <c r="K875" s="80">
        <f>IFERROR(INDEX(打卡匯入!$D$3:$D$2002,MATCH($C875&amp;"|"&amp;DAY($A875),打卡匯入!$E$3:$E$2002,0)),"")</f>
        <v/>
      </c>
      <c r="L875" s="81">
        <f>IF(OR($J875="",$K875=""),"",IFERROR(INDEX(設定!$F$6:$F$18,MATCH($G875,設定!$B$6:$B$18,0)),0))</f>
        <v/>
      </c>
      <c r="M875" s="82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1">
        <f>IF(OR($C875="",$H875="",$J875=""),0,IF(ROUND(($J875-$H875)*1440,0)&gt;設定!$C$42,ROUND(($J875-$H875)*1440,0),0))</f>
        <v/>
      </c>
      <c r="P875" s="81">
        <f>IF(OR($C875="",$I875="",$K875=""),0,IF(ROUND(($I875-$K875)*1440,0)&gt;設定!$C$42,ROUND(($I875-$K875)*1440,0),0))</f>
        <v/>
      </c>
      <c r="Q875" s="82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79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0">
        <f>IF($G876="","",IFERROR(INDEX(設定!$D$6:$D$18,MATCH($G876,設定!$B$6:$B$18,0)),""))</f>
        <v/>
      </c>
      <c r="I876" s="80">
        <f>IF($G876="","",IFERROR(INDEX(設定!$E$6:$E$18,MATCH($G876,設定!$B$6:$B$18,0)),""))</f>
        <v/>
      </c>
      <c r="J876" s="80">
        <f>IFERROR(INDEX(打卡匯入!$C$3:$C$2002,MATCH($C876&amp;"|"&amp;DAY($A876),打卡匯入!$E$3:$E$2002,0)),"")</f>
        <v/>
      </c>
      <c r="K876" s="80">
        <f>IFERROR(INDEX(打卡匯入!$D$3:$D$2002,MATCH($C876&amp;"|"&amp;DAY($A876),打卡匯入!$E$3:$E$2002,0)),"")</f>
        <v/>
      </c>
      <c r="L876" s="81">
        <f>IF(OR($J876="",$K876=""),"",IFERROR(INDEX(設定!$F$6:$F$18,MATCH($G876,設定!$B$6:$B$18,0)),0))</f>
        <v/>
      </c>
      <c r="M876" s="82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1">
        <f>IF(OR($C876="",$H876="",$J876=""),0,IF(ROUND(($J876-$H876)*1440,0)&gt;設定!$C$42,ROUND(($J876-$H876)*1440,0),0))</f>
        <v/>
      </c>
      <c r="P876" s="81">
        <f>IF(OR($C876="",$I876="",$K876=""),0,IF(ROUND(($I876-$K876)*1440,0)&gt;設定!$C$42,ROUND(($I876-$K876)*1440,0),0))</f>
        <v/>
      </c>
      <c r="Q876" s="82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79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0">
        <f>IF($G877="","",IFERROR(INDEX(設定!$D$6:$D$18,MATCH($G877,設定!$B$6:$B$18,0)),""))</f>
        <v/>
      </c>
      <c r="I877" s="80">
        <f>IF($G877="","",IFERROR(INDEX(設定!$E$6:$E$18,MATCH($G877,設定!$B$6:$B$18,0)),""))</f>
        <v/>
      </c>
      <c r="J877" s="80">
        <f>IFERROR(INDEX(打卡匯入!$C$3:$C$2002,MATCH($C877&amp;"|"&amp;DAY($A877),打卡匯入!$E$3:$E$2002,0)),"")</f>
        <v/>
      </c>
      <c r="K877" s="80">
        <f>IFERROR(INDEX(打卡匯入!$D$3:$D$2002,MATCH($C877&amp;"|"&amp;DAY($A877),打卡匯入!$E$3:$E$2002,0)),"")</f>
        <v/>
      </c>
      <c r="L877" s="81">
        <f>IF(OR($J877="",$K877=""),"",IFERROR(INDEX(設定!$F$6:$F$18,MATCH($G877,設定!$B$6:$B$18,0)),0))</f>
        <v/>
      </c>
      <c r="M877" s="82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1">
        <f>IF(OR($C877="",$H877="",$J877=""),0,IF(ROUND(($J877-$H877)*1440,0)&gt;設定!$C$42,ROUND(($J877-$H877)*1440,0),0))</f>
        <v/>
      </c>
      <c r="P877" s="81">
        <f>IF(OR($C877="",$I877="",$K877=""),0,IF(ROUND(($I877-$K877)*1440,0)&gt;設定!$C$42,ROUND(($I877-$K877)*1440,0),0))</f>
        <v/>
      </c>
      <c r="Q877" s="82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79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0">
        <f>IF($G878="","",IFERROR(INDEX(設定!$D$6:$D$18,MATCH($G878,設定!$B$6:$B$18,0)),""))</f>
        <v/>
      </c>
      <c r="I878" s="80">
        <f>IF($G878="","",IFERROR(INDEX(設定!$E$6:$E$18,MATCH($G878,設定!$B$6:$B$18,0)),""))</f>
        <v/>
      </c>
      <c r="J878" s="80">
        <f>IFERROR(INDEX(打卡匯入!$C$3:$C$2002,MATCH($C878&amp;"|"&amp;DAY($A878),打卡匯入!$E$3:$E$2002,0)),"")</f>
        <v/>
      </c>
      <c r="K878" s="80">
        <f>IFERROR(INDEX(打卡匯入!$D$3:$D$2002,MATCH($C878&amp;"|"&amp;DAY($A878),打卡匯入!$E$3:$E$2002,0)),"")</f>
        <v/>
      </c>
      <c r="L878" s="81">
        <f>IF(OR($J878="",$K878=""),"",IFERROR(INDEX(設定!$F$6:$F$18,MATCH($G878,設定!$B$6:$B$18,0)),0))</f>
        <v/>
      </c>
      <c r="M878" s="82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1">
        <f>IF(OR($C878="",$H878="",$J878=""),0,IF(ROUND(($J878-$H878)*1440,0)&gt;設定!$C$42,ROUND(($J878-$H878)*1440,0),0))</f>
        <v/>
      </c>
      <c r="P878" s="81">
        <f>IF(OR($C878="",$I878="",$K878=""),0,IF(ROUND(($I878-$K878)*1440,0)&gt;設定!$C$42,ROUND(($I878-$K878)*1440,0),0))</f>
        <v/>
      </c>
      <c r="Q878" s="82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79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0">
        <f>IF($G879="","",IFERROR(INDEX(設定!$D$6:$D$18,MATCH($G879,設定!$B$6:$B$18,0)),""))</f>
        <v/>
      </c>
      <c r="I879" s="80">
        <f>IF($G879="","",IFERROR(INDEX(設定!$E$6:$E$18,MATCH($G879,設定!$B$6:$B$18,0)),""))</f>
        <v/>
      </c>
      <c r="J879" s="80">
        <f>IFERROR(INDEX(打卡匯入!$C$3:$C$2002,MATCH($C879&amp;"|"&amp;DAY($A879),打卡匯入!$E$3:$E$2002,0)),"")</f>
        <v/>
      </c>
      <c r="K879" s="80">
        <f>IFERROR(INDEX(打卡匯入!$D$3:$D$2002,MATCH($C879&amp;"|"&amp;DAY($A879),打卡匯入!$E$3:$E$2002,0)),"")</f>
        <v/>
      </c>
      <c r="L879" s="81">
        <f>IF(OR($J879="",$K879=""),"",IFERROR(INDEX(設定!$F$6:$F$18,MATCH($G879,設定!$B$6:$B$18,0)),0))</f>
        <v/>
      </c>
      <c r="M879" s="82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1">
        <f>IF(OR($C879="",$H879="",$J879=""),0,IF(ROUND(($J879-$H879)*1440,0)&gt;設定!$C$42,ROUND(($J879-$H879)*1440,0),0))</f>
        <v/>
      </c>
      <c r="P879" s="81">
        <f>IF(OR($C879="",$I879="",$K879=""),0,IF(ROUND(($I879-$K879)*1440,0)&gt;設定!$C$42,ROUND(($I879-$K879)*1440,0),0))</f>
        <v/>
      </c>
      <c r="Q879" s="82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79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0">
        <f>IF($G880="","",IFERROR(INDEX(設定!$D$6:$D$18,MATCH($G880,設定!$B$6:$B$18,0)),""))</f>
        <v/>
      </c>
      <c r="I880" s="80">
        <f>IF($G880="","",IFERROR(INDEX(設定!$E$6:$E$18,MATCH($G880,設定!$B$6:$B$18,0)),""))</f>
        <v/>
      </c>
      <c r="J880" s="80">
        <f>IFERROR(INDEX(打卡匯入!$C$3:$C$2002,MATCH($C880&amp;"|"&amp;DAY($A880),打卡匯入!$E$3:$E$2002,0)),"")</f>
        <v/>
      </c>
      <c r="K880" s="80">
        <f>IFERROR(INDEX(打卡匯入!$D$3:$D$2002,MATCH($C880&amp;"|"&amp;DAY($A880),打卡匯入!$E$3:$E$2002,0)),"")</f>
        <v/>
      </c>
      <c r="L880" s="81">
        <f>IF(OR($J880="",$K880=""),"",IFERROR(INDEX(設定!$F$6:$F$18,MATCH($G880,設定!$B$6:$B$18,0)),0))</f>
        <v/>
      </c>
      <c r="M880" s="82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1">
        <f>IF(OR($C880="",$H880="",$J880=""),0,IF(ROUND(($J880-$H880)*1440,0)&gt;設定!$C$42,ROUND(($J880-$H880)*1440,0),0))</f>
        <v/>
      </c>
      <c r="P880" s="81">
        <f>IF(OR($C880="",$I880="",$K880=""),0,IF(ROUND(($I880-$K880)*1440,0)&gt;設定!$C$42,ROUND(($I880-$K880)*1440,0),0))</f>
        <v/>
      </c>
      <c r="Q880" s="82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79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0">
        <f>IF($G881="","",IFERROR(INDEX(設定!$D$6:$D$18,MATCH($G881,設定!$B$6:$B$18,0)),""))</f>
        <v/>
      </c>
      <c r="I881" s="80">
        <f>IF($G881="","",IFERROR(INDEX(設定!$E$6:$E$18,MATCH($G881,設定!$B$6:$B$18,0)),""))</f>
        <v/>
      </c>
      <c r="J881" s="80">
        <f>IFERROR(INDEX(打卡匯入!$C$3:$C$2002,MATCH($C881&amp;"|"&amp;DAY($A881),打卡匯入!$E$3:$E$2002,0)),"")</f>
        <v/>
      </c>
      <c r="K881" s="80">
        <f>IFERROR(INDEX(打卡匯入!$D$3:$D$2002,MATCH($C881&amp;"|"&amp;DAY($A881),打卡匯入!$E$3:$E$2002,0)),"")</f>
        <v/>
      </c>
      <c r="L881" s="81">
        <f>IF(OR($J881="",$K881=""),"",IFERROR(INDEX(設定!$F$6:$F$18,MATCH($G881,設定!$B$6:$B$18,0)),0))</f>
        <v/>
      </c>
      <c r="M881" s="82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1">
        <f>IF(OR($C881="",$H881="",$J881=""),0,IF(ROUND(($J881-$H881)*1440,0)&gt;設定!$C$42,ROUND(($J881-$H881)*1440,0),0))</f>
        <v/>
      </c>
      <c r="P881" s="81">
        <f>IF(OR($C881="",$I881="",$K881=""),0,IF(ROUND(($I881-$K881)*1440,0)&gt;設定!$C$42,ROUND(($I881-$K881)*1440,0),0))</f>
        <v/>
      </c>
      <c r="Q881" s="82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79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0">
        <f>IF($G882="","",IFERROR(INDEX(設定!$D$6:$D$18,MATCH($G882,設定!$B$6:$B$18,0)),""))</f>
        <v/>
      </c>
      <c r="I882" s="80">
        <f>IF($G882="","",IFERROR(INDEX(設定!$E$6:$E$18,MATCH($G882,設定!$B$6:$B$18,0)),""))</f>
        <v/>
      </c>
      <c r="J882" s="80">
        <f>IFERROR(INDEX(打卡匯入!$C$3:$C$2002,MATCH($C882&amp;"|"&amp;DAY($A882),打卡匯入!$E$3:$E$2002,0)),"")</f>
        <v/>
      </c>
      <c r="K882" s="80">
        <f>IFERROR(INDEX(打卡匯入!$D$3:$D$2002,MATCH($C882&amp;"|"&amp;DAY($A882),打卡匯入!$E$3:$E$2002,0)),"")</f>
        <v/>
      </c>
      <c r="L882" s="81">
        <f>IF(OR($J882="",$K882=""),"",IFERROR(INDEX(設定!$F$6:$F$18,MATCH($G882,設定!$B$6:$B$18,0)),0))</f>
        <v/>
      </c>
      <c r="M882" s="82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1">
        <f>IF(OR($C882="",$H882="",$J882=""),0,IF(ROUND(($J882-$H882)*1440,0)&gt;設定!$C$42,ROUND(($J882-$H882)*1440,0),0))</f>
        <v/>
      </c>
      <c r="P882" s="81">
        <f>IF(OR($C882="",$I882="",$K882=""),0,IF(ROUND(($I882-$K882)*1440,0)&gt;設定!$C$42,ROUND(($I882-$K882)*1440,0),0))</f>
        <v/>
      </c>
      <c r="Q882" s="82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79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0">
        <f>IF($G883="","",IFERROR(INDEX(設定!$D$6:$D$18,MATCH($G883,設定!$B$6:$B$18,0)),""))</f>
        <v/>
      </c>
      <c r="I883" s="80">
        <f>IF($G883="","",IFERROR(INDEX(設定!$E$6:$E$18,MATCH($G883,設定!$B$6:$B$18,0)),""))</f>
        <v/>
      </c>
      <c r="J883" s="80">
        <f>IFERROR(INDEX(打卡匯入!$C$3:$C$2002,MATCH($C883&amp;"|"&amp;DAY($A883),打卡匯入!$E$3:$E$2002,0)),"")</f>
        <v/>
      </c>
      <c r="K883" s="80">
        <f>IFERROR(INDEX(打卡匯入!$D$3:$D$2002,MATCH($C883&amp;"|"&amp;DAY($A883),打卡匯入!$E$3:$E$2002,0)),"")</f>
        <v/>
      </c>
      <c r="L883" s="81">
        <f>IF(OR($J883="",$K883=""),"",IFERROR(INDEX(設定!$F$6:$F$18,MATCH($G883,設定!$B$6:$B$18,0)),0))</f>
        <v/>
      </c>
      <c r="M883" s="82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1">
        <f>IF(OR($C883="",$H883="",$J883=""),0,IF(ROUND(($J883-$H883)*1440,0)&gt;設定!$C$42,ROUND(($J883-$H883)*1440,0),0))</f>
        <v/>
      </c>
      <c r="P883" s="81">
        <f>IF(OR($C883="",$I883="",$K883=""),0,IF(ROUND(($I883-$K883)*1440,0)&gt;設定!$C$42,ROUND(($I883-$K883)*1440,0),0))</f>
        <v/>
      </c>
      <c r="Q883" s="82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79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0">
        <f>IF($G884="","",IFERROR(INDEX(設定!$D$6:$D$18,MATCH($G884,設定!$B$6:$B$18,0)),""))</f>
        <v/>
      </c>
      <c r="I884" s="80">
        <f>IF($G884="","",IFERROR(INDEX(設定!$E$6:$E$18,MATCH($G884,設定!$B$6:$B$18,0)),""))</f>
        <v/>
      </c>
      <c r="J884" s="80">
        <f>IFERROR(INDEX(打卡匯入!$C$3:$C$2002,MATCH($C884&amp;"|"&amp;DAY($A884),打卡匯入!$E$3:$E$2002,0)),"")</f>
        <v/>
      </c>
      <c r="K884" s="80">
        <f>IFERROR(INDEX(打卡匯入!$D$3:$D$2002,MATCH($C884&amp;"|"&amp;DAY($A884),打卡匯入!$E$3:$E$2002,0)),"")</f>
        <v/>
      </c>
      <c r="L884" s="81">
        <f>IF(OR($J884="",$K884=""),"",IFERROR(INDEX(設定!$F$6:$F$18,MATCH($G884,設定!$B$6:$B$18,0)),0))</f>
        <v/>
      </c>
      <c r="M884" s="82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1">
        <f>IF(OR($C884="",$H884="",$J884=""),0,IF(ROUND(($J884-$H884)*1440,0)&gt;設定!$C$42,ROUND(($J884-$H884)*1440,0),0))</f>
        <v/>
      </c>
      <c r="P884" s="81">
        <f>IF(OR($C884="",$I884="",$K884=""),0,IF(ROUND(($I884-$K884)*1440,0)&gt;設定!$C$42,ROUND(($I884-$K884)*1440,0),0))</f>
        <v/>
      </c>
      <c r="Q884" s="82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79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0">
        <f>IF($G885="","",IFERROR(INDEX(設定!$D$6:$D$18,MATCH($G885,設定!$B$6:$B$18,0)),""))</f>
        <v/>
      </c>
      <c r="I885" s="80">
        <f>IF($G885="","",IFERROR(INDEX(設定!$E$6:$E$18,MATCH($G885,設定!$B$6:$B$18,0)),""))</f>
        <v/>
      </c>
      <c r="J885" s="80">
        <f>IFERROR(INDEX(打卡匯入!$C$3:$C$2002,MATCH($C885&amp;"|"&amp;DAY($A885),打卡匯入!$E$3:$E$2002,0)),"")</f>
        <v/>
      </c>
      <c r="K885" s="80">
        <f>IFERROR(INDEX(打卡匯入!$D$3:$D$2002,MATCH($C885&amp;"|"&amp;DAY($A885),打卡匯入!$E$3:$E$2002,0)),"")</f>
        <v/>
      </c>
      <c r="L885" s="81">
        <f>IF(OR($J885="",$K885=""),"",IFERROR(INDEX(設定!$F$6:$F$18,MATCH($G885,設定!$B$6:$B$18,0)),0))</f>
        <v/>
      </c>
      <c r="M885" s="82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1">
        <f>IF(OR($C885="",$H885="",$J885=""),0,IF(ROUND(($J885-$H885)*1440,0)&gt;設定!$C$42,ROUND(($J885-$H885)*1440,0),0))</f>
        <v/>
      </c>
      <c r="P885" s="81">
        <f>IF(OR($C885="",$I885="",$K885=""),0,IF(ROUND(($I885-$K885)*1440,0)&gt;設定!$C$42,ROUND(($I885-$K885)*1440,0),0))</f>
        <v/>
      </c>
      <c r="Q885" s="82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79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0">
        <f>IF($G886="","",IFERROR(INDEX(設定!$D$6:$D$18,MATCH($G886,設定!$B$6:$B$18,0)),""))</f>
        <v/>
      </c>
      <c r="I886" s="80">
        <f>IF($G886="","",IFERROR(INDEX(設定!$E$6:$E$18,MATCH($G886,設定!$B$6:$B$18,0)),""))</f>
        <v/>
      </c>
      <c r="J886" s="80">
        <f>IFERROR(INDEX(打卡匯入!$C$3:$C$2002,MATCH($C886&amp;"|"&amp;DAY($A886),打卡匯入!$E$3:$E$2002,0)),"")</f>
        <v/>
      </c>
      <c r="K886" s="80">
        <f>IFERROR(INDEX(打卡匯入!$D$3:$D$2002,MATCH($C886&amp;"|"&amp;DAY($A886),打卡匯入!$E$3:$E$2002,0)),"")</f>
        <v/>
      </c>
      <c r="L886" s="81">
        <f>IF(OR($J886="",$K886=""),"",IFERROR(INDEX(設定!$F$6:$F$18,MATCH($G886,設定!$B$6:$B$18,0)),0))</f>
        <v/>
      </c>
      <c r="M886" s="82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1">
        <f>IF(OR($C886="",$H886="",$J886=""),0,IF(ROUND(($J886-$H886)*1440,0)&gt;設定!$C$42,ROUND(($J886-$H886)*1440,0),0))</f>
        <v/>
      </c>
      <c r="P886" s="81">
        <f>IF(OR($C886="",$I886="",$K886=""),0,IF(ROUND(($I886-$K886)*1440,0)&gt;設定!$C$42,ROUND(($I886-$K886)*1440,0),0))</f>
        <v/>
      </c>
      <c r="Q886" s="82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79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0">
        <f>IF($G887="","",IFERROR(INDEX(設定!$D$6:$D$18,MATCH($G887,設定!$B$6:$B$18,0)),""))</f>
        <v/>
      </c>
      <c r="I887" s="80">
        <f>IF($G887="","",IFERROR(INDEX(設定!$E$6:$E$18,MATCH($G887,設定!$B$6:$B$18,0)),""))</f>
        <v/>
      </c>
      <c r="J887" s="80">
        <f>IFERROR(INDEX(打卡匯入!$C$3:$C$2002,MATCH($C887&amp;"|"&amp;DAY($A887),打卡匯入!$E$3:$E$2002,0)),"")</f>
        <v/>
      </c>
      <c r="K887" s="80">
        <f>IFERROR(INDEX(打卡匯入!$D$3:$D$2002,MATCH($C887&amp;"|"&amp;DAY($A887),打卡匯入!$E$3:$E$2002,0)),"")</f>
        <v/>
      </c>
      <c r="L887" s="81">
        <f>IF(OR($J887="",$K887=""),"",IFERROR(INDEX(設定!$F$6:$F$18,MATCH($G887,設定!$B$6:$B$18,0)),0))</f>
        <v/>
      </c>
      <c r="M887" s="82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1">
        <f>IF(OR($C887="",$H887="",$J887=""),0,IF(ROUND(($J887-$H887)*1440,0)&gt;設定!$C$42,ROUND(($J887-$H887)*1440,0),0))</f>
        <v/>
      </c>
      <c r="P887" s="81">
        <f>IF(OR($C887="",$I887="",$K887=""),0,IF(ROUND(($I887-$K887)*1440,0)&gt;設定!$C$42,ROUND(($I887-$K887)*1440,0),0))</f>
        <v/>
      </c>
      <c r="Q887" s="82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79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0">
        <f>IF($G888="","",IFERROR(INDEX(設定!$D$6:$D$18,MATCH($G888,設定!$B$6:$B$18,0)),""))</f>
        <v/>
      </c>
      <c r="I888" s="80">
        <f>IF($G888="","",IFERROR(INDEX(設定!$E$6:$E$18,MATCH($G888,設定!$B$6:$B$18,0)),""))</f>
        <v/>
      </c>
      <c r="J888" s="80">
        <f>IFERROR(INDEX(打卡匯入!$C$3:$C$2002,MATCH($C888&amp;"|"&amp;DAY($A888),打卡匯入!$E$3:$E$2002,0)),"")</f>
        <v/>
      </c>
      <c r="K888" s="80">
        <f>IFERROR(INDEX(打卡匯入!$D$3:$D$2002,MATCH($C888&amp;"|"&amp;DAY($A888),打卡匯入!$E$3:$E$2002,0)),"")</f>
        <v/>
      </c>
      <c r="L888" s="81">
        <f>IF(OR($J888="",$K888=""),"",IFERROR(INDEX(設定!$F$6:$F$18,MATCH($G888,設定!$B$6:$B$18,0)),0))</f>
        <v/>
      </c>
      <c r="M888" s="82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1">
        <f>IF(OR($C888="",$H888="",$J888=""),0,IF(ROUND(($J888-$H888)*1440,0)&gt;設定!$C$42,ROUND(($J888-$H888)*1440,0),0))</f>
        <v/>
      </c>
      <c r="P888" s="81">
        <f>IF(OR($C888="",$I888="",$K888=""),0,IF(ROUND(($I888-$K888)*1440,0)&gt;設定!$C$42,ROUND(($I888-$K888)*1440,0),0))</f>
        <v/>
      </c>
      <c r="Q888" s="82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79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0">
        <f>IF($G889="","",IFERROR(INDEX(設定!$D$6:$D$18,MATCH($G889,設定!$B$6:$B$18,0)),""))</f>
        <v/>
      </c>
      <c r="I889" s="80">
        <f>IF($G889="","",IFERROR(INDEX(設定!$E$6:$E$18,MATCH($G889,設定!$B$6:$B$18,0)),""))</f>
        <v/>
      </c>
      <c r="J889" s="80">
        <f>IFERROR(INDEX(打卡匯入!$C$3:$C$2002,MATCH($C889&amp;"|"&amp;DAY($A889),打卡匯入!$E$3:$E$2002,0)),"")</f>
        <v/>
      </c>
      <c r="K889" s="80">
        <f>IFERROR(INDEX(打卡匯入!$D$3:$D$2002,MATCH($C889&amp;"|"&amp;DAY($A889),打卡匯入!$E$3:$E$2002,0)),"")</f>
        <v/>
      </c>
      <c r="L889" s="81">
        <f>IF(OR($J889="",$K889=""),"",IFERROR(INDEX(設定!$F$6:$F$18,MATCH($G889,設定!$B$6:$B$18,0)),0))</f>
        <v/>
      </c>
      <c r="M889" s="82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1">
        <f>IF(OR($C889="",$H889="",$J889=""),0,IF(ROUND(($J889-$H889)*1440,0)&gt;設定!$C$42,ROUND(($J889-$H889)*1440,0),0))</f>
        <v/>
      </c>
      <c r="P889" s="81">
        <f>IF(OR($C889="",$I889="",$K889=""),0,IF(ROUND(($I889-$K889)*1440,0)&gt;設定!$C$42,ROUND(($I889-$K889)*1440,0),0))</f>
        <v/>
      </c>
      <c r="Q889" s="82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79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0">
        <f>IF($G890="","",IFERROR(INDEX(設定!$D$6:$D$18,MATCH($G890,設定!$B$6:$B$18,0)),""))</f>
        <v/>
      </c>
      <c r="I890" s="80">
        <f>IF($G890="","",IFERROR(INDEX(設定!$E$6:$E$18,MATCH($G890,設定!$B$6:$B$18,0)),""))</f>
        <v/>
      </c>
      <c r="J890" s="80">
        <f>IFERROR(INDEX(打卡匯入!$C$3:$C$2002,MATCH($C890&amp;"|"&amp;DAY($A890),打卡匯入!$E$3:$E$2002,0)),"")</f>
        <v/>
      </c>
      <c r="K890" s="80">
        <f>IFERROR(INDEX(打卡匯入!$D$3:$D$2002,MATCH($C890&amp;"|"&amp;DAY($A890),打卡匯入!$E$3:$E$2002,0)),"")</f>
        <v/>
      </c>
      <c r="L890" s="81">
        <f>IF(OR($J890="",$K890=""),"",IFERROR(INDEX(設定!$F$6:$F$18,MATCH($G890,設定!$B$6:$B$18,0)),0))</f>
        <v/>
      </c>
      <c r="M890" s="82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1">
        <f>IF(OR($C890="",$H890="",$J890=""),0,IF(ROUND(($J890-$H890)*1440,0)&gt;設定!$C$42,ROUND(($J890-$H890)*1440,0),0))</f>
        <v/>
      </c>
      <c r="P890" s="81">
        <f>IF(OR($C890="",$I890="",$K890=""),0,IF(ROUND(($I890-$K890)*1440,0)&gt;設定!$C$42,ROUND(($I890-$K890)*1440,0),0))</f>
        <v/>
      </c>
      <c r="Q890" s="82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79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0">
        <f>IF($G891="","",IFERROR(INDEX(設定!$D$6:$D$18,MATCH($G891,設定!$B$6:$B$18,0)),""))</f>
        <v/>
      </c>
      <c r="I891" s="80">
        <f>IF($G891="","",IFERROR(INDEX(設定!$E$6:$E$18,MATCH($G891,設定!$B$6:$B$18,0)),""))</f>
        <v/>
      </c>
      <c r="J891" s="80">
        <f>IFERROR(INDEX(打卡匯入!$C$3:$C$2002,MATCH($C891&amp;"|"&amp;DAY($A891),打卡匯入!$E$3:$E$2002,0)),"")</f>
        <v/>
      </c>
      <c r="K891" s="80">
        <f>IFERROR(INDEX(打卡匯入!$D$3:$D$2002,MATCH($C891&amp;"|"&amp;DAY($A891),打卡匯入!$E$3:$E$2002,0)),"")</f>
        <v/>
      </c>
      <c r="L891" s="81">
        <f>IF(OR($J891="",$K891=""),"",IFERROR(INDEX(設定!$F$6:$F$18,MATCH($G891,設定!$B$6:$B$18,0)),0))</f>
        <v/>
      </c>
      <c r="M891" s="82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1">
        <f>IF(OR($C891="",$H891="",$J891=""),0,IF(ROUND(($J891-$H891)*1440,0)&gt;設定!$C$42,ROUND(($J891-$H891)*1440,0),0))</f>
        <v/>
      </c>
      <c r="P891" s="81">
        <f>IF(OR($C891="",$I891="",$K891=""),0,IF(ROUND(($I891-$K891)*1440,0)&gt;設定!$C$42,ROUND(($I891-$K891)*1440,0),0))</f>
        <v/>
      </c>
      <c r="Q891" s="82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79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0">
        <f>IF($G892="","",IFERROR(INDEX(設定!$D$6:$D$18,MATCH($G892,設定!$B$6:$B$18,0)),""))</f>
        <v/>
      </c>
      <c r="I892" s="80">
        <f>IF($G892="","",IFERROR(INDEX(設定!$E$6:$E$18,MATCH($G892,設定!$B$6:$B$18,0)),""))</f>
        <v/>
      </c>
      <c r="J892" s="80">
        <f>IFERROR(INDEX(打卡匯入!$C$3:$C$2002,MATCH($C892&amp;"|"&amp;DAY($A892),打卡匯入!$E$3:$E$2002,0)),"")</f>
        <v/>
      </c>
      <c r="K892" s="80">
        <f>IFERROR(INDEX(打卡匯入!$D$3:$D$2002,MATCH($C892&amp;"|"&amp;DAY($A892),打卡匯入!$E$3:$E$2002,0)),"")</f>
        <v/>
      </c>
      <c r="L892" s="81">
        <f>IF(OR($J892="",$K892=""),"",IFERROR(INDEX(設定!$F$6:$F$18,MATCH($G892,設定!$B$6:$B$18,0)),0))</f>
        <v/>
      </c>
      <c r="M892" s="82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1">
        <f>IF(OR($C892="",$H892="",$J892=""),0,IF(ROUND(($J892-$H892)*1440,0)&gt;設定!$C$42,ROUND(($J892-$H892)*1440,0),0))</f>
        <v/>
      </c>
      <c r="P892" s="81">
        <f>IF(OR($C892="",$I892="",$K892=""),0,IF(ROUND(($I892-$K892)*1440,0)&gt;設定!$C$42,ROUND(($I892-$K892)*1440,0),0))</f>
        <v/>
      </c>
      <c r="Q892" s="82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79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0">
        <f>IF($G893="","",IFERROR(INDEX(設定!$D$6:$D$18,MATCH($G893,設定!$B$6:$B$18,0)),""))</f>
        <v/>
      </c>
      <c r="I893" s="80">
        <f>IF($G893="","",IFERROR(INDEX(設定!$E$6:$E$18,MATCH($G893,設定!$B$6:$B$18,0)),""))</f>
        <v/>
      </c>
      <c r="J893" s="80">
        <f>IFERROR(INDEX(打卡匯入!$C$3:$C$2002,MATCH($C893&amp;"|"&amp;DAY($A893),打卡匯入!$E$3:$E$2002,0)),"")</f>
        <v/>
      </c>
      <c r="K893" s="80">
        <f>IFERROR(INDEX(打卡匯入!$D$3:$D$2002,MATCH($C893&amp;"|"&amp;DAY($A893),打卡匯入!$E$3:$E$2002,0)),"")</f>
        <v/>
      </c>
      <c r="L893" s="81">
        <f>IF(OR($J893="",$K893=""),"",IFERROR(INDEX(設定!$F$6:$F$18,MATCH($G893,設定!$B$6:$B$18,0)),0))</f>
        <v/>
      </c>
      <c r="M893" s="82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1">
        <f>IF(OR($C893="",$H893="",$J893=""),0,IF(ROUND(($J893-$H893)*1440,0)&gt;設定!$C$42,ROUND(($J893-$H893)*1440,0),0))</f>
        <v/>
      </c>
      <c r="P893" s="81">
        <f>IF(OR($C893="",$I893="",$K893=""),0,IF(ROUND(($I893-$K893)*1440,0)&gt;設定!$C$42,ROUND(($I893-$K893)*1440,0),0))</f>
        <v/>
      </c>
      <c r="Q893" s="82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79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0">
        <f>IF($G894="","",IFERROR(INDEX(設定!$D$6:$D$18,MATCH($G894,設定!$B$6:$B$18,0)),""))</f>
        <v/>
      </c>
      <c r="I894" s="80">
        <f>IF($G894="","",IFERROR(INDEX(設定!$E$6:$E$18,MATCH($G894,設定!$B$6:$B$18,0)),""))</f>
        <v/>
      </c>
      <c r="J894" s="80">
        <f>IFERROR(INDEX(打卡匯入!$C$3:$C$2002,MATCH($C894&amp;"|"&amp;DAY($A894),打卡匯入!$E$3:$E$2002,0)),"")</f>
        <v/>
      </c>
      <c r="K894" s="80">
        <f>IFERROR(INDEX(打卡匯入!$D$3:$D$2002,MATCH($C894&amp;"|"&amp;DAY($A894),打卡匯入!$E$3:$E$2002,0)),"")</f>
        <v/>
      </c>
      <c r="L894" s="81">
        <f>IF(OR($J894="",$K894=""),"",IFERROR(INDEX(設定!$F$6:$F$18,MATCH($G894,設定!$B$6:$B$18,0)),0))</f>
        <v/>
      </c>
      <c r="M894" s="82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1">
        <f>IF(OR($C894="",$H894="",$J894=""),0,IF(ROUND(($J894-$H894)*1440,0)&gt;設定!$C$42,ROUND(($J894-$H894)*1440,0),0))</f>
        <v/>
      </c>
      <c r="P894" s="81">
        <f>IF(OR($C894="",$I894="",$K894=""),0,IF(ROUND(($I894-$K894)*1440,0)&gt;設定!$C$42,ROUND(($I894-$K894)*1440,0),0))</f>
        <v/>
      </c>
      <c r="Q894" s="82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79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0">
        <f>IF($G895="","",IFERROR(INDEX(設定!$D$6:$D$18,MATCH($G895,設定!$B$6:$B$18,0)),""))</f>
        <v/>
      </c>
      <c r="I895" s="80">
        <f>IF($G895="","",IFERROR(INDEX(設定!$E$6:$E$18,MATCH($G895,設定!$B$6:$B$18,0)),""))</f>
        <v/>
      </c>
      <c r="J895" s="80">
        <f>IFERROR(INDEX(打卡匯入!$C$3:$C$2002,MATCH($C895&amp;"|"&amp;DAY($A895),打卡匯入!$E$3:$E$2002,0)),"")</f>
        <v/>
      </c>
      <c r="K895" s="80">
        <f>IFERROR(INDEX(打卡匯入!$D$3:$D$2002,MATCH($C895&amp;"|"&amp;DAY($A895),打卡匯入!$E$3:$E$2002,0)),"")</f>
        <v/>
      </c>
      <c r="L895" s="81">
        <f>IF(OR($J895="",$K895=""),"",IFERROR(INDEX(設定!$F$6:$F$18,MATCH($G895,設定!$B$6:$B$18,0)),0))</f>
        <v/>
      </c>
      <c r="M895" s="82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1">
        <f>IF(OR($C895="",$H895="",$J895=""),0,IF(ROUND(($J895-$H895)*1440,0)&gt;設定!$C$42,ROUND(($J895-$H895)*1440,0),0))</f>
        <v/>
      </c>
      <c r="P895" s="81">
        <f>IF(OR($C895="",$I895="",$K895=""),0,IF(ROUND(($I895-$K895)*1440,0)&gt;設定!$C$42,ROUND(($I895-$K895)*1440,0),0))</f>
        <v/>
      </c>
      <c r="Q895" s="82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79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0">
        <f>IF($G896="","",IFERROR(INDEX(設定!$D$6:$D$18,MATCH($G896,設定!$B$6:$B$18,0)),""))</f>
        <v/>
      </c>
      <c r="I896" s="80">
        <f>IF($G896="","",IFERROR(INDEX(設定!$E$6:$E$18,MATCH($G896,設定!$B$6:$B$18,0)),""))</f>
        <v/>
      </c>
      <c r="J896" s="80">
        <f>IFERROR(INDEX(打卡匯入!$C$3:$C$2002,MATCH($C896&amp;"|"&amp;DAY($A896),打卡匯入!$E$3:$E$2002,0)),"")</f>
        <v/>
      </c>
      <c r="K896" s="80">
        <f>IFERROR(INDEX(打卡匯入!$D$3:$D$2002,MATCH($C896&amp;"|"&amp;DAY($A896),打卡匯入!$E$3:$E$2002,0)),"")</f>
        <v/>
      </c>
      <c r="L896" s="81">
        <f>IF(OR($J896="",$K896=""),"",IFERROR(INDEX(設定!$F$6:$F$18,MATCH($G896,設定!$B$6:$B$18,0)),0))</f>
        <v/>
      </c>
      <c r="M896" s="82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1">
        <f>IF(OR($C896="",$H896="",$J896=""),0,IF(ROUND(($J896-$H896)*1440,0)&gt;設定!$C$42,ROUND(($J896-$H896)*1440,0),0))</f>
        <v/>
      </c>
      <c r="P896" s="81">
        <f>IF(OR($C896="",$I896="",$K896=""),0,IF(ROUND(($I896-$K896)*1440,0)&gt;設定!$C$42,ROUND(($I896-$K896)*1440,0),0))</f>
        <v/>
      </c>
      <c r="Q896" s="82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79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0">
        <f>IF($G897="","",IFERROR(INDEX(設定!$D$6:$D$18,MATCH($G897,設定!$B$6:$B$18,0)),""))</f>
        <v/>
      </c>
      <c r="I897" s="80">
        <f>IF($G897="","",IFERROR(INDEX(設定!$E$6:$E$18,MATCH($G897,設定!$B$6:$B$18,0)),""))</f>
        <v/>
      </c>
      <c r="J897" s="80">
        <f>IFERROR(INDEX(打卡匯入!$C$3:$C$2002,MATCH($C897&amp;"|"&amp;DAY($A897),打卡匯入!$E$3:$E$2002,0)),"")</f>
        <v/>
      </c>
      <c r="K897" s="80">
        <f>IFERROR(INDEX(打卡匯入!$D$3:$D$2002,MATCH($C897&amp;"|"&amp;DAY($A897),打卡匯入!$E$3:$E$2002,0)),"")</f>
        <v/>
      </c>
      <c r="L897" s="81">
        <f>IF(OR($J897="",$K897=""),"",IFERROR(INDEX(設定!$F$6:$F$18,MATCH($G897,設定!$B$6:$B$18,0)),0))</f>
        <v/>
      </c>
      <c r="M897" s="82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1">
        <f>IF(OR($C897="",$H897="",$J897=""),0,IF(ROUND(($J897-$H897)*1440,0)&gt;設定!$C$42,ROUND(($J897-$H897)*1440,0),0))</f>
        <v/>
      </c>
      <c r="P897" s="81">
        <f>IF(OR($C897="",$I897="",$K897=""),0,IF(ROUND(($I897-$K897)*1440,0)&gt;設定!$C$42,ROUND(($I897-$K897)*1440,0),0))</f>
        <v/>
      </c>
      <c r="Q897" s="82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79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0">
        <f>IF($G898="","",IFERROR(INDEX(設定!$D$6:$D$18,MATCH($G898,設定!$B$6:$B$18,0)),""))</f>
        <v/>
      </c>
      <c r="I898" s="80">
        <f>IF($G898="","",IFERROR(INDEX(設定!$E$6:$E$18,MATCH($G898,設定!$B$6:$B$18,0)),""))</f>
        <v/>
      </c>
      <c r="J898" s="80">
        <f>IFERROR(INDEX(打卡匯入!$C$3:$C$2002,MATCH($C898&amp;"|"&amp;DAY($A898),打卡匯入!$E$3:$E$2002,0)),"")</f>
        <v/>
      </c>
      <c r="K898" s="80">
        <f>IFERROR(INDEX(打卡匯入!$D$3:$D$2002,MATCH($C898&amp;"|"&amp;DAY($A898),打卡匯入!$E$3:$E$2002,0)),"")</f>
        <v/>
      </c>
      <c r="L898" s="81">
        <f>IF(OR($J898="",$K898=""),"",IFERROR(INDEX(設定!$F$6:$F$18,MATCH($G898,設定!$B$6:$B$18,0)),0))</f>
        <v/>
      </c>
      <c r="M898" s="82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1">
        <f>IF(OR($C898="",$H898="",$J898=""),0,IF(ROUND(($J898-$H898)*1440,0)&gt;設定!$C$42,ROUND(($J898-$H898)*1440,0),0))</f>
        <v/>
      </c>
      <c r="P898" s="81">
        <f>IF(OR($C898="",$I898="",$K898=""),0,IF(ROUND(($I898-$K898)*1440,0)&gt;設定!$C$42,ROUND(($I898-$K898)*1440,0),0))</f>
        <v/>
      </c>
      <c r="Q898" s="82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79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0">
        <f>IF($G899="","",IFERROR(INDEX(設定!$D$6:$D$18,MATCH($G899,設定!$B$6:$B$18,0)),""))</f>
        <v/>
      </c>
      <c r="I899" s="80">
        <f>IF($G899="","",IFERROR(INDEX(設定!$E$6:$E$18,MATCH($G899,設定!$B$6:$B$18,0)),""))</f>
        <v/>
      </c>
      <c r="J899" s="80">
        <f>IFERROR(INDEX(打卡匯入!$C$3:$C$2002,MATCH($C899&amp;"|"&amp;DAY($A899),打卡匯入!$E$3:$E$2002,0)),"")</f>
        <v/>
      </c>
      <c r="K899" s="80">
        <f>IFERROR(INDEX(打卡匯入!$D$3:$D$2002,MATCH($C899&amp;"|"&amp;DAY($A899),打卡匯入!$E$3:$E$2002,0)),"")</f>
        <v/>
      </c>
      <c r="L899" s="81">
        <f>IF(OR($J899="",$K899=""),"",IFERROR(INDEX(設定!$F$6:$F$18,MATCH($G899,設定!$B$6:$B$18,0)),0))</f>
        <v/>
      </c>
      <c r="M899" s="82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1">
        <f>IF(OR($C899="",$H899="",$J899=""),0,IF(ROUND(($J899-$H899)*1440,0)&gt;設定!$C$42,ROUND(($J899-$H899)*1440,0),0))</f>
        <v/>
      </c>
      <c r="P899" s="81">
        <f>IF(OR($C899="",$I899="",$K899=""),0,IF(ROUND(($I899-$K899)*1440,0)&gt;設定!$C$42,ROUND(($I899-$K899)*1440,0),0))</f>
        <v/>
      </c>
      <c r="Q899" s="82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79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0">
        <f>IF($G900="","",IFERROR(INDEX(設定!$D$6:$D$18,MATCH($G900,設定!$B$6:$B$18,0)),""))</f>
        <v/>
      </c>
      <c r="I900" s="80">
        <f>IF($G900="","",IFERROR(INDEX(設定!$E$6:$E$18,MATCH($G900,設定!$B$6:$B$18,0)),""))</f>
        <v/>
      </c>
      <c r="J900" s="80">
        <f>IFERROR(INDEX(打卡匯入!$C$3:$C$2002,MATCH($C900&amp;"|"&amp;DAY($A900),打卡匯入!$E$3:$E$2002,0)),"")</f>
        <v/>
      </c>
      <c r="K900" s="80">
        <f>IFERROR(INDEX(打卡匯入!$D$3:$D$2002,MATCH($C900&amp;"|"&amp;DAY($A900),打卡匯入!$E$3:$E$2002,0)),"")</f>
        <v/>
      </c>
      <c r="L900" s="81">
        <f>IF(OR($J900="",$K900=""),"",IFERROR(INDEX(設定!$F$6:$F$18,MATCH($G900,設定!$B$6:$B$18,0)),0))</f>
        <v/>
      </c>
      <c r="M900" s="82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1">
        <f>IF(OR($C900="",$H900="",$J900=""),0,IF(ROUND(($J900-$H900)*1440,0)&gt;設定!$C$42,ROUND(($J900-$H900)*1440,0),0))</f>
        <v/>
      </c>
      <c r="P900" s="81">
        <f>IF(OR($C900="",$I900="",$K900=""),0,IF(ROUND(($I900-$K900)*1440,0)&gt;設定!$C$42,ROUND(($I900-$K900)*1440,0),0))</f>
        <v/>
      </c>
      <c r="Q900" s="82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79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0">
        <f>IF($G901="","",IFERROR(INDEX(設定!$D$6:$D$18,MATCH($G901,設定!$B$6:$B$18,0)),""))</f>
        <v/>
      </c>
      <c r="I901" s="80">
        <f>IF($G901="","",IFERROR(INDEX(設定!$E$6:$E$18,MATCH($G901,設定!$B$6:$B$18,0)),""))</f>
        <v/>
      </c>
      <c r="J901" s="80">
        <f>IFERROR(INDEX(打卡匯入!$C$3:$C$2002,MATCH($C901&amp;"|"&amp;DAY($A901),打卡匯入!$E$3:$E$2002,0)),"")</f>
        <v/>
      </c>
      <c r="K901" s="80">
        <f>IFERROR(INDEX(打卡匯入!$D$3:$D$2002,MATCH($C901&amp;"|"&amp;DAY($A901),打卡匯入!$E$3:$E$2002,0)),"")</f>
        <v/>
      </c>
      <c r="L901" s="81">
        <f>IF(OR($J901="",$K901=""),"",IFERROR(INDEX(設定!$F$6:$F$18,MATCH($G901,設定!$B$6:$B$18,0)),0))</f>
        <v/>
      </c>
      <c r="M901" s="82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1">
        <f>IF(OR($C901="",$H901="",$J901=""),0,IF(ROUND(($J901-$H901)*1440,0)&gt;設定!$C$42,ROUND(($J901-$H901)*1440,0),0))</f>
        <v/>
      </c>
      <c r="P901" s="81">
        <f>IF(OR($C901="",$I901="",$K901=""),0,IF(ROUND(($I901-$K901)*1440,0)&gt;設定!$C$42,ROUND(($I901-$K901)*1440,0),0))</f>
        <v/>
      </c>
      <c r="Q901" s="82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79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0">
        <f>IF($G902="","",IFERROR(INDEX(設定!$D$6:$D$18,MATCH($G902,設定!$B$6:$B$18,0)),""))</f>
        <v/>
      </c>
      <c r="I902" s="80">
        <f>IF($G902="","",IFERROR(INDEX(設定!$E$6:$E$18,MATCH($G902,設定!$B$6:$B$18,0)),""))</f>
        <v/>
      </c>
      <c r="J902" s="80">
        <f>IFERROR(INDEX(打卡匯入!$C$3:$C$2002,MATCH($C902&amp;"|"&amp;DAY($A902),打卡匯入!$E$3:$E$2002,0)),"")</f>
        <v/>
      </c>
      <c r="K902" s="80">
        <f>IFERROR(INDEX(打卡匯入!$D$3:$D$2002,MATCH($C902&amp;"|"&amp;DAY($A902),打卡匯入!$E$3:$E$2002,0)),"")</f>
        <v/>
      </c>
      <c r="L902" s="81">
        <f>IF(OR($J902="",$K902=""),"",IFERROR(INDEX(設定!$F$6:$F$18,MATCH($G902,設定!$B$6:$B$18,0)),0))</f>
        <v/>
      </c>
      <c r="M902" s="82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1">
        <f>IF(OR($C902="",$H902="",$J902=""),0,IF(ROUND(($J902-$H902)*1440,0)&gt;設定!$C$42,ROUND(($J902-$H902)*1440,0),0))</f>
        <v/>
      </c>
      <c r="P902" s="81">
        <f>IF(OR($C902="",$I902="",$K902=""),0,IF(ROUND(($I902-$K902)*1440,0)&gt;設定!$C$42,ROUND(($I902-$K902)*1440,0),0))</f>
        <v/>
      </c>
      <c r="Q902" s="82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79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0">
        <f>IF($G903="","",IFERROR(INDEX(設定!$D$6:$D$18,MATCH($G903,設定!$B$6:$B$18,0)),""))</f>
        <v/>
      </c>
      <c r="I903" s="80">
        <f>IF($G903="","",IFERROR(INDEX(設定!$E$6:$E$18,MATCH($G903,設定!$B$6:$B$18,0)),""))</f>
        <v/>
      </c>
      <c r="J903" s="80">
        <f>IFERROR(INDEX(打卡匯入!$C$3:$C$2002,MATCH($C903&amp;"|"&amp;DAY($A903),打卡匯入!$E$3:$E$2002,0)),"")</f>
        <v/>
      </c>
      <c r="K903" s="80">
        <f>IFERROR(INDEX(打卡匯入!$D$3:$D$2002,MATCH($C903&amp;"|"&amp;DAY($A903),打卡匯入!$E$3:$E$2002,0)),"")</f>
        <v/>
      </c>
      <c r="L903" s="81">
        <f>IF(OR($J903="",$K903=""),"",IFERROR(INDEX(設定!$F$6:$F$18,MATCH($G903,設定!$B$6:$B$18,0)),0))</f>
        <v/>
      </c>
      <c r="M903" s="82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1">
        <f>IF(OR($C903="",$H903="",$J903=""),0,IF(ROUND(($J903-$H903)*1440,0)&gt;設定!$C$42,ROUND(($J903-$H903)*1440,0),0))</f>
        <v/>
      </c>
      <c r="P903" s="81">
        <f>IF(OR($C903="",$I903="",$K903=""),0,IF(ROUND(($I903-$K903)*1440,0)&gt;設定!$C$42,ROUND(($I903-$K903)*1440,0),0))</f>
        <v/>
      </c>
      <c r="Q903" s="82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79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0">
        <f>IF($G904="","",IFERROR(INDEX(設定!$D$6:$D$18,MATCH($G904,設定!$B$6:$B$18,0)),""))</f>
        <v/>
      </c>
      <c r="I904" s="80">
        <f>IF($G904="","",IFERROR(INDEX(設定!$E$6:$E$18,MATCH($G904,設定!$B$6:$B$18,0)),""))</f>
        <v/>
      </c>
      <c r="J904" s="80">
        <f>IFERROR(INDEX(打卡匯入!$C$3:$C$2002,MATCH($C904&amp;"|"&amp;DAY($A904),打卡匯入!$E$3:$E$2002,0)),"")</f>
        <v/>
      </c>
      <c r="K904" s="80">
        <f>IFERROR(INDEX(打卡匯入!$D$3:$D$2002,MATCH($C904&amp;"|"&amp;DAY($A904),打卡匯入!$E$3:$E$2002,0)),"")</f>
        <v/>
      </c>
      <c r="L904" s="81">
        <f>IF(OR($J904="",$K904=""),"",IFERROR(INDEX(設定!$F$6:$F$18,MATCH($G904,設定!$B$6:$B$18,0)),0))</f>
        <v/>
      </c>
      <c r="M904" s="82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1">
        <f>IF(OR($C904="",$H904="",$J904=""),0,IF(ROUND(($J904-$H904)*1440,0)&gt;設定!$C$42,ROUND(($J904-$H904)*1440,0),0))</f>
        <v/>
      </c>
      <c r="P904" s="81">
        <f>IF(OR($C904="",$I904="",$K904=""),0,IF(ROUND(($I904-$K904)*1440,0)&gt;設定!$C$42,ROUND(($I904-$K904)*1440,0),0))</f>
        <v/>
      </c>
      <c r="Q904" s="82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79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0">
        <f>IF($G905="","",IFERROR(INDEX(設定!$D$6:$D$18,MATCH($G905,設定!$B$6:$B$18,0)),""))</f>
        <v/>
      </c>
      <c r="I905" s="80">
        <f>IF($G905="","",IFERROR(INDEX(設定!$E$6:$E$18,MATCH($G905,設定!$B$6:$B$18,0)),""))</f>
        <v/>
      </c>
      <c r="J905" s="80">
        <f>IFERROR(INDEX(打卡匯入!$C$3:$C$2002,MATCH($C905&amp;"|"&amp;DAY($A905),打卡匯入!$E$3:$E$2002,0)),"")</f>
        <v/>
      </c>
      <c r="K905" s="80">
        <f>IFERROR(INDEX(打卡匯入!$D$3:$D$2002,MATCH($C905&amp;"|"&amp;DAY($A905),打卡匯入!$E$3:$E$2002,0)),"")</f>
        <v/>
      </c>
      <c r="L905" s="81">
        <f>IF(OR($J905="",$K905=""),"",IFERROR(INDEX(設定!$F$6:$F$18,MATCH($G905,設定!$B$6:$B$18,0)),0))</f>
        <v/>
      </c>
      <c r="M905" s="82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1">
        <f>IF(OR($C905="",$H905="",$J905=""),0,IF(ROUND(($J905-$H905)*1440,0)&gt;設定!$C$42,ROUND(($J905-$H905)*1440,0),0))</f>
        <v/>
      </c>
      <c r="P905" s="81">
        <f>IF(OR($C905="",$I905="",$K905=""),0,IF(ROUND(($I905-$K905)*1440,0)&gt;設定!$C$42,ROUND(($I905-$K905)*1440,0),0))</f>
        <v/>
      </c>
      <c r="Q905" s="82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79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0">
        <f>IF($G906="","",IFERROR(INDEX(設定!$D$6:$D$18,MATCH($G906,設定!$B$6:$B$18,0)),""))</f>
        <v/>
      </c>
      <c r="I906" s="80">
        <f>IF($G906="","",IFERROR(INDEX(設定!$E$6:$E$18,MATCH($G906,設定!$B$6:$B$18,0)),""))</f>
        <v/>
      </c>
      <c r="J906" s="80">
        <f>IFERROR(INDEX(打卡匯入!$C$3:$C$2002,MATCH($C906&amp;"|"&amp;DAY($A906),打卡匯入!$E$3:$E$2002,0)),"")</f>
        <v/>
      </c>
      <c r="K906" s="80">
        <f>IFERROR(INDEX(打卡匯入!$D$3:$D$2002,MATCH($C906&amp;"|"&amp;DAY($A906),打卡匯入!$E$3:$E$2002,0)),"")</f>
        <v/>
      </c>
      <c r="L906" s="81">
        <f>IF(OR($J906="",$K906=""),"",IFERROR(INDEX(設定!$F$6:$F$18,MATCH($G906,設定!$B$6:$B$18,0)),0))</f>
        <v/>
      </c>
      <c r="M906" s="82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1">
        <f>IF(OR($C906="",$H906="",$J906=""),0,IF(ROUND(($J906-$H906)*1440,0)&gt;設定!$C$42,ROUND(($J906-$H906)*1440,0),0))</f>
        <v/>
      </c>
      <c r="P906" s="81">
        <f>IF(OR($C906="",$I906="",$K906=""),0,IF(ROUND(($I906-$K906)*1440,0)&gt;設定!$C$42,ROUND(($I906-$K906)*1440,0),0))</f>
        <v/>
      </c>
      <c r="Q906" s="82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79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0">
        <f>IF($G907="","",IFERROR(INDEX(設定!$D$6:$D$18,MATCH($G907,設定!$B$6:$B$18,0)),""))</f>
        <v/>
      </c>
      <c r="I907" s="80">
        <f>IF($G907="","",IFERROR(INDEX(設定!$E$6:$E$18,MATCH($G907,設定!$B$6:$B$18,0)),""))</f>
        <v/>
      </c>
      <c r="J907" s="80">
        <f>IFERROR(INDEX(打卡匯入!$C$3:$C$2002,MATCH($C907&amp;"|"&amp;DAY($A907),打卡匯入!$E$3:$E$2002,0)),"")</f>
        <v/>
      </c>
      <c r="K907" s="80">
        <f>IFERROR(INDEX(打卡匯入!$D$3:$D$2002,MATCH($C907&amp;"|"&amp;DAY($A907),打卡匯入!$E$3:$E$2002,0)),"")</f>
        <v/>
      </c>
      <c r="L907" s="81">
        <f>IF(OR($J907="",$K907=""),"",IFERROR(INDEX(設定!$F$6:$F$18,MATCH($G907,設定!$B$6:$B$18,0)),0))</f>
        <v/>
      </c>
      <c r="M907" s="82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1">
        <f>IF(OR($C907="",$H907="",$J907=""),0,IF(ROUND(($J907-$H907)*1440,0)&gt;設定!$C$42,ROUND(($J907-$H907)*1440,0),0))</f>
        <v/>
      </c>
      <c r="P907" s="81">
        <f>IF(OR($C907="",$I907="",$K907=""),0,IF(ROUND(($I907-$K907)*1440,0)&gt;設定!$C$42,ROUND(($I907-$K907)*1440,0),0))</f>
        <v/>
      </c>
      <c r="Q907" s="82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79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0">
        <f>IF($G908="","",IFERROR(INDEX(設定!$D$6:$D$18,MATCH($G908,設定!$B$6:$B$18,0)),""))</f>
        <v/>
      </c>
      <c r="I908" s="80">
        <f>IF($G908="","",IFERROR(INDEX(設定!$E$6:$E$18,MATCH($G908,設定!$B$6:$B$18,0)),""))</f>
        <v/>
      </c>
      <c r="J908" s="80">
        <f>IFERROR(INDEX(打卡匯入!$C$3:$C$2002,MATCH($C908&amp;"|"&amp;DAY($A908),打卡匯入!$E$3:$E$2002,0)),"")</f>
        <v/>
      </c>
      <c r="K908" s="80">
        <f>IFERROR(INDEX(打卡匯入!$D$3:$D$2002,MATCH($C908&amp;"|"&amp;DAY($A908),打卡匯入!$E$3:$E$2002,0)),"")</f>
        <v/>
      </c>
      <c r="L908" s="81">
        <f>IF(OR($J908="",$K908=""),"",IFERROR(INDEX(設定!$F$6:$F$18,MATCH($G908,設定!$B$6:$B$18,0)),0))</f>
        <v/>
      </c>
      <c r="M908" s="82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1">
        <f>IF(OR($C908="",$H908="",$J908=""),0,IF(ROUND(($J908-$H908)*1440,0)&gt;設定!$C$42,ROUND(($J908-$H908)*1440,0),0))</f>
        <v/>
      </c>
      <c r="P908" s="81">
        <f>IF(OR($C908="",$I908="",$K908=""),0,IF(ROUND(($I908-$K908)*1440,0)&gt;設定!$C$42,ROUND(($I908-$K908)*1440,0),0))</f>
        <v/>
      </c>
      <c r="Q908" s="82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79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0">
        <f>IF($G909="","",IFERROR(INDEX(設定!$D$6:$D$18,MATCH($G909,設定!$B$6:$B$18,0)),""))</f>
        <v/>
      </c>
      <c r="I909" s="80">
        <f>IF($G909="","",IFERROR(INDEX(設定!$E$6:$E$18,MATCH($G909,設定!$B$6:$B$18,0)),""))</f>
        <v/>
      </c>
      <c r="J909" s="80">
        <f>IFERROR(INDEX(打卡匯入!$C$3:$C$2002,MATCH($C909&amp;"|"&amp;DAY($A909),打卡匯入!$E$3:$E$2002,0)),"")</f>
        <v/>
      </c>
      <c r="K909" s="80">
        <f>IFERROR(INDEX(打卡匯入!$D$3:$D$2002,MATCH($C909&amp;"|"&amp;DAY($A909),打卡匯入!$E$3:$E$2002,0)),"")</f>
        <v/>
      </c>
      <c r="L909" s="81">
        <f>IF(OR($J909="",$K909=""),"",IFERROR(INDEX(設定!$F$6:$F$18,MATCH($G909,設定!$B$6:$B$18,0)),0))</f>
        <v/>
      </c>
      <c r="M909" s="82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1">
        <f>IF(OR($C909="",$H909="",$J909=""),0,IF(ROUND(($J909-$H909)*1440,0)&gt;設定!$C$42,ROUND(($J909-$H909)*1440,0),0))</f>
        <v/>
      </c>
      <c r="P909" s="81">
        <f>IF(OR($C909="",$I909="",$K909=""),0,IF(ROUND(($I909-$K909)*1440,0)&gt;設定!$C$42,ROUND(($I909-$K909)*1440,0),0))</f>
        <v/>
      </c>
      <c r="Q909" s="82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79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0">
        <f>IF($G910="","",IFERROR(INDEX(設定!$D$6:$D$18,MATCH($G910,設定!$B$6:$B$18,0)),""))</f>
        <v/>
      </c>
      <c r="I910" s="80">
        <f>IF($G910="","",IFERROR(INDEX(設定!$E$6:$E$18,MATCH($G910,設定!$B$6:$B$18,0)),""))</f>
        <v/>
      </c>
      <c r="J910" s="80">
        <f>IFERROR(INDEX(打卡匯入!$C$3:$C$2002,MATCH($C910&amp;"|"&amp;DAY($A910),打卡匯入!$E$3:$E$2002,0)),"")</f>
        <v/>
      </c>
      <c r="K910" s="80">
        <f>IFERROR(INDEX(打卡匯入!$D$3:$D$2002,MATCH($C910&amp;"|"&amp;DAY($A910),打卡匯入!$E$3:$E$2002,0)),"")</f>
        <v/>
      </c>
      <c r="L910" s="81">
        <f>IF(OR($J910="",$K910=""),"",IFERROR(INDEX(設定!$F$6:$F$18,MATCH($G910,設定!$B$6:$B$18,0)),0))</f>
        <v/>
      </c>
      <c r="M910" s="82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1">
        <f>IF(OR($C910="",$H910="",$J910=""),0,IF(ROUND(($J910-$H910)*1440,0)&gt;設定!$C$42,ROUND(($J910-$H910)*1440,0),0))</f>
        <v/>
      </c>
      <c r="P910" s="81">
        <f>IF(OR($C910="",$I910="",$K910=""),0,IF(ROUND(($I910-$K910)*1440,0)&gt;設定!$C$42,ROUND(($I910-$K910)*1440,0),0))</f>
        <v/>
      </c>
      <c r="Q910" s="82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79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0">
        <f>IF($G911="","",IFERROR(INDEX(設定!$D$6:$D$18,MATCH($G911,設定!$B$6:$B$18,0)),""))</f>
        <v/>
      </c>
      <c r="I911" s="80">
        <f>IF($G911="","",IFERROR(INDEX(設定!$E$6:$E$18,MATCH($G911,設定!$B$6:$B$18,0)),""))</f>
        <v/>
      </c>
      <c r="J911" s="80">
        <f>IFERROR(INDEX(打卡匯入!$C$3:$C$2002,MATCH($C911&amp;"|"&amp;DAY($A911),打卡匯入!$E$3:$E$2002,0)),"")</f>
        <v/>
      </c>
      <c r="K911" s="80">
        <f>IFERROR(INDEX(打卡匯入!$D$3:$D$2002,MATCH($C911&amp;"|"&amp;DAY($A911),打卡匯入!$E$3:$E$2002,0)),"")</f>
        <v/>
      </c>
      <c r="L911" s="81">
        <f>IF(OR($J911="",$K911=""),"",IFERROR(INDEX(設定!$F$6:$F$18,MATCH($G911,設定!$B$6:$B$18,0)),0))</f>
        <v/>
      </c>
      <c r="M911" s="82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1">
        <f>IF(OR($C911="",$H911="",$J911=""),0,IF(ROUND(($J911-$H911)*1440,0)&gt;設定!$C$42,ROUND(($J911-$H911)*1440,0),0))</f>
        <v/>
      </c>
      <c r="P911" s="81">
        <f>IF(OR($C911="",$I911="",$K911=""),0,IF(ROUND(($I911-$K911)*1440,0)&gt;設定!$C$42,ROUND(($I911-$K911)*1440,0),0))</f>
        <v/>
      </c>
      <c r="Q911" s="82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79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0">
        <f>IF($G912="","",IFERROR(INDEX(設定!$D$6:$D$18,MATCH($G912,設定!$B$6:$B$18,0)),""))</f>
        <v/>
      </c>
      <c r="I912" s="80">
        <f>IF($G912="","",IFERROR(INDEX(設定!$E$6:$E$18,MATCH($G912,設定!$B$6:$B$18,0)),""))</f>
        <v/>
      </c>
      <c r="J912" s="80">
        <f>IFERROR(INDEX(打卡匯入!$C$3:$C$2002,MATCH($C912&amp;"|"&amp;DAY($A912),打卡匯入!$E$3:$E$2002,0)),"")</f>
        <v/>
      </c>
      <c r="K912" s="80">
        <f>IFERROR(INDEX(打卡匯入!$D$3:$D$2002,MATCH($C912&amp;"|"&amp;DAY($A912),打卡匯入!$E$3:$E$2002,0)),"")</f>
        <v/>
      </c>
      <c r="L912" s="81">
        <f>IF(OR($J912="",$K912=""),"",IFERROR(INDEX(設定!$F$6:$F$18,MATCH($G912,設定!$B$6:$B$18,0)),0))</f>
        <v/>
      </c>
      <c r="M912" s="82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1">
        <f>IF(OR($C912="",$H912="",$J912=""),0,IF(ROUND(($J912-$H912)*1440,0)&gt;設定!$C$42,ROUND(($J912-$H912)*1440,0),0))</f>
        <v/>
      </c>
      <c r="P912" s="81">
        <f>IF(OR($C912="",$I912="",$K912=""),0,IF(ROUND(($I912-$K912)*1440,0)&gt;設定!$C$42,ROUND(($I912-$K912)*1440,0),0))</f>
        <v/>
      </c>
      <c r="Q912" s="82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79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0">
        <f>IF($G913="","",IFERROR(INDEX(設定!$D$6:$D$18,MATCH($G913,設定!$B$6:$B$18,0)),""))</f>
        <v/>
      </c>
      <c r="I913" s="80">
        <f>IF($G913="","",IFERROR(INDEX(設定!$E$6:$E$18,MATCH($G913,設定!$B$6:$B$18,0)),""))</f>
        <v/>
      </c>
      <c r="J913" s="80">
        <f>IFERROR(INDEX(打卡匯入!$C$3:$C$2002,MATCH($C913&amp;"|"&amp;DAY($A913),打卡匯入!$E$3:$E$2002,0)),"")</f>
        <v/>
      </c>
      <c r="K913" s="80">
        <f>IFERROR(INDEX(打卡匯入!$D$3:$D$2002,MATCH($C913&amp;"|"&amp;DAY($A913),打卡匯入!$E$3:$E$2002,0)),"")</f>
        <v/>
      </c>
      <c r="L913" s="81">
        <f>IF(OR($J913="",$K913=""),"",IFERROR(INDEX(設定!$F$6:$F$18,MATCH($G913,設定!$B$6:$B$18,0)),0))</f>
        <v/>
      </c>
      <c r="M913" s="82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1">
        <f>IF(OR($C913="",$H913="",$J913=""),0,IF(ROUND(($J913-$H913)*1440,0)&gt;設定!$C$42,ROUND(($J913-$H913)*1440,0),0))</f>
        <v/>
      </c>
      <c r="P913" s="81">
        <f>IF(OR($C913="",$I913="",$K913=""),0,IF(ROUND(($I913-$K913)*1440,0)&gt;設定!$C$42,ROUND(($I913-$K913)*1440,0),0))</f>
        <v/>
      </c>
      <c r="Q913" s="82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79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0">
        <f>IF($G914="","",IFERROR(INDEX(設定!$D$6:$D$18,MATCH($G914,設定!$B$6:$B$18,0)),""))</f>
        <v/>
      </c>
      <c r="I914" s="80">
        <f>IF($G914="","",IFERROR(INDEX(設定!$E$6:$E$18,MATCH($G914,設定!$B$6:$B$18,0)),""))</f>
        <v/>
      </c>
      <c r="J914" s="80">
        <f>IFERROR(INDEX(打卡匯入!$C$3:$C$2002,MATCH($C914&amp;"|"&amp;DAY($A914),打卡匯入!$E$3:$E$2002,0)),"")</f>
        <v/>
      </c>
      <c r="K914" s="80">
        <f>IFERROR(INDEX(打卡匯入!$D$3:$D$2002,MATCH($C914&amp;"|"&amp;DAY($A914),打卡匯入!$E$3:$E$2002,0)),"")</f>
        <v/>
      </c>
      <c r="L914" s="81">
        <f>IF(OR($J914="",$K914=""),"",IFERROR(INDEX(設定!$F$6:$F$18,MATCH($G914,設定!$B$6:$B$18,0)),0))</f>
        <v/>
      </c>
      <c r="M914" s="82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1">
        <f>IF(OR($C914="",$H914="",$J914=""),0,IF(ROUND(($J914-$H914)*1440,0)&gt;設定!$C$42,ROUND(($J914-$H914)*1440,0),0))</f>
        <v/>
      </c>
      <c r="P914" s="81">
        <f>IF(OR($C914="",$I914="",$K914=""),0,IF(ROUND(($I914-$K914)*1440,0)&gt;設定!$C$42,ROUND(($I914-$K914)*1440,0),0))</f>
        <v/>
      </c>
      <c r="Q914" s="82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79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0">
        <f>IF($G915="","",IFERROR(INDEX(設定!$D$6:$D$18,MATCH($G915,設定!$B$6:$B$18,0)),""))</f>
        <v/>
      </c>
      <c r="I915" s="80">
        <f>IF($G915="","",IFERROR(INDEX(設定!$E$6:$E$18,MATCH($G915,設定!$B$6:$B$18,0)),""))</f>
        <v/>
      </c>
      <c r="J915" s="80">
        <f>IFERROR(INDEX(打卡匯入!$C$3:$C$2002,MATCH($C915&amp;"|"&amp;DAY($A915),打卡匯入!$E$3:$E$2002,0)),"")</f>
        <v/>
      </c>
      <c r="K915" s="80">
        <f>IFERROR(INDEX(打卡匯入!$D$3:$D$2002,MATCH($C915&amp;"|"&amp;DAY($A915),打卡匯入!$E$3:$E$2002,0)),"")</f>
        <v/>
      </c>
      <c r="L915" s="81">
        <f>IF(OR($J915="",$K915=""),"",IFERROR(INDEX(設定!$F$6:$F$18,MATCH($G915,設定!$B$6:$B$18,0)),0))</f>
        <v/>
      </c>
      <c r="M915" s="82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1">
        <f>IF(OR($C915="",$H915="",$J915=""),0,IF(ROUND(($J915-$H915)*1440,0)&gt;設定!$C$42,ROUND(($J915-$H915)*1440,0),0))</f>
        <v/>
      </c>
      <c r="P915" s="81">
        <f>IF(OR($C915="",$I915="",$K915=""),0,IF(ROUND(($I915-$K915)*1440,0)&gt;設定!$C$42,ROUND(($I915-$K915)*1440,0),0))</f>
        <v/>
      </c>
      <c r="Q915" s="82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79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0">
        <f>IF($G916="","",IFERROR(INDEX(設定!$D$6:$D$18,MATCH($G916,設定!$B$6:$B$18,0)),""))</f>
        <v/>
      </c>
      <c r="I916" s="80">
        <f>IF($G916="","",IFERROR(INDEX(設定!$E$6:$E$18,MATCH($G916,設定!$B$6:$B$18,0)),""))</f>
        <v/>
      </c>
      <c r="J916" s="80">
        <f>IFERROR(INDEX(打卡匯入!$C$3:$C$2002,MATCH($C916&amp;"|"&amp;DAY($A916),打卡匯入!$E$3:$E$2002,0)),"")</f>
        <v/>
      </c>
      <c r="K916" s="80">
        <f>IFERROR(INDEX(打卡匯入!$D$3:$D$2002,MATCH($C916&amp;"|"&amp;DAY($A916),打卡匯入!$E$3:$E$2002,0)),"")</f>
        <v/>
      </c>
      <c r="L916" s="81">
        <f>IF(OR($J916="",$K916=""),"",IFERROR(INDEX(設定!$F$6:$F$18,MATCH($G916,設定!$B$6:$B$18,0)),0))</f>
        <v/>
      </c>
      <c r="M916" s="82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1">
        <f>IF(OR($C916="",$H916="",$J916=""),0,IF(ROUND(($J916-$H916)*1440,0)&gt;設定!$C$42,ROUND(($J916-$H916)*1440,0),0))</f>
        <v/>
      </c>
      <c r="P916" s="81">
        <f>IF(OR($C916="",$I916="",$K916=""),0,IF(ROUND(($I916-$K916)*1440,0)&gt;設定!$C$42,ROUND(($I916-$K916)*1440,0),0))</f>
        <v/>
      </c>
      <c r="Q916" s="82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79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0">
        <f>IF($G917="","",IFERROR(INDEX(設定!$D$6:$D$18,MATCH($G917,設定!$B$6:$B$18,0)),""))</f>
        <v/>
      </c>
      <c r="I917" s="80">
        <f>IF($G917="","",IFERROR(INDEX(設定!$E$6:$E$18,MATCH($G917,設定!$B$6:$B$18,0)),""))</f>
        <v/>
      </c>
      <c r="J917" s="80">
        <f>IFERROR(INDEX(打卡匯入!$C$3:$C$2002,MATCH($C917&amp;"|"&amp;DAY($A917),打卡匯入!$E$3:$E$2002,0)),"")</f>
        <v/>
      </c>
      <c r="K917" s="80">
        <f>IFERROR(INDEX(打卡匯入!$D$3:$D$2002,MATCH($C917&amp;"|"&amp;DAY($A917),打卡匯入!$E$3:$E$2002,0)),"")</f>
        <v/>
      </c>
      <c r="L917" s="81">
        <f>IF(OR($J917="",$K917=""),"",IFERROR(INDEX(設定!$F$6:$F$18,MATCH($G917,設定!$B$6:$B$18,0)),0))</f>
        <v/>
      </c>
      <c r="M917" s="82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1">
        <f>IF(OR($C917="",$H917="",$J917=""),0,IF(ROUND(($J917-$H917)*1440,0)&gt;設定!$C$42,ROUND(($J917-$H917)*1440,0),0))</f>
        <v/>
      </c>
      <c r="P917" s="81">
        <f>IF(OR($C917="",$I917="",$K917=""),0,IF(ROUND(($I917-$K917)*1440,0)&gt;設定!$C$42,ROUND(($I917-$K917)*1440,0),0))</f>
        <v/>
      </c>
      <c r="Q917" s="82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79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0">
        <f>IF($G918="","",IFERROR(INDEX(設定!$D$6:$D$18,MATCH($G918,設定!$B$6:$B$18,0)),""))</f>
        <v/>
      </c>
      <c r="I918" s="80">
        <f>IF($G918="","",IFERROR(INDEX(設定!$E$6:$E$18,MATCH($G918,設定!$B$6:$B$18,0)),""))</f>
        <v/>
      </c>
      <c r="J918" s="80">
        <f>IFERROR(INDEX(打卡匯入!$C$3:$C$2002,MATCH($C918&amp;"|"&amp;DAY($A918),打卡匯入!$E$3:$E$2002,0)),"")</f>
        <v/>
      </c>
      <c r="K918" s="80">
        <f>IFERROR(INDEX(打卡匯入!$D$3:$D$2002,MATCH($C918&amp;"|"&amp;DAY($A918),打卡匯入!$E$3:$E$2002,0)),"")</f>
        <v/>
      </c>
      <c r="L918" s="81">
        <f>IF(OR($J918="",$K918=""),"",IFERROR(INDEX(設定!$F$6:$F$18,MATCH($G918,設定!$B$6:$B$18,0)),0))</f>
        <v/>
      </c>
      <c r="M918" s="82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1">
        <f>IF(OR($C918="",$H918="",$J918=""),0,IF(ROUND(($J918-$H918)*1440,0)&gt;設定!$C$42,ROUND(($J918-$H918)*1440,0),0))</f>
        <v/>
      </c>
      <c r="P918" s="81">
        <f>IF(OR($C918="",$I918="",$K918=""),0,IF(ROUND(($I918-$K918)*1440,0)&gt;設定!$C$42,ROUND(($I918-$K918)*1440,0),0))</f>
        <v/>
      </c>
      <c r="Q918" s="82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79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0">
        <f>IF($G919="","",IFERROR(INDEX(設定!$D$6:$D$18,MATCH($G919,設定!$B$6:$B$18,0)),""))</f>
        <v/>
      </c>
      <c r="I919" s="80">
        <f>IF($G919="","",IFERROR(INDEX(設定!$E$6:$E$18,MATCH($G919,設定!$B$6:$B$18,0)),""))</f>
        <v/>
      </c>
      <c r="J919" s="80">
        <f>IFERROR(INDEX(打卡匯入!$C$3:$C$2002,MATCH($C919&amp;"|"&amp;DAY($A919),打卡匯入!$E$3:$E$2002,0)),"")</f>
        <v/>
      </c>
      <c r="K919" s="80">
        <f>IFERROR(INDEX(打卡匯入!$D$3:$D$2002,MATCH($C919&amp;"|"&amp;DAY($A919),打卡匯入!$E$3:$E$2002,0)),"")</f>
        <v/>
      </c>
      <c r="L919" s="81">
        <f>IF(OR($J919="",$K919=""),"",IFERROR(INDEX(設定!$F$6:$F$18,MATCH($G919,設定!$B$6:$B$18,0)),0))</f>
        <v/>
      </c>
      <c r="M919" s="82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1">
        <f>IF(OR($C919="",$H919="",$J919=""),0,IF(ROUND(($J919-$H919)*1440,0)&gt;設定!$C$42,ROUND(($J919-$H919)*1440,0),0))</f>
        <v/>
      </c>
      <c r="P919" s="81">
        <f>IF(OR($C919="",$I919="",$K919=""),0,IF(ROUND(($I919-$K919)*1440,0)&gt;設定!$C$42,ROUND(($I919-$K919)*1440,0),0))</f>
        <v/>
      </c>
      <c r="Q919" s="82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79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0">
        <f>IF($G920="","",IFERROR(INDEX(設定!$D$6:$D$18,MATCH($G920,設定!$B$6:$B$18,0)),""))</f>
        <v/>
      </c>
      <c r="I920" s="80">
        <f>IF($G920="","",IFERROR(INDEX(設定!$E$6:$E$18,MATCH($G920,設定!$B$6:$B$18,0)),""))</f>
        <v/>
      </c>
      <c r="J920" s="80">
        <f>IFERROR(INDEX(打卡匯入!$C$3:$C$2002,MATCH($C920&amp;"|"&amp;DAY($A920),打卡匯入!$E$3:$E$2002,0)),"")</f>
        <v/>
      </c>
      <c r="K920" s="80">
        <f>IFERROR(INDEX(打卡匯入!$D$3:$D$2002,MATCH($C920&amp;"|"&amp;DAY($A920),打卡匯入!$E$3:$E$2002,0)),"")</f>
        <v/>
      </c>
      <c r="L920" s="81">
        <f>IF(OR($J920="",$K920=""),"",IFERROR(INDEX(設定!$F$6:$F$18,MATCH($G920,設定!$B$6:$B$18,0)),0))</f>
        <v/>
      </c>
      <c r="M920" s="82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1">
        <f>IF(OR($C920="",$H920="",$J920=""),0,IF(ROUND(($J920-$H920)*1440,0)&gt;設定!$C$42,ROUND(($J920-$H920)*1440,0),0))</f>
        <v/>
      </c>
      <c r="P920" s="81">
        <f>IF(OR($C920="",$I920="",$K920=""),0,IF(ROUND(($I920-$K920)*1440,0)&gt;設定!$C$42,ROUND(($I920-$K920)*1440,0),0))</f>
        <v/>
      </c>
      <c r="Q920" s="82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79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0">
        <f>IF($G921="","",IFERROR(INDEX(設定!$D$6:$D$18,MATCH($G921,設定!$B$6:$B$18,0)),""))</f>
        <v/>
      </c>
      <c r="I921" s="80">
        <f>IF($G921="","",IFERROR(INDEX(設定!$E$6:$E$18,MATCH($G921,設定!$B$6:$B$18,0)),""))</f>
        <v/>
      </c>
      <c r="J921" s="80">
        <f>IFERROR(INDEX(打卡匯入!$C$3:$C$2002,MATCH($C921&amp;"|"&amp;DAY($A921),打卡匯入!$E$3:$E$2002,0)),"")</f>
        <v/>
      </c>
      <c r="K921" s="80">
        <f>IFERROR(INDEX(打卡匯入!$D$3:$D$2002,MATCH($C921&amp;"|"&amp;DAY($A921),打卡匯入!$E$3:$E$2002,0)),"")</f>
        <v/>
      </c>
      <c r="L921" s="81">
        <f>IF(OR($J921="",$K921=""),"",IFERROR(INDEX(設定!$F$6:$F$18,MATCH($G921,設定!$B$6:$B$18,0)),0))</f>
        <v/>
      </c>
      <c r="M921" s="82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1">
        <f>IF(OR($C921="",$H921="",$J921=""),0,IF(ROUND(($J921-$H921)*1440,0)&gt;設定!$C$42,ROUND(($J921-$H921)*1440,0),0))</f>
        <v/>
      </c>
      <c r="P921" s="81">
        <f>IF(OR($C921="",$I921="",$K921=""),0,IF(ROUND(($I921-$K921)*1440,0)&gt;設定!$C$42,ROUND(($I921-$K921)*1440,0),0))</f>
        <v/>
      </c>
      <c r="Q921" s="82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79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0">
        <f>IF($G922="","",IFERROR(INDEX(設定!$D$6:$D$18,MATCH($G922,設定!$B$6:$B$18,0)),""))</f>
        <v/>
      </c>
      <c r="I922" s="80">
        <f>IF($G922="","",IFERROR(INDEX(設定!$E$6:$E$18,MATCH($G922,設定!$B$6:$B$18,0)),""))</f>
        <v/>
      </c>
      <c r="J922" s="80">
        <f>IFERROR(INDEX(打卡匯入!$C$3:$C$2002,MATCH($C922&amp;"|"&amp;DAY($A922),打卡匯入!$E$3:$E$2002,0)),"")</f>
        <v/>
      </c>
      <c r="K922" s="80">
        <f>IFERROR(INDEX(打卡匯入!$D$3:$D$2002,MATCH($C922&amp;"|"&amp;DAY($A922),打卡匯入!$E$3:$E$2002,0)),"")</f>
        <v/>
      </c>
      <c r="L922" s="81">
        <f>IF(OR($J922="",$K922=""),"",IFERROR(INDEX(設定!$F$6:$F$18,MATCH($G922,設定!$B$6:$B$18,0)),0))</f>
        <v/>
      </c>
      <c r="M922" s="82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1">
        <f>IF(OR($C922="",$H922="",$J922=""),0,IF(ROUND(($J922-$H922)*1440,0)&gt;設定!$C$42,ROUND(($J922-$H922)*1440,0),0))</f>
        <v/>
      </c>
      <c r="P922" s="81">
        <f>IF(OR($C922="",$I922="",$K922=""),0,IF(ROUND(($I922-$K922)*1440,0)&gt;設定!$C$42,ROUND(($I922-$K922)*1440,0),0))</f>
        <v/>
      </c>
      <c r="Q922" s="82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79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0">
        <f>IF($G923="","",IFERROR(INDEX(設定!$D$6:$D$18,MATCH($G923,設定!$B$6:$B$18,0)),""))</f>
        <v/>
      </c>
      <c r="I923" s="80">
        <f>IF($G923="","",IFERROR(INDEX(設定!$E$6:$E$18,MATCH($G923,設定!$B$6:$B$18,0)),""))</f>
        <v/>
      </c>
      <c r="J923" s="80">
        <f>IFERROR(INDEX(打卡匯入!$C$3:$C$2002,MATCH($C923&amp;"|"&amp;DAY($A923),打卡匯入!$E$3:$E$2002,0)),"")</f>
        <v/>
      </c>
      <c r="K923" s="80">
        <f>IFERROR(INDEX(打卡匯入!$D$3:$D$2002,MATCH($C923&amp;"|"&amp;DAY($A923),打卡匯入!$E$3:$E$2002,0)),"")</f>
        <v/>
      </c>
      <c r="L923" s="81">
        <f>IF(OR($J923="",$K923=""),"",IFERROR(INDEX(設定!$F$6:$F$18,MATCH($G923,設定!$B$6:$B$18,0)),0))</f>
        <v/>
      </c>
      <c r="M923" s="82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1">
        <f>IF(OR($C923="",$H923="",$J923=""),0,IF(ROUND(($J923-$H923)*1440,0)&gt;設定!$C$42,ROUND(($J923-$H923)*1440,0),0))</f>
        <v/>
      </c>
      <c r="P923" s="81">
        <f>IF(OR($C923="",$I923="",$K923=""),0,IF(ROUND(($I923-$K923)*1440,0)&gt;設定!$C$42,ROUND(($I923-$K923)*1440,0),0))</f>
        <v/>
      </c>
      <c r="Q923" s="82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79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0">
        <f>IF($G924="","",IFERROR(INDEX(設定!$D$6:$D$18,MATCH($G924,設定!$B$6:$B$18,0)),""))</f>
        <v/>
      </c>
      <c r="I924" s="80">
        <f>IF($G924="","",IFERROR(INDEX(設定!$E$6:$E$18,MATCH($G924,設定!$B$6:$B$18,0)),""))</f>
        <v/>
      </c>
      <c r="J924" s="80">
        <f>IFERROR(INDEX(打卡匯入!$C$3:$C$2002,MATCH($C924&amp;"|"&amp;DAY($A924),打卡匯入!$E$3:$E$2002,0)),"")</f>
        <v/>
      </c>
      <c r="K924" s="80">
        <f>IFERROR(INDEX(打卡匯入!$D$3:$D$2002,MATCH($C924&amp;"|"&amp;DAY($A924),打卡匯入!$E$3:$E$2002,0)),"")</f>
        <v/>
      </c>
      <c r="L924" s="81">
        <f>IF(OR($J924="",$K924=""),"",IFERROR(INDEX(設定!$F$6:$F$18,MATCH($G924,設定!$B$6:$B$18,0)),0))</f>
        <v/>
      </c>
      <c r="M924" s="82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1">
        <f>IF(OR($C924="",$H924="",$J924=""),0,IF(ROUND(($J924-$H924)*1440,0)&gt;設定!$C$42,ROUND(($J924-$H924)*1440,0),0))</f>
        <v/>
      </c>
      <c r="P924" s="81">
        <f>IF(OR($C924="",$I924="",$K924=""),0,IF(ROUND(($I924-$K924)*1440,0)&gt;設定!$C$42,ROUND(($I924-$K924)*1440,0),0))</f>
        <v/>
      </c>
      <c r="Q924" s="82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79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0">
        <f>IF($G925="","",IFERROR(INDEX(設定!$D$6:$D$18,MATCH($G925,設定!$B$6:$B$18,0)),""))</f>
        <v/>
      </c>
      <c r="I925" s="80">
        <f>IF($G925="","",IFERROR(INDEX(設定!$E$6:$E$18,MATCH($G925,設定!$B$6:$B$18,0)),""))</f>
        <v/>
      </c>
      <c r="J925" s="80">
        <f>IFERROR(INDEX(打卡匯入!$C$3:$C$2002,MATCH($C925&amp;"|"&amp;DAY($A925),打卡匯入!$E$3:$E$2002,0)),"")</f>
        <v/>
      </c>
      <c r="K925" s="80">
        <f>IFERROR(INDEX(打卡匯入!$D$3:$D$2002,MATCH($C925&amp;"|"&amp;DAY($A925),打卡匯入!$E$3:$E$2002,0)),"")</f>
        <v/>
      </c>
      <c r="L925" s="81">
        <f>IF(OR($J925="",$K925=""),"",IFERROR(INDEX(設定!$F$6:$F$18,MATCH($G925,設定!$B$6:$B$18,0)),0))</f>
        <v/>
      </c>
      <c r="M925" s="82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1">
        <f>IF(OR($C925="",$H925="",$J925=""),0,IF(ROUND(($J925-$H925)*1440,0)&gt;設定!$C$42,ROUND(($J925-$H925)*1440,0),0))</f>
        <v/>
      </c>
      <c r="P925" s="81">
        <f>IF(OR($C925="",$I925="",$K925=""),0,IF(ROUND(($I925-$K925)*1440,0)&gt;設定!$C$42,ROUND(($I925-$K925)*1440,0),0))</f>
        <v/>
      </c>
      <c r="Q925" s="82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79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0">
        <f>IF($G926="","",IFERROR(INDEX(設定!$D$6:$D$18,MATCH($G926,設定!$B$6:$B$18,0)),""))</f>
        <v/>
      </c>
      <c r="I926" s="80">
        <f>IF($G926="","",IFERROR(INDEX(設定!$E$6:$E$18,MATCH($G926,設定!$B$6:$B$18,0)),""))</f>
        <v/>
      </c>
      <c r="J926" s="80">
        <f>IFERROR(INDEX(打卡匯入!$C$3:$C$2002,MATCH($C926&amp;"|"&amp;DAY($A926),打卡匯入!$E$3:$E$2002,0)),"")</f>
        <v/>
      </c>
      <c r="K926" s="80">
        <f>IFERROR(INDEX(打卡匯入!$D$3:$D$2002,MATCH($C926&amp;"|"&amp;DAY($A926),打卡匯入!$E$3:$E$2002,0)),"")</f>
        <v/>
      </c>
      <c r="L926" s="81">
        <f>IF(OR($J926="",$K926=""),"",IFERROR(INDEX(設定!$F$6:$F$18,MATCH($G926,設定!$B$6:$B$18,0)),0))</f>
        <v/>
      </c>
      <c r="M926" s="82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1">
        <f>IF(OR($C926="",$H926="",$J926=""),0,IF(ROUND(($J926-$H926)*1440,0)&gt;設定!$C$42,ROUND(($J926-$H926)*1440,0),0))</f>
        <v/>
      </c>
      <c r="P926" s="81">
        <f>IF(OR($C926="",$I926="",$K926=""),0,IF(ROUND(($I926-$K926)*1440,0)&gt;設定!$C$42,ROUND(($I926-$K926)*1440,0),0))</f>
        <v/>
      </c>
      <c r="Q926" s="82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79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0">
        <f>IF($G927="","",IFERROR(INDEX(設定!$D$6:$D$18,MATCH($G927,設定!$B$6:$B$18,0)),""))</f>
        <v/>
      </c>
      <c r="I927" s="80">
        <f>IF($G927="","",IFERROR(INDEX(設定!$E$6:$E$18,MATCH($G927,設定!$B$6:$B$18,0)),""))</f>
        <v/>
      </c>
      <c r="J927" s="80">
        <f>IFERROR(INDEX(打卡匯入!$C$3:$C$2002,MATCH($C927&amp;"|"&amp;DAY($A927),打卡匯入!$E$3:$E$2002,0)),"")</f>
        <v/>
      </c>
      <c r="K927" s="80">
        <f>IFERROR(INDEX(打卡匯入!$D$3:$D$2002,MATCH($C927&amp;"|"&amp;DAY($A927),打卡匯入!$E$3:$E$2002,0)),"")</f>
        <v/>
      </c>
      <c r="L927" s="81">
        <f>IF(OR($J927="",$K927=""),"",IFERROR(INDEX(設定!$F$6:$F$18,MATCH($G927,設定!$B$6:$B$18,0)),0))</f>
        <v/>
      </c>
      <c r="M927" s="82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1">
        <f>IF(OR($C927="",$H927="",$J927=""),0,IF(ROUND(($J927-$H927)*1440,0)&gt;設定!$C$42,ROUND(($J927-$H927)*1440,0),0))</f>
        <v/>
      </c>
      <c r="P927" s="81">
        <f>IF(OR($C927="",$I927="",$K927=""),0,IF(ROUND(($I927-$K927)*1440,0)&gt;設定!$C$42,ROUND(($I927-$K927)*1440,0),0))</f>
        <v/>
      </c>
      <c r="Q927" s="82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79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0">
        <f>IF($G928="","",IFERROR(INDEX(設定!$D$6:$D$18,MATCH($G928,設定!$B$6:$B$18,0)),""))</f>
        <v/>
      </c>
      <c r="I928" s="80">
        <f>IF($G928="","",IFERROR(INDEX(設定!$E$6:$E$18,MATCH($G928,設定!$B$6:$B$18,0)),""))</f>
        <v/>
      </c>
      <c r="J928" s="80">
        <f>IFERROR(INDEX(打卡匯入!$C$3:$C$2002,MATCH($C928&amp;"|"&amp;DAY($A928),打卡匯入!$E$3:$E$2002,0)),"")</f>
        <v/>
      </c>
      <c r="K928" s="80">
        <f>IFERROR(INDEX(打卡匯入!$D$3:$D$2002,MATCH($C928&amp;"|"&amp;DAY($A928),打卡匯入!$E$3:$E$2002,0)),"")</f>
        <v/>
      </c>
      <c r="L928" s="81">
        <f>IF(OR($J928="",$K928=""),"",IFERROR(INDEX(設定!$F$6:$F$18,MATCH($G928,設定!$B$6:$B$18,0)),0))</f>
        <v/>
      </c>
      <c r="M928" s="82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1">
        <f>IF(OR($C928="",$H928="",$J928=""),0,IF(ROUND(($J928-$H928)*1440,0)&gt;設定!$C$42,ROUND(($J928-$H928)*1440,0),0))</f>
        <v/>
      </c>
      <c r="P928" s="81">
        <f>IF(OR($C928="",$I928="",$K928=""),0,IF(ROUND(($I928-$K928)*1440,0)&gt;設定!$C$42,ROUND(($I928-$K928)*1440,0),0))</f>
        <v/>
      </c>
      <c r="Q928" s="82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79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0">
        <f>IF($G929="","",IFERROR(INDEX(設定!$D$6:$D$18,MATCH($G929,設定!$B$6:$B$18,0)),""))</f>
        <v/>
      </c>
      <c r="I929" s="80">
        <f>IF($G929="","",IFERROR(INDEX(設定!$E$6:$E$18,MATCH($G929,設定!$B$6:$B$18,0)),""))</f>
        <v/>
      </c>
      <c r="J929" s="80">
        <f>IFERROR(INDEX(打卡匯入!$C$3:$C$2002,MATCH($C929&amp;"|"&amp;DAY($A929),打卡匯入!$E$3:$E$2002,0)),"")</f>
        <v/>
      </c>
      <c r="K929" s="80">
        <f>IFERROR(INDEX(打卡匯入!$D$3:$D$2002,MATCH($C929&amp;"|"&amp;DAY($A929),打卡匯入!$E$3:$E$2002,0)),"")</f>
        <v/>
      </c>
      <c r="L929" s="81">
        <f>IF(OR($J929="",$K929=""),"",IFERROR(INDEX(設定!$F$6:$F$18,MATCH($G929,設定!$B$6:$B$18,0)),0))</f>
        <v/>
      </c>
      <c r="M929" s="82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1">
        <f>IF(OR($C929="",$H929="",$J929=""),0,IF(ROUND(($J929-$H929)*1440,0)&gt;設定!$C$42,ROUND(($J929-$H929)*1440,0),0))</f>
        <v/>
      </c>
      <c r="P929" s="81">
        <f>IF(OR($C929="",$I929="",$K929=""),0,IF(ROUND(($I929-$K929)*1440,0)&gt;設定!$C$42,ROUND(($I929-$K929)*1440,0),0))</f>
        <v/>
      </c>
      <c r="Q929" s="82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79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0">
        <f>IF($G930="","",IFERROR(INDEX(設定!$D$6:$D$18,MATCH($G930,設定!$B$6:$B$18,0)),""))</f>
        <v/>
      </c>
      <c r="I930" s="80">
        <f>IF($G930="","",IFERROR(INDEX(設定!$E$6:$E$18,MATCH($G930,設定!$B$6:$B$18,0)),""))</f>
        <v/>
      </c>
      <c r="J930" s="80">
        <f>IFERROR(INDEX(打卡匯入!$C$3:$C$2002,MATCH($C930&amp;"|"&amp;DAY($A930),打卡匯入!$E$3:$E$2002,0)),"")</f>
        <v/>
      </c>
      <c r="K930" s="80">
        <f>IFERROR(INDEX(打卡匯入!$D$3:$D$2002,MATCH($C930&amp;"|"&amp;DAY($A930),打卡匯入!$E$3:$E$2002,0)),"")</f>
        <v/>
      </c>
      <c r="L930" s="81">
        <f>IF(OR($J930="",$K930=""),"",IFERROR(INDEX(設定!$F$6:$F$18,MATCH($G930,設定!$B$6:$B$18,0)),0))</f>
        <v/>
      </c>
      <c r="M930" s="82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1">
        <f>IF(OR($C930="",$H930="",$J930=""),0,IF(ROUND(($J930-$H930)*1440,0)&gt;設定!$C$42,ROUND(($J930-$H930)*1440,0),0))</f>
        <v/>
      </c>
      <c r="P930" s="81">
        <f>IF(OR($C930="",$I930="",$K930=""),0,IF(ROUND(($I930-$K930)*1440,0)&gt;設定!$C$42,ROUND(($I930-$K930)*1440,0),0))</f>
        <v/>
      </c>
      <c r="Q930" s="82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79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0">
        <f>IF($G931="","",IFERROR(INDEX(設定!$D$6:$D$18,MATCH($G931,設定!$B$6:$B$18,0)),""))</f>
        <v/>
      </c>
      <c r="I931" s="80">
        <f>IF($G931="","",IFERROR(INDEX(設定!$E$6:$E$18,MATCH($G931,設定!$B$6:$B$18,0)),""))</f>
        <v/>
      </c>
      <c r="J931" s="80">
        <f>IFERROR(INDEX(打卡匯入!$C$3:$C$2002,MATCH($C931&amp;"|"&amp;DAY($A931),打卡匯入!$E$3:$E$2002,0)),"")</f>
        <v/>
      </c>
      <c r="K931" s="80">
        <f>IFERROR(INDEX(打卡匯入!$D$3:$D$2002,MATCH($C931&amp;"|"&amp;DAY($A931),打卡匯入!$E$3:$E$2002,0)),"")</f>
        <v/>
      </c>
      <c r="L931" s="81">
        <f>IF(OR($J931="",$K931=""),"",IFERROR(INDEX(設定!$F$6:$F$18,MATCH($G931,設定!$B$6:$B$18,0)),0))</f>
        <v/>
      </c>
      <c r="M931" s="82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1">
        <f>IF(OR($C931="",$H931="",$J931=""),0,IF(ROUND(($J931-$H931)*1440,0)&gt;設定!$C$42,ROUND(($J931-$H931)*1440,0),0))</f>
        <v/>
      </c>
      <c r="P931" s="81">
        <f>IF(OR($C931="",$I931="",$K931=""),0,IF(ROUND(($I931-$K931)*1440,0)&gt;設定!$C$42,ROUND(($I931-$K931)*1440,0),0))</f>
        <v/>
      </c>
      <c r="Q931" s="82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79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0">
        <f>IF($G932="","",IFERROR(INDEX(設定!$D$6:$D$18,MATCH($G932,設定!$B$6:$B$18,0)),""))</f>
        <v/>
      </c>
      <c r="I932" s="80">
        <f>IF($G932="","",IFERROR(INDEX(設定!$E$6:$E$18,MATCH($G932,設定!$B$6:$B$18,0)),""))</f>
        <v/>
      </c>
      <c r="J932" s="80">
        <f>IFERROR(INDEX(打卡匯入!$C$3:$C$2002,MATCH($C932&amp;"|"&amp;DAY($A932),打卡匯入!$E$3:$E$2002,0)),"")</f>
        <v/>
      </c>
      <c r="K932" s="80">
        <f>IFERROR(INDEX(打卡匯入!$D$3:$D$2002,MATCH($C932&amp;"|"&amp;DAY($A932),打卡匯入!$E$3:$E$2002,0)),"")</f>
        <v/>
      </c>
      <c r="L932" s="81">
        <f>IF(OR($J932="",$K932=""),"",IFERROR(INDEX(設定!$F$6:$F$18,MATCH($G932,設定!$B$6:$B$18,0)),0))</f>
        <v/>
      </c>
      <c r="M932" s="82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1">
        <f>IF(OR($C932="",$H932="",$J932=""),0,IF(ROUND(($J932-$H932)*1440,0)&gt;設定!$C$42,ROUND(($J932-$H932)*1440,0),0))</f>
        <v/>
      </c>
      <c r="P932" s="81">
        <f>IF(OR($C932="",$I932="",$K932=""),0,IF(ROUND(($I932-$K932)*1440,0)&gt;設定!$C$42,ROUND(($I932-$K932)*1440,0),0))</f>
        <v/>
      </c>
      <c r="Q932" s="82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79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0">
        <f>IF($G933="","",IFERROR(INDEX(設定!$D$6:$D$18,MATCH($G933,設定!$B$6:$B$18,0)),""))</f>
        <v/>
      </c>
      <c r="I933" s="80">
        <f>IF($G933="","",IFERROR(INDEX(設定!$E$6:$E$18,MATCH($G933,設定!$B$6:$B$18,0)),""))</f>
        <v/>
      </c>
      <c r="J933" s="80">
        <f>IFERROR(INDEX(打卡匯入!$C$3:$C$2002,MATCH($C933&amp;"|"&amp;DAY($A933),打卡匯入!$E$3:$E$2002,0)),"")</f>
        <v/>
      </c>
      <c r="K933" s="80">
        <f>IFERROR(INDEX(打卡匯入!$D$3:$D$2002,MATCH($C933&amp;"|"&amp;DAY($A933),打卡匯入!$E$3:$E$2002,0)),"")</f>
        <v/>
      </c>
      <c r="L933" s="81">
        <f>IF(OR($J933="",$K933=""),"",IFERROR(INDEX(設定!$F$6:$F$18,MATCH($G933,設定!$B$6:$B$18,0)),0))</f>
        <v/>
      </c>
      <c r="M933" s="82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1">
        <f>IF(OR($C933="",$H933="",$J933=""),0,IF(ROUND(($J933-$H933)*1440,0)&gt;設定!$C$42,ROUND(($J933-$H933)*1440,0),0))</f>
        <v/>
      </c>
      <c r="P933" s="81">
        <f>IF(OR($C933="",$I933="",$K933=""),0,IF(ROUND(($I933-$K933)*1440,0)&gt;設定!$C$42,ROUND(($I933-$K933)*1440,0),0))</f>
        <v/>
      </c>
      <c r="Q933" s="82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79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0">
        <f>IF($G934="","",IFERROR(INDEX(設定!$D$6:$D$18,MATCH($G934,設定!$B$6:$B$18,0)),""))</f>
        <v/>
      </c>
      <c r="I934" s="80">
        <f>IF($G934="","",IFERROR(INDEX(設定!$E$6:$E$18,MATCH($G934,設定!$B$6:$B$18,0)),""))</f>
        <v/>
      </c>
      <c r="J934" s="80">
        <f>IFERROR(INDEX(打卡匯入!$C$3:$C$2002,MATCH($C934&amp;"|"&amp;DAY($A934),打卡匯入!$E$3:$E$2002,0)),"")</f>
        <v/>
      </c>
      <c r="K934" s="80">
        <f>IFERROR(INDEX(打卡匯入!$D$3:$D$2002,MATCH($C934&amp;"|"&amp;DAY($A934),打卡匯入!$E$3:$E$2002,0)),"")</f>
        <v/>
      </c>
      <c r="L934" s="81">
        <f>IF(OR($J934="",$K934=""),"",IFERROR(INDEX(設定!$F$6:$F$18,MATCH($G934,設定!$B$6:$B$18,0)),0))</f>
        <v/>
      </c>
      <c r="M934" s="82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1">
        <f>IF(OR($C934="",$H934="",$J934=""),0,IF(ROUND(($J934-$H934)*1440,0)&gt;設定!$C$42,ROUND(($J934-$H934)*1440,0),0))</f>
        <v/>
      </c>
      <c r="P934" s="81">
        <f>IF(OR($C934="",$I934="",$K934=""),0,IF(ROUND(($I934-$K934)*1440,0)&gt;設定!$C$42,ROUND(($I934-$K934)*1440,0),0))</f>
        <v/>
      </c>
      <c r="Q934" s="82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79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0">
        <f>IF($G935="","",IFERROR(INDEX(設定!$D$6:$D$18,MATCH($G935,設定!$B$6:$B$18,0)),""))</f>
        <v/>
      </c>
      <c r="I935" s="80">
        <f>IF($G935="","",IFERROR(INDEX(設定!$E$6:$E$18,MATCH($G935,設定!$B$6:$B$18,0)),""))</f>
        <v/>
      </c>
      <c r="J935" s="80">
        <f>IFERROR(INDEX(打卡匯入!$C$3:$C$2002,MATCH($C935&amp;"|"&amp;DAY($A935),打卡匯入!$E$3:$E$2002,0)),"")</f>
        <v/>
      </c>
      <c r="K935" s="80">
        <f>IFERROR(INDEX(打卡匯入!$D$3:$D$2002,MATCH($C935&amp;"|"&amp;DAY($A935),打卡匯入!$E$3:$E$2002,0)),"")</f>
        <v/>
      </c>
      <c r="L935" s="81">
        <f>IF(OR($J935="",$K935=""),"",IFERROR(INDEX(設定!$F$6:$F$18,MATCH($G935,設定!$B$6:$B$18,0)),0))</f>
        <v/>
      </c>
      <c r="M935" s="82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1">
        <f>IF(OR($C935="",$H935="",$J935=""),0,IF(ROUND(($J935-$H935)*1440,0)&gt;設定!$C$42,ROUND(($J935-$H935)*1440,0),0))</f>
        <v/>
      </c>
      <c r="P935" s="81">
        <f>IF(OR($C935="",$I935="",$K935=""),0,IF(ROUND(($I935-$K935)*1440,0)&gt;設定!$C$42,ROUND(($I935-$K935)*1440,0),0))</f>
        <v/>
      </c>
      <c r="Q935" s="82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79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0">
        <f>IF($G936="","",IFERROR(INDEX(設定!$D$6:$D$18,MATCH($G936,設定!$B$6:$B$18,0)),""))</f>
        <v/>
      </c>
      <c r="I936" s="80">
        <f>IF($G936="","",IFERROR(INDEX(設定!$E$6:$E$18,MATCH($G936,設定!$B$6:$B$18,0)),""))</f>
        <v/>
      </c>
      <c r="J936" s="80">
        <f>IFERROR(INDEX(打卡匯入!$C$3:$C$2002,MATCH($C936&amp;"|"&amp;DAY($A936),打卡匯入!$E$3:$E$2002,0)),"")</f>
        <v/>
      </c>
      <c r="K936" s="80">
        <f>IFERROR(INDEX(打卡匯入!$D$3:$D$2002,MATCH($C936&amp;"|"&amp;DAY($A936),打卡匯入!$E$3:$E$2002,0)),"")</f>
        <v/>
      </c>
      <c r="L936" s="81">
        <f>IF(OR($J936="",$K936=""),"",IFERROR(INDEX(設定!$F$6:$F$18,MATCH($G936,設定!$B$6:$B$18,0)),0))</f>
        <v/>
      </c>
      <c r="M936" s="82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1">
        <f>IF(OR($C936="",$H936="",$J936=""),0,IF(ROUND(($J936-$H936)*1440,0)&gt;設定!$C$42,ROUND(($J936-$H936)*1440,0),0))</f>
        <v/>
      </c>
      <c r="P936" s="81">
        <f>IF(OR($C936="",$I936="",$K936=""),0,IF(ROUND(($I936-$K936)*1440,0)&gt;設定!$C$42,ROUND(($I936-$K936)*1440,0),0))</f>
        <v/>
      </c>
      <c r="Q936" s="82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79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0">
        <f>IF($G937="","",IFERROR(INDEX(設定!$D$6:$D$18,MATCH($G937,設定!$B$6:$B$18,0)),""))</f>
        <v/>
      </c>
      <c r="I937" s="80">
        <f>IF($G937="","",IFERROR(INDEX(設定!$E$6:$E$18,MATCH($G937,設定!$B$6:$B$18,0)),""))</f>
        <v/>
      </c>
      <c r="J937" s="80">
        <f>IFERROR(INDEX(打卡匯入!$C$3:$C$2002,MATCH($C937&amp;"|"&amp;DAY($A937),打卡匯入!$E$3:$E$2002,0)),"")</f>
        <v/>
      </c>
      <c r="K937" s="80">
        <f>IFERROR(INDEX(打卡匯入!$D$3:$D$2002,MATCH($C937&amp;"|"&amp;DAY($A937),打卡匯入!$E$3:$E$2002,0)),"")</f>
        <v/>
      </c>
      <c r="L937" s="81">
        <f>IF(OR($J937="",$K937=""),"",IFERROR(INDEX(設定!$F$6:$F$18,MATCH($G937,設定!$B$6:$B$18,0)),0))</f>
        <v/>
      </c>
      <c r="M937" s="82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1">
        <f>IF(OR($C937="",$H937="",$J937=""),0,IF(ROUND(($J937-$H937)*1440,0)&gt;設定!$C$42,ROUND(($J937-$H937)*1440,0),0))</f>
        <v/>
      </c>
      <c r="P937" s="81">
        <f>IF(OR($C937="",$I937="",$K937=""),0,IF(ROUND(($I937-$K937)*1440,0)&gt;設定!$C$42,ROUND(($I937-$K937)*1440,0),0))</f>
        <v/>
      </c>
      <c r="Q937" s="82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79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0">
        <f>IF($G938="","",IFERROR(INDEX(設定!$D$6:$D$18,MATCH($G938,設定!$B$6:$B$18,0)),""))</f>
        <v/>
      </c>
      <c r="I938" s="80">
        <f>IF($G938="","",IFERROR(INDEX(設定!$E$6:$E$18,MATCH($G938,設定!$B$6:$B$18,0)),""))</f>
        <v/>
      </c>
      <c r="J938" s="80">
        <f>IFERROR(INDEX(打卡匯入!$C$3:$C$2002,MATCH($C938&amp;"|"&amp;DAY($A938),打卡匯入!$E$3:$E$2002,0)),"")</f>
        <v/>
      </c>
      <c r="K938" s="80">
        <f>IFERROR(INDEX(打卡匯入!$D$3:$D$2002,MATCH($C938&amp;"|"&amp;DAY($A938),打卡匯入!$E$3:$E$2002,0)),"")</f>
        <v/>
      </c>
      <c r="L938" s="81">
        <f>IF(OR($J938="",$K938=""),"",IFERROR(INDEX(設定!$F$6:$F$18,MATCH($G938,設定!$B$6:$B$18,0)),0))</f>
        <v/>
      </c>
      <c r="M938" s="82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1">
        <f>IF(OR($C938="",$H938="",$J938=""),0,IF(ROUND(($J938-$H938)*1440,0)&gt;設定!$C$42,ROUND(($J938-$H938)*1440,0),0))</f>
        <v/>
      </c>
      <c r="P938" s="81">
        <f>IF(OR($C938="",$I938="",$K938=""),0,IF(ROUND(($I938-$K938)*1440,0)&gt;設定!$C$42,ROUND(($I938-$K938)*1440,0),0))</f>
        <v/>
      </c>
      <c r="Q938" s="82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79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0">
        <f>IF($G939="","",IFERROR(INDEX(設定!$D$6:$D$18,MATCH($G939,設定!$B$6:$B$18,0)),""))</f>
        <v/>
      </c>
      <c r="I939" s="80">
        <f>IF($G939="","",IFERROR(INDEX(設定!$E$6:$E$18,MATCH($G939,設定!$B$6:$B$18,0)),""))</f>
        <v/>
      </c>
      <c r="J939" s="80">
        <f>IFERROR(INDEX(打卡匯入!$C$3:$C$2002,MATCH($C939&amp;"|"&amp;DAY($A939),打卡匯入!$E$3:$E$2002,0)),"")</f>
        <v/>
      </c>
      <c r="K939" s="80">
        <f>IFERROR(INDEX(打卡匯入!$D$3:$D$2002,MATCH($C939&amp;"|"&amp;DAY($A939),打卡匯入!$E$3:$E$2002,0)),"")</f>
        <v/>
      </c>
      <c r="L939" s="81">
        <f>IF(OR($J939="",$K939=""),"",IFERROR(INDEX(設定!$F$6:$F$18,MATCH($G939,設定!$B$6:$B$18,0)),0))</f>
        <v/>
      </c>
      <c r="M939" s="82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1">
        <f>IF(OR($C939="",$H939="",$J939=""),0,IF(ROUND(($J939-$H939)*1440,0)&gt;設定!$C$42,ROUND(($J939-$H939)*1440,0),0))</f>
        <v/>
      </c>
      <c r="P939" s="81">
        <f>IF(OR($C939="",$I939="",$K939=""),0,IF(ROUND(($I939-$K939)*1440,0)&gt;設定!$C$42,ROUND(($I939-$K939)*1440,0),0))</f>
        <v/>
      </c>
      <c r="Q939" s="82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79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0">
        <f>IF($G940="","",IFERROR(INDEX(設定!$D$6:$D$18,MATCH($G940,設定!$B$6:$B$18,0)),""))</f>
        <v/>
      </c>
      <c r="I940" s="80">
        <f>IF($G940="","",IFERROR(INDEX(設定!$E$6:$E$18,MATCH($G940,設定!$B$6:$B$18,0)),""))</f>
        <v/>
      </c>
      <c r="J940" s="80">
        <f>IFERROR(INDEX(打卡匯入!$C$3:$C$2002,MATCH($C940&amp;"|"&amp;DAY($A940),打卡匯入!$E$3:$E$2002,0)),"")</f>
        <v/>
      </c>
      <c r="K940" s="80">
        <f>IFERROR(INDEX(打卡匯入!$D$3:$D$2002,MATCH($C940&amp;"|"&amp;DAY($A940),打卡匯入!$E$3:$E$2002,0)),"")</f>
        <v/>
      </c>
      <c r="L940" s="81">
        <f>IF(OR($J940="",$K940=""),"",IFERROR(INDEX(設定!$F$6:$F$18,MATCH($G940,設定!$B$6:$B$18,0)),0))</f>
        <v/>
      </c>
      <c r="M940" s="82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1">
        <f>IF(OR($C940="",$H940="",$J940=""),0,IF(ROUND(($J940-$H940)*1440,0)&gt;設定!$C$42,ROUND(($J940-$H940)*1440,0),0))</f>
        <v/>
      </c>
      <c r="P940" s="81">
        <f>IF(OR($C940="",$I940="",$K940=""),0,IF(ROUND(($I940-$K940)*1440,0)&gt;設定!$C$42,ROUND(($I940-$K940)*1440,0),0))</f>
        <v/>
      </c>
      <c r="Q940" s="82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79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0">
        <f>IF($G941="","",IFERROR(INDEX(設定!$D$6:$D$18,MATCH($G941,設定!$B$6:$B$18,0)),""))</f>
        <v/>
      </c>
      <c r="I941" s="80">
        <f>IF($G941="","",IFERROR(INDEX(設定!$E$6:$E$18,MATCH($G941,設定!$B$6:$B$18,0)),""))</f>
        <v/>
      </c>
      <c r="J941" s="80">
        <f>IFERROR(INDEX(打卡匯入!$C$3:$C$2002,MATCH($C941&amp;"|"&amp;DAY($A941),打卡匯入!$E$3:$E$2002,0)),"")</f>
        <v/>
      </c>
      <c r="K941" s="80">
        <f>IFERROR(INDEX(打卡匯入!$D$3:$D$2002,MATCH($C941&amp;"|"&amp;DAY($A941),打卡匯入!$E$3:$E$2002,0)),"")</f>
        <v/>
      </c>
      <c r="L941" s="81">
        <f>IF(OR($J941="",$K941=""),"",IFERROR(INDEX(設定!$F$6:$F$18,MATCH($G941,設定!$B$6:$B$18,0)),0))</f>
        <v/>
      </c>
      <c r="M941" s="82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1">
        <f>IF(OR($C941="",$H941="",$J941=""),0,IF(ROUND(($J941-$H941)*1440,0)&gt;設定!$C$42,ROUND(($J941-$H941)*1440,0),0))</f>
        <v/>
      </c>
      <c r="P941" s="81">
        <f>IF(OR($C941="",$I941="",$K941=""),0,IF(ROUND(($I941-$K941)*1440,0)&gt;設定!$C$42,ROUND(($I941-$K941)*1440,0),0))</f>
        <v/>
      </c>
      <c r="Q941" s="82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79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0">
        <f>IF($G942="","",IFERROR(INDEX(設定!$D$6:$D$18,MATCH($G942,設定!$B$6:$B$18,0)),""))</f>
        <v/>
      </c>
      <c r="I942" s="80">
        <f>IF($G942="","",IFERROR(INDEX(設定!$E$6:$E$18,MATCH($G942,設定!$B$6:$B$18,0)),""))</f>
        <v/>
      </c>
      <c r="J942" s="80">
        <f>IFERROR(INDEX(打卡匯入!$C$3:$C$2002,MATCH($C942&amp;"|"&amp;DAY($A942),打卡匯入!$E$3:$E$2002,0)),"")</f>
        <v/>
      </c>
      <c r="K942" s="80">
        <f>IFERROR(INDEX(打卡匯入!$D$3:$D$2002,MATCH($C942&amp;"|"&amp;DAY($A942),打卡匯入!$E$3:$E$2002,0)),"")</f>
        <v/>
      </c>
      <c r="L942" s="81">
        <f>IF(OR($J942="",$K942=""),"",IFERROR(INDEX(設定!$F$6:$F$18,MATCH($G942,設定!$B$6:$B$18,0)),0))</f>
        <v/>
      </c>
      <c r="M942" s="82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1">
        <f>IF(OR($C942="",$H942="",$J942=""),0,IF(ROUND(($J942-$H942)*1440,0)&gt;設定!$C$42,ROUND(($J942-$H942)*1440,0),0))</f>
        <v/>
      </c>
      <c r="P942" s="81">
        <f>IF(OR($C942="",$I942="",$K942=""),0,IF(ROUND(($I942-$K942)*1440,0)&gt;設定!$C$42,ROUND(($I942-$K942)*1440,0),0))</f>
        <v/>
      </c>
      <c r="Q942" s="82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79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0">
        <f>IF($G943="","",IFERROR(INDEX(設定!$D$6:$D$18,MATCH($G943,設定!$B$6:$B$18,0)),""))</f>
        <v/>
      </c>
      <c r="I943" s="80">
        <f>IF($G943="","",IFERROR(INDEX(設定!$E$6:$E$18,MATCH($G943,設定!$B$6:$B$18,0)),""))</f>
        <v/>
      </c>
      <c r="J943" s="80">
        <f>IFERROR(INDEX(打卡匯入!$C$3:$C$2002,MATCH($C943&amp;"|"&amp;DAY($A943),打卡匯入!$E$3:$E$2002,0)),"")</f>
        <v/>
      </c>
      <c r="K943" s="80">
        <f>IFERROR(INDEX(打卡匯入!$D$3:$D$2002,MATCH($C943&amp;"|"&amp;DAY($A943),打卡匯入!$E$3:$E$2002,0)),"")</f>
        <v/>
      </c>
      <c r="L943" s="81">
        <f>IF(OR($J943="",$K943=""),"",IFERROR(INDEX(設定!$F$6:$F$18,MATCH($G943,設定!$B$6:$B$18,0)),0))</f>
        <v/>
      </c>
      <c r="M943" s="82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1">
        <f>IF(OR($C943="",$H943="",$J943=""),0,IF(ROUND(($J943-$H943)*1440,0)&gt;設定!$C$42,ROUND(($J943-$H943)*1440,0),0))</f>
        <v/>
      </c>
      <c r="P943" s="81">
        <f>IF(OR($C943="",$I943="",$K943=""),0,IF(ROUND(($I943-$K943)*1440,0)&gt;設定!$C$42,ROUND(($I943-$K943)*1440,0),0))</f>
        <v/>
      </c>
      <c r="Q943" s="82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79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0">
        <f>IF($G944="","",IFERROR(INDEX(設定!$D$6:$D$18,MATCH($G944,設定!$B$6:$B$18,0)),""))</f>
        <v/>
      </c>
      <c r="I944" s="80">
        <f>IF($G944="","",IFERROR(INDEX(設定!$E$6:$E$18,MATCH($G944,設定!$B$6:$B$18,0)),""))</f>
        <v/>
      </c>
      <c r="J944" s="80">
        <f>IFERROR(INDEX(打卡匯入!$C$3:$C$2002,MATCH($C944&amp;"|"&amp;DAY($A944),打卡匯入!$E$3:$E$2002,0)),"")</f>
        <v/>
      </c>
      <c r="K944" s="80">
        <f>IFERROR(INDEX(打卡匯入!$D$3:$D$2002,MATCH($C944&amp;"|"&amp;DAY($A944),打卡匯入!$E$3:$E$2002,0)),"")</f>
        <v/>
      </c>
      <c r="L944" s="81">
        <f>IF(OR($J944="",$K944=""),"",IFERROR(INDEX(設定!$F$6:$F$18,MATCH($G944,設定!$B$6:$B$18,0)),0))</f>
        <v/>
      </c>
      <c r="M944" s="82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1">
        <f>IF(OR($C944="",$H944="",$J944=""),0,IF(ROUND(($J944-$H944)*1440,0)&gt;設定!$C$42,ROUND(($J944-$H944)*1440,0),0))</f>
        <v/>
      </c>
      <c r="P944" s="81">
        <f>IF(OR($C944="",$I944="",$K944=""),0,IF(ROUND(($I944-$K944)*1440,0)&gt;設定!$C$42,ROUND(($I944-$K944)*1440,0),0))</f>
        <v/>
      </c>
      <c r="Q944" s="82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79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0">
        <f>IF($G945="","",IFERROR(INDEX(設定!$D$6:$D$18,MATCH($G945,設定!$B$6:$B$18,0)),""))</f>
        <v/>
      </c>
      <c r="I945" s="80">
        <f>IF($G945="","",IFERROR(INDEX(設定!$E$6:$E$18,MATCH($G945,設定!$B$6:$B$18,0)),""))</f>
        <v/>
      </c>
      <c r="J945" s="80">
        <f>IFERROR(INDEX(打卡匯入!$C$3:$C$2002,MATCH($C945&amp;"|"&amp;DAY($A945),打卡匯入!$E$3:$E$2002,0)),"")</f>
        <v/>
      </c>
      <c r="K945" s="80">
        <f>IFERROR(INDEX(打卡匯入!$D$3:$D$2002,MATCH($C945&amp;"|"&amp;DAY($A945),打卡匯入!$E$3:$E$2002,0)),"")</f>
        <v/>
      </c>
      <c r="L945" s="81">
        <f>IF(OR($J945="",$K945=""),"",IFERROR(INDEX(設定!$F$6:$F$18,MATCH($G945,設定!$B$6:$B$18,0)),0))</f>
        <v/>
      </c>
      <c r="M945" s="82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1">
        <f>IF(OR($C945="",$H945="",$J945=""),0,IF(ROUND(($J945-$H945)*1440,0)&gt;設定!$C$42,ROUND(($J945-$H945)*1440,0),0))</f>
        <v/>
      </c>
      <c r="P945" s="81">
        <f>IF(OR($C945="",$I945="",$K945=""),0,IF(ROUND(($I945-$K945)*1440,0)&gt;設定!$C$42,ROUND(($I945-$K945)*1440,0),0))</f>
        <v/>
      </c>
      <c r="Q945" s="82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79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0">
        <f>IF($G946="","",IFERROR(INDEX(設定!$D$6:$D$18,MATCH($G946,設定!$B$6:$B$18,0)),""))</f>
        <v/>
      </c>
      <c r="I946" s="80">
        <f>IF($G946="","",IFERROR(INDEX(設定!$E$6:$E$18,MATCH($G946,設定!$B$6:$B$18,0)),""))</f>
        <v/>
      </c>
      <c r="J946" s="80">
        <f>IFERROR(INDEX(打卡匯入!$C$3:$C$2002,MATCH($C946&amp;"|"&amp;DAY($A946),打卡匯入!$E$3:$E$2002,0)),"")</f>
        <v/>
      </c>
      <c r="K946" s="80">
        <f>IFERROR(INDEX(打卡匯入!$D$3:$D$2002,MATCH($C946&amp;"|"&amp;DAY($A946),打卡匯入!$E$3:$E$2002,0)),"")</f>
        <v/>
      </c>
      <c r="L946" s="81">
        <f>IF(OR($J946="",$K946=""),"",IFERROR(INDEX(設定!$F$6:$F$18,MATCH($G946,設定!$B$6:$B$18,0)),0))</f>
        <v/>
      </c>
      <c r="M946" s="82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1">
        <f>IF(OR($C946="",$H946="",$J946=""),0,IF(ROUND(($J946-$H946)*1440,0)&gt;設定!$C$42,ROUND(($J946-$H946)*1440,0),0))</f>
        <v/>
      </c>
      <c r="P946" s="81">
        <f>IF(OR($C946="",$I946="",$K946=""),0,IF(ROUND(($I946-$K946)*1440,0)&gt;設定!$C$42,ROUND(($I946-$K946)*1440,0),0))</f>
        <v/>
      </c>
      <c r="Q946" s="82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79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0">
        <f>IF($G947="","",IFERROR(INDEX(設定!$D$6:$D$18,MATCH($G947,設定!$B$6:$B$18,0)),""))</f>
        <v/>
      </c>
      <c r="I947" s="80">
        <f>IF($G947="","",IFERROR(INDEX(設定!$E$6:$E$18,MATCH($G947,設定!$B$6:$B$18,0)),""))</f>
        <v/>
      </c>
      <c r="J947" s="80">
        <f>IFERROR(INDEX(打卡匯入!$C$3:$C$2002,MATCH($C947&amp;"|"&amp;DAY($A947),打卡匯入!$E$3:$E$2002,0)),"")</f>
        <v/>
      </c>
      <c r="K947" s="80">
        <f>IFERROR(INDEX(打卡匯入!$D$3:$D$2002,MATCH($C947&amp;"|"&amp;DAY($A947),打卡匯入!$E$3:$E$2002,0)),"")</f>
        <v/>
      </c>
      <c r="L947" s="81">
        <f>IF(OR($J947="",$K947=""),"",IFERROR(INDEX(設定!$F$6:$F$18,MATCH($G947,設定!$B$6:$B$18,0)),0))</f>
        <v/>
      </c>
      <c r="M947" s="82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1">
        <f>IF(OR($C947="",$H947="",$J947=""),0,IF(ROUND(($J947-$H947)*1440,0)&gt;設定!$C$42,ROUND(($J947-$H947)*1440,0),0))</f>
        <v/>
      </c>
      <c r="P947" s="81">
        <f>IF(OR($C947="",$I947="",$K947=""),0,IF(ROUND(($I947-$K947)*1440,0)&gt;設定!$C$42,ROUND(($I947-$K947)*1440,0),0))</f>
        <v/>
      </c>
      <c r="Q947" s="82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79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0">
        <f>IF($G948="","",IFERROR(INDEX(設定!$D$6:$D$18,MATCH($G948,設定!$B$6:$B$18,0)),""))</f>
        <v/>
      </c>
      <c r="I948" s="80">
        <f>IF($G948="","",IFERROR(INDEX(設定!$E$6:$E$18,MATCH($G948,設定!$B$6:$B$18,0)),""))</f>
        <v/>
      </c>
      <c r="J948" s="80">
        <f>IFERROR(INDEX(打卡匯入!$C$3:$C$2002,MATCH($C948&amp;"|"&amp;DAY($A948),打卡匯入!$E$3:$E$2002,0)),"")</f>
        <v/>
      </c>
      <c r="K948" s="80">
        <f>IFERROR(INDEX(打卡匯入!$D$3:$D$2002,MATCH($C948&amp;"|"&amp;DAY($A948),打卡匯入!$E$3:$E$2002,0)),"")</f>
        <v/>
      </c>
      <c r="L948" s="81">
        <f>IF(OR($J948="",$K948=""),"",IFERROR(INDEX(設定!$F$6:$F$18,MATCH($G948,設定!$B$6:$B$18,0)),0))</f>
        <v/>
      </c>
      <c r="M948" s="82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1">
        <f>IF(OR($C948="",$H948="",$J948=""),0,IF(ROUND(($J948-$H948)*1440,0)&gt;設定!$C$42,ROUND(($J948-$H948)*1440,0),0))</f>
        <v/>
      </c>
      <c r="P948" s="81">
        <f>IF(OR($C948="",$I948="",$K948=""),0,IF(ROUND(($I948-$K948)*1440,0)&gt;設定!$C$42,ROUND(($I948-$K948)*1440,0),0))</f>
        <v/>
      </c>
      <c r="Q948" s="82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79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0">
        <f>IF($G949="","",IFERROR(INDEX(設定!$D$6:$D$18,MATCH($G949,設定!$B$6:$B$18,0)),""))</f>
        <v/>
      </c>
      <c r="I949" s="80">
        <f>IF($G949="","",IFERROR(INDEX(設定!$E$6:$E$18,MATCH($G949,設定!$B$6:$B$18,0)),""))</f>
        <v/>
      </c>
      <c r="J949" s="80">
        <f>IFERROR(INDEX(打卡匯入!$C$3:$C$2002,MATCH($C949&amp;"|"&amp;DAY($A949),打卡匯入!$E$3:$E$2002,0)),"")</f>
        <v/>
      </c>
      <c r="K949" s="80">
        <f>IFERROR(INDEX(打卡匯入!$D$3:$D$2002,MATCH($C949&amp;"|"&amp;DAY($A949),打卡匯入!$E$3:$E$2002,0)),"")</f>
        <v/>
      </c>
      <c r="L949" s="81">
        <f>IF(OR($J949="",$K949=""),"",IFERROR(INDEX(設定!$F$6:$F$18,MATCH($G949,設定!$B$6:$B$18,0)),0))</f>
        <v/>
      </c>
      <c r="M949" s="82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1">
        <f>IF(OR($C949="",$H949="",$J949=""),0,IF(ROUND(($J949-$H949)*1440,0)&gt;設定!$C$42,ROUND(($J949-$H949)*1440,0),0))</f>
        <v/>
      </c>
      <c r="P949" s="81">
        <f>IF(OR($C949="",$I949="",$K949=""),0,IF(ROUND(($I949-$K949)*1440,0)&gt;設定!$C$42,ROUND(($I949-$K949)*1440,0),0))</f>
        <v/>
      </c>
      <c r="Q949" s="82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79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0">
        <f>IF($G950="","",IFERROR(INDEX(設定!$D$6:$D$18,MATCH($G950,設定!$B$6:$B$18,0)),""))</f>
        <v/>
      </c>
      <c r="I950" s="80">
        <f>IF($G950="","",IFERROR(INDEX(設定!$E$6:$E$18,MATCH($G950,設定!$B$6:$B$18,0)),""))</f>
        <v/>
      </c>
      <c r="J950" s="80">
        <f>IFERROR(INDEX(打卡匯入!$C$3:$C$2002,MATCH($C950&amp;"|"&amp;DAY($A950),打卡匯入!$E$3:$E$2002,0)),"")</f>
        <v/>
      </c>
      <c r="K950" s="80">
        <f>IFERROR(INDEX(打卡匯入!$D$3:$D$2002,MATCH($C950&amp;"|"&amp;DAY($A950),打卡匯入!$E$3:$E$2002,0)),"")</f>
        <v/>
      </c>
      <c r="L950" s="81">
        <f>IF(OR($J950="",$K950=""),"",IFERROR(INDEX(設定!$F$6:$F$18,MATCH($G950,設定!$B$6:$B$18,0)),0))</f>
        <v/>
      </c>
      <c r="M950" s="82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1">
        <f>IF(OR($C950="",$H950="",$J950=""),0,IF(ROUND(($J950-$H950)*1440,0)&gt;設定!$C$42,ROUND(($J950-$H950)*1440,0),0))</f>
        <v/>
      </c>
      <c r="P950" s="81">
        <f>IF(OR($C950="",$I950="",$K950=""),0,IF(ROUND(($I950-$K950)*1440,0)&gt;設定!$C$42,ROUND(($I950-$K950)*1440,0),0))</f>
        <v/>
      </c>
      <c r="Q950" s="82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79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0">
        <f>IF($G951="","",IFERROR(INDEX(設定!$D$6:$D$18,MATCH($G951,設定!$B$6:$B$18,0)),""))</f>
        <v/>
      </c>
      <c r="I951" s="80">
        <f>IF($G951="","",IFERROR(INDEX(設定!$E$6:$E$18,MATCH($G951,設定!$B$6:$B$18,0)),""))</f>
        <v/>
      </c>
      <c r="J951" s="80">
        <f>IFERROR(INDEX(打卡匯入!$C$3:$C$2002,MATCH($C951&amp;"|"&amp;DAY($A951),打卡匯入!$E$3:$E$2002,0)),"")</f>
        <v/>
      </c>
      <c r="K951" s="80">
        <f>IFERROR(INDEX(打卡匯入!$D$3:$D$2002,MATCH($C951&amp;"|"&amp;DAY($A951),打卡匯入!$E$3:$E$2002,0)),"")</f>
        <v/>
      </c>
      <c r="L951" s="81">
        <f>IF(OR($J951="",$K951=""),"",IFERROR(INDEX(設定!$F$6:$F$18,MATCH($G951,設定!$B$6:$B$18,0)),0))</f>
        <v/>
      </c>
      <c r="M951" s="82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1">
        <f>IF(OR($C951="",$H951="",$J951=""),0,IF(ROUND(($J951-$H951)*1440,0)&gt;設定!$C$42,ROUND(($J951-$H951)*1440,0),0))</f>
        <v/>
      </c>
      <c r="P951" s="81">
        <f>IF(OR($C951="",$I951="",$K951=""),0,IF(ROUND(($I951-$K951)*1440,0)&gt;設定!$C$42,ROUND(($I951-$K951)*1440,0),0))</f>
        <v/>
      </c>
      <c r="Q951" s="82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79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0">
        <f>IF($G952="","",IFERROR(INDEX(設定!$D$6:$D$18,MATCH($G952,設定!$B$6:$B$18,0)),""))</f>
        <v/>
      </c>
      <c r="I952" s="80">
        <f>IF($G952="","",IFERROR(INDEX(設定!$E$6:$E$18,MATCH($G952,設定!$B$6:$B$18,0)),""))</f>
        <v/>
      </c>
      <c r="J952" s="80">
        <f>IFERROR(INDEX(打卡匯入!$C$3:$C$2002,MATCH($C952&amp;"|"&amp;DAY($A952),打卡匯入!$E$3:$E$2002,0)),"")</f>
        <v/>
      </c>
      <c r="K952" s="80">
        <f>IFERROR(INDEX(打卡匯入!$D$3:$D$2002,MATCH($C952&amp;"|"&amp;DAY($A952),打卡匯入!$E$3:$E$2002,0)),"")</f>
        <v/>
      </c>
      <c r="L952" s="81">
        <f>IF(OR($J952="",$K952=""),"",IFERROR(INDEX(設定!$F$6:$F$18,MATCH($G952,設定!$B$6:$B$18,0)),0))</f>
        <v/>
      </c>
      <c r="M952" s="82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1">
        <f>IF(OR($C952="",$H952="",$J952=""),0,IF(ROUND(($J952-$H952)*1440,0)&gt;設定!$C$42,ROUND(($J952-$H952)*1440,0),0))</f>
        <v/>
      </c>
      <c r="P952" s="81">
        <f>IF(OR($C952="",$I952="",$K952=""),0,IF(ROUND(($I952-$K952)*1440,0)&gt;設定!$C$42,ROUND(($I952-$K952)*1440,0),0))</f>
        <v/>
      </c>
      <c r="Q952" s="82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79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0">
        <f>IF($G953="","",IFERROR(INDEX(設定!$D$6:$D$18,MATCH($G953,設定!$B$6:$B$18,0)),""))</f>
        <v/>
      </c>
      <c r="I953" s="80">
        <f>IF($G953="","",IFERROR(INDEX(設定!$E$6:$E$18,MATCH($G953,設定!$B$6:$B$18,0)),""))</f>
        <v/>
      </c>
      <c r="J953" s="80">
        <f>IFERROR(INDEX(打卡匯入!$C$3:$C$2002,MATCH($C953&amp;"|"&amp;DAY($A953),打卡匯入!$E$3:$E$2002,0)),"")</f>
        <v/>
      </c>
      <c r="K953" s="80">
        <f>IFERROR(INDEX(打卡匯入!$D$3:$D$2002,MATCH($C953&amp;"|"&amp;DAY($A953),打卡匯入!$E$3:$E$2002,0)),"")</f>
        <v/>
      </c>
      <c r="L953" s="81">
        <f>IF(OR($J953="",$K953=""),"",IFERROR(INDEX(設定!$F$6:$F$18,MATCH($G953,設定!$B$6:$B$18,0)),0))</f>
        <v/>
      </c>
      <c r="M953" s="82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1">
        <f>IF(OR($C953="",$H953="",$J953=""),0,IF(ROUND(($J953-$H953)*1440,0)&gt;設定!$C$42,ROUND(($J953-$H953)*1440,0),0))</f>
        <v/>
      </c>
      <c r="P953" s="81">
        <f>IF(OR($C953="",$I953="",$K953=""),0,IF(ROUND(($I953-$K953)*1440,0)&gt;設定!$C$42,ROUND(($I953-$K953)*1440,0),0))</f>
        <v/>
      </c>
      <c r="Q953" s="82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79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0">
        <f>IF($G954="","",IFERROR(INDEX(設定!$D$6:$D$18,MATCH($G954,設定!$B$6:$B$18,0)),""))</f>
        <v/>
      </c>
      <c r="I954" s="80">
        <f>IF($G954="","",IFERROR(INDEX(設定!$E$6:$E$18,MATCH($G954,設定!$B$6:$B$18,0)),""))</f>
        <v/>
      </c>
      <c r="J954" s="80">
        <f>IFERROR(INDEX(打卡匯入!$C$3:$C$2002,MATCH($C954&amp;"|"&amp;DAY($A954),打卡匯入!$E$3:$E$2002,0)),"")</f>
        <v/>
      </c>
      <c r="K954" s="80">
        <f>IFERROR(INDEX(打卡匯入!$D$3:$D$2002,MATCH($C954&amp;"|"&amp;DAY($A954),打卡匯入!$E$3:$E$2002,0)),"")</f>
        <v/>
      </c>
      <c r="L954" s="81">
        <f>IF(OR($J954="",$K954=""),"",IFERROR(INDEX(設定!$F$6:$F$18,MATCH($G954,設定!$B$6:$B$18,0)),0))</f>
        <v/>
      </c>
      <c r="M954" s="82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1">
        <f>IF(OR($C954="",$H954="",$J954=""),0,IF(ROUND(($J954-$H954)*1440,0)&gt;設定!$C$42,ROUND(($J954-$H954)*1440,0),0))</f>
        <v/>
      </c>
      <c r="P954" s="81">
        <f>IF(OR($C954="",$I954="",$K954=""),0,IF(ROUND(($I954-$K954)*1440,0)&gt;設定!$C$42,ROUND(($I954-$K954)*1440,0),0))</f>
        <v/>
      </c>
      <c r="Q954" s="82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79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0">
        <f>IF($G955="","",IFERROR(INDEX(設定!$D$6:$D$18,MATCH($G955,設定!$B$6:$B$18,0)),""))</f>
        <v/>
      </c>
      <c r="I955" s="80">
        <f>IF($G955="","",IFERROR(INDEX(設定!$E$6:$E$18,MATCH($G955,設定!$B$6:$B$18,0)),""))</f>
        <v/>
      </c>
      <c r="J955" s="80">
        <f>IFERROR(INDEX(打卡匯入!$C$3:$C$2002,MATCH($C955&amp;"|"&amp;DAY($A955),打卡匯入!$E$3:$E$2002,0)),"")</f>
        <v/>
      </c>
      <c r="K955" s="80">
        <f>IFERROR(INDEX(打卡匯入!$D$3:$D$2002,MATCH($C955&amp;"|"&amp;DAY($A955),打卡匯入!$E$3:$E$2002,0)),"")</f>
        <v/>
      </c>
      <c r="L955" s="81">
        <f>IF(OR($J955="",$K955=""),"",IFERROR(INDEX(設定!$F$6:$F$18,MATCH($G955,設定!$B$6:$B$18,0)),0))</f>
        <v/>
      </c>
      <c r="M955" s="82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1">
        <f>IF(OR($C955="",$H955="",$J955=""),0,IF(ROUND(($J955-$H955)*1440,0)&gt;設定!$C$42,ROUND(($J955-$H955)*1440,0),0))</f>
        <v/>
      </c>
      <c r="P955" s="81">
        <f>IF(OR($C955="",$I955="",$K955=""),0,IF(ROUND(($I955-$K955)*1440,0)&gt;設定!$C$42,ROUND(($I955-$K955)*1440,0),0))</f>
        <v/>
      </c>
      <c r="Q955" s="82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79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0">
        <f>IF($G956="","",IFERROR(INDEX(設定!$D$6:$D$18,MATCH($G956,設定!$B$6:$B$18,0)),""))</f>
        <v/>
      </c>
      <c r="I956" s="80">
        <f>IF($G956="","",IFERROR(INDEX(設定!$E$6:$E$18,MATCH($G956,設定!$B$6:$B$18,0)),""))</f>
        <v/>
      </c>
      <c r="J956" s="80">
        <f>IFERROR(INDEX(打卡匯入!$C$3:$C$2002,MATCH($C956&amp;"|"&amp;DAY($A956),打卡匯入!$E$3:$E$2002,0)),"")</f>
        <v/>
      </c>
      <c r="K956" s="80">
        <f>IFERROR(INDEX(打卡匯入!$D$3:$D$2002,MATCH($C956&amp;"|"&amp;DAY($A956),打卡匯入!$E$3:$E$2002,0)),"")</f>
        <v/>
      </c>
      <c r="L956" s="81">
        <f>IF(OR($J956="",$K956=""),"",IFERROR(INDEX(設定!$F$6:$F$18,MATCH($G956,設定!$B$6:$B$18,0)),0))</f>
        <v/>
      </c>
      <c r="M956" s="82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1">
        <f>IF(OR($C956="",$H956="",$J956=""),0,IF(ROUND(($J956-$H956)*1440,0)&gt;設定!$C$42,ROUND(($J956-$H956)*1440,0),0))</f>
        <v/>
      </c>
      <c r="P956" s="81">
        <f>IF(OR($C956="",$I956="",$K956=""),0,IF(ROUND(($I956-$K956)*1440,0)&gt;設定!$C$42,ROUND(($I956-$K956)*1440,0),0))</f>
        <v/>
      </c>
      <c r="Q956" s="82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79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0">
        <f>IF($G957="","",IFERROR(INDEX(設定!$D$6:$D$18,MATCH($G957,設定!$B$6:$B$18,0)),""))</f>
        <v/>
      </c>
      <c r="I957" s="80">
        <f>IF($G957="","",IFERROR(INDEX(設定!$E$6:$E$18,MATCH($G957,設定!$B$6:$B$18,0)),""))</f>
        <v/>
      </c>
      <c r="J957" s="80">
        <f>IFERROR(INDEX(打卡匯入!$C$3:$C$2002,MATCH($C957&amp;"|"&amp;DAY($A957),打卡匯入!$E$3:$E$2002,0)),"")</f>
        <v/>
      </c>
      <c r="K957" s="80">
        <f>IFERROR(INDEX(打卡匯入!$D$3:$D$2002,MATCH($C957&amp;"|"&amp;DAY($A957),打卡匯入!$E$3:$E$2002,0)),"")</f>
        <v/>
      </c>
      <c r="L957" s="81">
        <f>IF(OR($J957="",$K957=""),"",IFERROR(INDEX(設定!$F$6:$F$18,MATCH($G957,設定!$B$6:$B$18,0)),0))</f>
        <v/>
      </c>
      <c r="M957" s="82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1">
        <f>IF(OR($C957="",$H957="",$J957=""),0,IF(ROUND(($J957-$H957)*1440,0)&gt;設定!$C$42,ROUND(($J957-$H957)*1440,0),0))</f>
        <v/>
      </c>
      <c r="P957" s="81">
        <f>IF(OR($C957="",$I957="",$K957=""),0,IF(ROUND(($I957-$K957)*1440,0)&gt;設定!$C$42,ROUND(($I957-$K957)*1440,0),0))</f>
        <v/>
      </c>
      <c r="Q957" s="82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79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0">
        <f>IF($G958="","",IFERROR(INDEX(設定!$D$6:$D$18,MATCH($G958,設定!$B$6:$B$18,0)),""))</f>
        <v/>
      </c>
      <c r="I958" s="80">
        <f>IF($G958="","",IFERROR(INDEX(設定!$E$6:$E$18,MATCH($G958,設定!$B$6:$B$18,0)),""))</f>
        <v/>
      </c>
      <c r="J958" s="80">
        <f>IFERROR(INDEX(打卡匯入!$C$3:$C$2002,MATCH($C958&amp;"|"&amp;DAY($A958),打卡匯入!$E$3:$E$2002,0)),"")</f>
        <v/>
      </c>
      <c r="K958" s="80">
        <f>IFERROR(INDEX(打卡匯入!$D$3:$D$2002,MATCH($C958&amp;"|"&amp;DAY($A958),打卡匯入!$E$3:$E$2002,0)),"")</f>
        <v/>
      </c>
      <c r="L958" s="81">
        <f>IF(OR($J958="",$K958=""),"",IFERROR(INDEX(設定!$F$6:$F$18,MATCH($G958,設定!$B$6:$B$18,0)),0))</f>
        <v/>
      </c>
      <c r="M958" s="82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1">
        <f>IF(OR($C958="",$H958="",$J958=""),0,IF(ROUND(($J958-$H958)*1440,0)&gt;設定!$C$42,ROUND(($J958-$H958)*1440,0),0))</f>
        <v/>
      </c>
      <c r="P958" s="81">
        <f>IF(OR($C958="",$I958="",$K958=""),0,IF(ROUND(($I958-$K958)*1440,0)&gt;設定!$C$42,ROUND(($I958-$K958)*1440,0),0))</f>
        <v/>
      </c>
      <c r="Q958" s="82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79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0">
        <f>IF($G959="","",IFERROR(INDEX(設定!$D$6:$D$18,MATCH($G959,設定!$B$6:$B$18,0)),""))</f>
        <v/>
      </c>
      <c r="I959" s="80">
        <f>IF($G959="","",IFERROR(INDEX(設定!$E$6:$E$18,MATCH($G959,設定!$B$6:$B$18,0)),""))</f>
        <v/>
      </c>
      <c r="J959" s="80">
        <f>IFERROR(INDEX(打卡匯入!$C$3:$C$2002,MATCH($C959&amp;"|"&amp;DAY($A959),打卡匯入!$E$3:$E$2002,0)),"")</f>
        <v/>
      </c>
      <c r="K959" s="80">
        <f>IFERROR(INDEX(打卡匯入!$D$3:$D$2002,MATCH($C959&amp;"|"&amp;DAY($A959),打卡匯入!$E$3:$E$2002,0)),"")</f>
        <v/>
      </c>
      <c r="L959" s="81">
        <f>IF(OR($J959="",$K959=""),"",IFERROR(INDEX(設定!$F$6:$F$18,MATCH($G959,設定!$B$6:$B$18,0)),0))</f>
        <v/>
      </c>
      <c r="M959" s="82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1">
        <f>IF(OR($C959="",$H959="",$J959=""),0,IF(ROUND(($J959-$H959)*1440,0)&gt;設定!$C$42,ROUND(($J959-$H959)*1440,0),0))</f>
        <v/>
      </c>
      <c r="P959" s="81">
        <f>IF(OR($C959="",$I959="",$K959=""),0,IF(ROUND(($I959-$K959)*1440,0)&gt;設定!$C$42,ROUND(($I959-$K959)*1440,0),0))</f>
        <v/>
      </c>
      <c r="Q959" s="82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79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0">
        <f>IF($G960="","",IFERROR(INDEX(設定!$D$6:$D$18,MATCH($G960,設定!$B$6:$B$18,0)),""))</f>
        <v/>
      </c>
      <c r="I960" s="80">
        <f>IF($G960="","",IFERROR(INDEX(設定!$E$6:$E$18,MATCH($G960,設定!$B$6:$B$18,0)),""))</f>
        <v/>
      </c>
      <c r="J960" s="80">
        <f>IFERROR(INDEX(打卡匯入!$C$3:$C$2002,MATCH($C960&amp;"|"&amp;DAY($A960),打卡匯入!$E$3:$E$2002,0)),"")</f>
        <v/>
      </c>
      <c r="K960" s="80">
        <f>IFERROR(INDEX(打卡匯入!$D$3:$D$2002,MATCH($C960&amp;"|"&amp;DAY($A960),打卡匯入!$E$3:$E$2002,0)),"")</f>
        <v/>
      </c>
      <c r="L960" s="81">
        <f>IF(OR($J960="",$K960=""),"",IFERROR(INDEX(設定!$F$6:$F$18,MATCH($G960,設定!$B$6:$B$18,0)),0))</f>
        <v/>
      </c>
      <c r="M960" s="82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1">
        <f>IF(OR($C960="",$H960="",$J960=""),0,IF(ROUND(($J960-$H960)*1440,0)&gt;設定!$C$42,ROUND(($J960-$H960)*1440,0),0))</f>
        <v/>
      </c>
      <c r="P960" s="81">
        <f>IF(OR($C960="",$I960="",$K960=""),0,IF(ROUND(($I960-$K960)*1440,0)&gt;設定!$C$42,ROUND(($I960-$K960)*1440,0),0))</f>
        <v/>
      </c>
      <c r="Q960" s="82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79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0">
        <f>IF($G961="","",IFERROR(INDEX(設定!$D$6:$D$18,MATCH($G961,設定!$B$6:$B$18,0)),""))</f>
        <v/>
      </c>
      <c r="I961" s="80">
        <f>IF($G961="","",IFERROR(INDEX(設定!$E$6:$E$18,MATCH($G961,設定!$B$6:$B$18,0)),""))</f>
        <v/>
      </c>
      <c r="J961" s="80">
        <f>IFERROR(INDEX(打卡匯入!$C$3:$C$2002,MATCH($C961&amp;"|"&amp;DAY($A961),打卡匯入!$E$3:$E$2002,0)),"")</f>
        <v/>
      </c>
      <c r="K961" s="80">
        <f>IFERROR(INDEX(打卡匯入!$D$3:$D$2002,MATCH($C961&amp;"|"&amp;DAY($A961),打卡匯入!$E$3:$E$2002,0)),"")</f>
        <v/>
      </c>
      <c r="L961" s="81">
        <f>IF(OR($J961="",$K961=""),"",IFERROR(INDEX(設定!$F$6:$F$18,MATCH($G961,設定!$B$6:$B$18,0)),0))</f>
        <v/>
      </c>
      <c r="M961" s="82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1">
        <f>IF(OR($C961="",$H961="",$J961=""),0,IF(ROUND(($J961-$H961)*1440,0)&gt;設定!$C$42,ROUND(($J961-$H961)*1440,0),0))</f>
        <v/>
      </c>
      <c r="P961" s="81">
        <f>IF(OR($C961="",$I961="",$K961=""),0,IF(ROUND(($I961-$K961)*1440,0)&gt;設定!$C$42,ROUND(($I961-$K961)*1440,0),0))</f>
        <v/>
      </c>
      <c r="Q961" s="82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79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0">
        <f>IF($G962="","",IFERROR(INDEX(設定!$D$6:$D$18,MATCH($G962,設定!$B$6:$B$18,0)),""))</f>
        <v/>
      </c>
      <c r="I962" s="80">
        <f>IF($G962="","",IFERROR(INDEX(設定!$E$6:$E$18,MATCH($G962,設定!$B$6:$B$18,0)),""))</f>
        <v/>
      </c>
      <c r="J962" s="80">
        <f>IFERROR(INDEX(打卡匯入!$C$3:$C$2002,MATCH($C962&amp;"|"&amp;DAY($A962),打卡匯入!$E$3:$E$2002,0)),"")</f>
        <v/>
      </c>
      <c r="K962" s="80">
        <f>IFERROR(INDEX(打卡匯入!$D$3:$D$2002,MATCH($C962&amp;"|"&amp;DAY($A962),打卡匯入!$E$3:$E$2002,0)),"")</f>
        <v/>
      </c>
      <c r="L962" s="81">
        <f>IF(OR($J962="",$K962=""),"",IFERROR(INDEX(設定!$F$6:$F$18,MATCH($G962,設定!$B$6:$B$18,0)),0))</f>
        <v/>
      </c>
      <c r="M962" s="82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1">
        <f>IF(OR($C962="",$H962="",$J962=""),0,IF(ROUND(($J962-$H962)*1440,0)&gt;設定!$C$42,ROUND(($J962-$H962)*1440,0),0))</f>
        <v/>
      </c>
      <c r="P962" s="81">
        <f>IF(OR($C962="",$I962="",$K962=""),0,IF(ROUND(($I962-$K962)*1440,0)&gt;設定!$C$42,ROUND(($I962-$K962)*1440,0),0))</f>
        <v/>
      </c>
      <c r="Q962" s="82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79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0">
        <f>IF($G963="","",IFERROR(INDEX(設定!$D$6:$D$18,MATCH($G963,設定!$B$6:$B$18,0)),""))</f>
        <v/>
      </c>
      <c r="I963" s="80">
        <f>IF($G963="","",IFERROR(INDEX(設定!$E$6:$E$18,MATCH($G963,設定!$B$6:$B$18,0)),""))</f>
        <v/>
      </c>
      <c r="J963" s="80">
        <f>IFERROR(INDEX(打卡匯入!$C$3:$C$2002,MATCH($C963&amp;"|"&amp;DAY($A963),打卡匯入!$E$3:$E$2002,0)),"")</f>
        <v/>
      </c>
      <c r="K963" s="80">
        <f>IFERROR(INDEX(打卡匯入!$D$3:$D$2002,MATCH($C963&amp;"|"&amp;DAY($A963),打卡匯入!$E$3:$E$2002,0)),"")</f>
        <v/>
      </c>
      <c r="L963" s="81">
        <f>IF(OR($J963="",$K963=""),"",IFERROR(INDEX(設定!$F$6:$F$18,MATCH($G963,設定!$B$6:$B$18,0)),0))</f>
        <v/>
      </c>
      <c r="M963" s="82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1">
        <f>IF(OR($C963="",$H963="",$J963=""),0,IF(ROUND(($J963-$H963)*1440,0)&gt;設定!$C$42,ROUND(($J963-$H963)*1440,0),0))</f>
        <v/>
      </c>
      <c r="P963" s="81">
        <f>IF(OR($C963="",$I963="",$K963=""),0,IF(ROUND(($I963-$K963)*1440,0)&gt;設定!$C$42,ROUND(($I963-$K963)*1440,0),0))</f>
        <v/>
      </c>
      <c r="Q963" s="82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79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0">
        <f>IF($G964="","",IFERROR(INDEX(設定!$D$6:$D$18,MATCH($G964,設定!$B$6:$B$18,0)),""))</f>
        <v/>
      </c>
      <c r="I964" s="80">
        <f>IF($G964="","",IFERROR(INDEX(設定!$E$6:$E$18,MATCH($G964,設定!$B$6:$B$18,0)),""))</f>
        <v/>
      </c>
      <c r="J964" s="80">
        <f>IFERROR(INDEX(打卡匯入!$C$3:$C$2002,MATCH($C964&amp;"|"&amp;DAY($A964),打卡匯入!$E$3:$E$2002,0)),"")</f>
        <v/>
      </c>
      <c r="K964" s="80">
        <f>IFERROR(INDEX(打卡匯入!$D$3:$D$2002,MATCH($C964&amp;"|"&amp;DAY($A964),打卡匯入!$E$3:$E$2002,0)),"")</f>
        <v/>
      </c>
      <c r="L964" s="81">
        <f>IF(OR($J964="",$K964=""),"",IFERROR(INDEX(設定!$F$6:$F$18,MATCH($G964,設定!$B$6:$B$18,0)),0))</f>
        <v/>
      </c>
      <c r="M964" s="82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1">
        <f>IF(OR($C964="",$H964="",$J964=""),0,IF(ROUND(($J964-$H964)*1440,0)&gt;設定!$C$42,ROUND(($J964-$H964)*1440,0),0))</f>
        <v/>
      </c>
      <c r="P964" s="81">
        <f>IF(OR($C964="",$I964="",$K964=""),0,IF(ROUND(($I964-$K964)*1440,0)&gt;設定!$C$42,ROUND(($I964-$K964)*1440,0),0))</f>
        <v/>
      </c>
      <c r="Q964" s="82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79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0">
        <f>IF($G965="","",IFERROR(INDEX(設定!$D$6:$D$18,MATCH($G965,設定!$B$6:$B$18,0)),""))</f>
        <v/>
      </c>
      <c r="I965" s="80">
        <f>IF($G965="","",IFERROR(INDEX(設定!$E$6:$E$18,MATCH($G965,設定!$B$6:$B$18,0)),""))</f>
        <v/>
      </c>
      <c r="J965" s="80">
        <f>IFERROR(INDEX(打卡匯入!$C$3:$C$2002,MATCH($C965&amp;"|"&amp;DAY($A965),打卡匯入!$E$3:$E$2002,0)),"")</f>
        <v/>
      </c>
      <c r="K965" s="80">
        <f>IFERROR(INDEX(打卡匯入!$D$3:$D$2002,MATCH($C965&amp;"|"&amp;DAY($A965),打卡匯入!$E$3:$E$2002,0)),"")</f>
        <v/>
      </c>
      <c r="L965" s="81">
        <f>IF(OR($J965="",$K965=""),"",IFERROR(INDEX(設定!$F$6:$F$18,MATCH($G965,設定!$B$6:$B$18,0)),0))</f>
        <v/>
      </c>
      <c r="M965" s="82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1">
        <f>IF(OR($C965="",$H965="",$J965=""),0,IF(ROUND(($J965-$H965)*1440,0)&gt;設定!$C$42,ROUND(($J965-$H965)*1440,0),0))</f>
        <v/>
      </c>
      <c r="P965" s="81">
        <f>IF(OR($C965="",$I965="",$K965=""),0,IF(ROUND(($I965-$K965)*1440,0)&gt;設定!$C$42,ROUND(($I965-$K965)*1440,0),0))</f>
        <v/>
      </c>
      <c r="Q965" s="82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79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0">
        <f>IF($G966="","",IFERROR(INDEX(設定!$D$6:$D$18,MATCH($G966,設定!$B$6:$B$18,0)),""))</f>
        <v/>
      </c>
      <c r="I966" s="80">
        <f>IF($G966="","",IFERROR(INDEX(設定!$E$6:$E$18,MATCH($G966,設定!$B$6:$B$18,0)),""))</f>
        <v/>
      </c>
      <c r="J966" s="80">
        <f>IFERROR(INDEX(打卡匯入!$C$3:$C$2002,MATCH($C966&amp;"|"&amp;DAY($A966),打卡匯入!$E$3:$E$2002,0)),"")</f>
        <v/>
      </c>
      <c r="K966" s="80">
        <f>IFERROR(INDEX(打卡匯入!$D$3:$D$2002,MATCH($C966&amp;"|"&amp;DAY($A966),打卡匯入!$E$3:$E$2002,0)),"")</f>
        <v/>
      </c>
      <c r="L966" s="81">
        <f>IF(OR($J966="",$K966=""),"",IFERROR(INDEX(設定!$F$6:$F$18,MATCH($G966,設定!$B$6:$B$18,0)),0))</f>
        <v/>
      </c>
      <c r="M966" s="82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1">
        <f>IF(OR($C966="",$H966="",$J966=""),0,IF(ROUND(($J966-$H966)*1440,0)&gt;設定!$C$42,ROUND(($J966-$H966)*1440,0),0))</f>
        <v/>
      </c>
      <c r="P966" s="81">
        <f>IF(OR($C966="",$I966="",$K966=""),0,IF(ROUND(($I966-$K966)*1440,0)&gt;設定!$C$42,ROUND(($I966-$K966)*1440,0),0))</f>
        <v/>
      </c>
      <c r="Q966" s="82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79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0">
        <f>IF($G967="","",IFERROR(INDEX(設定!$D$6:$D$18,MATCH($G967,設定!$B$6:$B$18,0)),""))</f>
        <v/>
      </c>
      <c r="I967" s="80">
        <f>IF($G967="","",IFERROR(INDEX(設定!$E$6:$E$18,MATCH($G967,設定!$B$6:$B$18,0)),""))</f>
        <v/>
      </c>
      <c r="J967" s="80">
        <f>IFERROR(INDEX(打卡匯入!$C$3:$C$2002,MATCH($C967&amp;"|"&amp;DAY($A967),打卡匯入!$E$3:$E$2002,0)),"")</f>
        <v/>
      </c>
      <c r="K967" s="80">
        <f>IFERROR(INDEX(打卡匯入!$D$3:$D$2002,MATCH($C967&amp;"|"&amp;DAY($A967),打卡匯入!$E$3:$E$2002,0)),"")</f>
        <v/>
      </c>
      <c r="L967" s="81">
        <f>IF(OR($J967="",$K967=""),"",IFERROR(INDEX(設定!$F$6:$F$18,MATCH($G967,設定!$B$6:$B$18,0)),0))</f>
        <v/>
      </c>
      <c r="M967" s="82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1">
        <f>IF(OR($C967="",$H967="",$J967=""),0,IF(ROUND(($J967-$H967)*1440,0)&gt;設定!$C$42,ROUND(($J967-$H967)*1440,0),0))</f>
        <v/>
      </c>
      <c r="P967" s="81">
        <f>IF(OR($C967="",$I967="",$K967=""),0,IF(ROUND(($I967-$K967)*1440,0)&gt;設定!$C$42,ROUND(($I967-$K967)*1440,0),0))</f>
        <v/>
      </c>
      <c r="Q967" s="82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79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0">
        <f>IF($G968="","",IFERROR(INDEX(設定!$D$6:$D$18,MATCH($G968,設定!$B$6:$B$18,0)),""))</f>
        <v/>
      </c>
      <c r="I968" s="80">
        <f>IF($G968="","",IFERROR(INDEX(設定!$E$6:$E$18,MATCH($G968,設定!$B$6:$B$18,0)),""))</f>
        <v/>
      </c>
      <c r="J968" s="80">
        <f>IFERROR(INDEX(打卡匯入!$C$3:$C$2002,MATCH($C968&amp;"|"&amp;DAY($A968),打卡匯入!$E$3:$E$2002,0)),"")</f>
        <v/>
      </c>
      <c r="K968" s="80">
        <f>IFERROR(INDEX(打卡匯入!$D$3:$D$2002,MATCH($C968&amp;"|"&amp;DAY($A968),打卡匯入!$E$3:$E$2002,0)),"")</f>
        <v/>
      </c>
      <c r="L968" s="81">
        <f>IF(OR($J968="",$K968=""),"",IFERROR(INDEX(設定!$F$6:$F$18,MATCH($G968,設定!$B$6:$B$18,0)),0))</f>
        <v/>
      </c>
      <c r="M968" s="82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1">
        <f>IF(OR($C968="",$H968="",$J968=""),0,IF(ROUND(($J968-$H968)*1440,0)&gt;設定!$C$42,ROUND(($J968-$H968)*1440,0),0))</f>
        <v/>
      </c>
      <c r="P968" s="81">
        <f>IF(OR($C968="",$I968="",$K968=""),0,IF(ROUND(($I968-$K968)*1440,0)&gt;設定!$C$42,ROUND(($I968-$K968)*1440,0),0))</f>
        <v/>
      </c>
      <c r="Q968" s="82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79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0">
        <f>IF($G969="","",IFERROR(INDEX(設定!$D$6:$D$18,MATCH($G969,設定!$B$6:$B$18,0)),""))</f>
        <v/>
      </c>
      <c r="I969" s="80">
        <f>IF($G969="","",IFERROR(INDEX(設定!$E$6:$E$18,MATCH($G969,設定!$B$6:$B$18,0)),""))</f>
        <v/>
      </c>
      <c r="J969" s="80">
        <f>IFERROR(INDEX(打卡匯入!$C$3:$C$2002,MATCH($C969&amp;"|"&amp;DAY($A969),打卡匯入!$E$3:$E$2002,0)),"")</f>
        <v/>
      </c>
      <c r="K969" s="80">
        <f>IFERROR(INDEX(打卡匯入!$D$3:$D$2002,MATCH($C969&amp;"|"&amp;DAY($A969),打卡匯入!$E$3:$E$2002,0)),"")</f>
        <v/>
      </c>
      <c r="L969" s="81">
        <f>IF(OR($J969="",$K969=""),"",IFERROR(INDEX(設定!$F$6:$F$18,MATCH($G969,設定!$B$6:$B$18,0)),0))</f>
        <v/>
      </c>
      <c r="M969" s="82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1">
        <f>IF(OR($C969="",$H969="",$J969=""),0,IF(ROUND(($J969-$H969)*1440,0)&gt;設定!$C$42,ROUND(($J969-$H969)*1440,0),0))</f>
        <v/>
      </c>
      <c r="P969" s="81">
        <f>IF(OR($C969="",$I969="",$K969=""),0,IF(ROUND(($I969-$K969)*1440,0)&gt;設定!$C$42,ROUND(($I969-$K969)*1440,0),0))</f>
        <v/>
      </c>
      <c r="Q969" s="82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79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0">
        <f>IF($G970="","",IFERROR(INDEX(設定!$D$6:$D$18,MATCH($G970,設定!$B$6:$B$18,0)),""))</f>
        <v/>
      </c>
      <c r="I970" s="80">
        <f>IF($G970="","",IFERROR(INDEX(設定!$E$6:$E$18,MATCH($G970,設定!$B$6:$B$18,0)),""))</f>
        <v/>
      </c>
      <c r="J970" s="80">
        <f>IFERROR(INDEX(打卡匯入!$C$3:$C$2002,MATCH($C970&amp;"|"&amp;DAY($A970),打卡匯入!$E$3:$E$2002,0)),"")</f>
        <v/>
      </c>
      <c r="K970" s="80">
        <f>IFERROR(INDEX(打卡匯入!$D$3:$D$2002,MATCH($C970&amp;"|"&amp;DAY($A970),打卡匯入!$E$3:$E$2002,0)),"")</f>
        <v/>
      </c>
      <c r="L970" s="81">
        <f>IF(OR($J970="",$K970=""),"",IFERROR(INDEX(設定!$F$6:$F$18,MATCH($G970,設定!$B$6:$B$18,0)),0))</f>
        <v/>
      </c>
      <c r="M970" s="82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1">
        <f>IF(OR($C970="",$H970="",$J970=""),0,IF(ROUND(($J970-$H970)*1440,0)&gt;設定!$C$42,ROUND(($J970-$H970)*1440,0),0))</f>
        <v/>
      </c>
      <c r="P970" s="81">
        <f>IF(OR($C970="",$I970="",$K970=""),0,IF(ROUND(($I970-$K970)*1440,0)&gt;設定!$C$42,ROUND(($I970-$K970)*1440,0),0))</f>
        <v/>
      </c>
      <c r="Q970" s="82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79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0">
        <f>IF($G971="","",IFERROR(INDEX(設定!$D$6:$D$18,MATCH($G971,設定!$B$6:$B$18,0)),""))</f>
        <v/>
      </c>
      <c r="I971" s="80">
        <f>IF($G971="","",IFERROR(INDEX(設定!$E$6:$E$18,MATCH($G971,設定!$B$6:$B$18,0)),""))</f>
        <v/>
      </c>
      <c r="J971" s="80">
        <f>IFERROR(INDEX(打卡匯入!$C$3:$C$2002,MATCH($C971&amp;"|"&amp;DAY($A971),打卡匯入!$E$3:$E$2002,0)),"")</f>
        <v/>
      </c>
      <c r="K971" s="80">
        <f>IFERROR(INDEX(打卡匯入!$D$3:$D$2002,MATCH($C971&amp;"|"&amp;DAY($A971),打卡匯入!$E$3:$E$2002,0)),"")</f>
        <v/>
      </c>
      <c r="L971" s="81">
        <f>IF(OR($J971="",$K971=""),"",IFERROR(INDEX(設定!$F$6:$F$18,MATCH($G971,設定!$B$6:$B$18,0)),0))</f>
        <v/>
      </c>
      <c r="M971" s="82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1">
        <f>IF(OR($C971="",$H971="",$J971=""),0,IF(ROUND(($J971-$H971)*1440,0)&gt;設定!$C$42,ROUND(($J971-$H971)*1440,0),0))</f>
        <v/>
      </c>
      <c r="P971" s="81">
        <f>IF(OR($C971="",$I971="",$K971=""),0,IF(ROUND(($I971-$K971)*1440,0)&gt;設定!$C$42,ROUND(($I971-$K971)*1440,0),0))</f>
        <v/>
      </c>
      <c r="Q971" s="82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79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0">
        <f>IF($G972="","",IFERROR(INDEX(設定!$D$6:$D$18,MATCH($G972,設定!$B$6:$B$18,0)),""))</f>
        <v/>
      </c>
      <c r="I972" s="80">
        <f>IF($G972="","",IFERROR(INDEX(設定!$E$6:$E$18,MATCH($G972,設定!$B$6:$B$18,0)),""))</f>
        <v/>
      </c>
      <c r="J972" s="80">
        <f>IFERROR(INDEX(打卡匯入!$C$3:$C$2002,MATCH($C972&amp;"|"&amp;DAY($A972),打卡匯入!$E$3:$E$2002,0)),"")</f>
        <v/>
      </c>
      <c r="K972" s="80">
        <f>IFERROR(INDEX(打卡匯入!$D$3:$D$2002,MATCH($C972&amp;"|"&amp;DAY($A972),打卡匯入!$E$3:$E$2002,0)),"")</f>
        <v/>
      </c>
      <c r="L972" s="81">
        <f>IF(OR($J972="",$K972=""),"",IFERROR(INDEX(設定!$F$6:$F$18,MATCH($G972,設定!$B$6:$B$18,0)),0))</f>
        <v/>
      </c>
      <c r="M972" s="82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1">
        <f>IF(OR($C972="",$H972="",$J972=""),0,IF(ROUND(($J972-$H972)*1440,0)&gt;設定!$C$42,ROUND(($J972-$H972)*1440,0),0))</f>
        <v/>
      </c>
      <c r="P972" s="81">
        <f>IF(OR($C972="",$I972="",$K972=""),0,IF(ROUND(($I972-$K972)*1440,0)&gt;設定!$C$42,ROUND(($I972-$K972)*1440,0),0))</f>
        <v/>
      </c>
      <c r="Q972" s="82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79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0">
        <f>IF($G973="","",IFERROR(INDEX(設定!$D$6:$D$18,MATCH($G973,設定!$B$6:$B$18,0)),""))</f>
        <v/>
      </c>
      <c r="I973" s="80">
        <f>IF($G973="","",IFERROR(INDEX(設定!$E$6:$E$18,MATCH($G973,設定!$B$6:$B$18,0)),""))</f>
        <v/>
      </c>
      <c r="J973" s="80">
        <f>IFERROR(INDEX(打卡匯入!$C$3:$C$2002,MATCH($C973&amp;"|"&amp;DAY($A973),打卡匯入!$E$3:$E$2002,0)),"")</f>
        <v/>
      </c>
      <c r="K973" s="80">
        <f>IFERROR(INDEX(打卡匯入!$D$3:$D$2002,MATCH($C973&amp;"|"&amp;DAY($A973),打卡匯入!$E$3:$E$2002,0)),"")</f>
        <v/>
      </c>
      <c r="L973" s="81">
        <f>IF(OR($J973="",$K973=""),"",IFERROR(INDEX(設定!$F$6:$F$18,MATCH($G973,設定!$B$6:$B$18,0)),0))</f>
        <v/>
      </c>
      <c r="M973" s="82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1">
        <f>IF(OR($C973="",$H973="",$J973=""),0,IF(ROUND(($J973-$H973)*1440,0)&gt;設定!$C$42,ROUND(($J973-$H973)*1440,0),0))</f>
        <v/>
      </c>
      <c r="P973" s="81">
        <f>IF(OR($C973="",$I973="",$K973=""),0,IF(ROUND(($I973-$K973)*1440,0)&gt;設定!$C$42,ROUND(($I973-$K973)*1440,0),0))</f>
        <v/>
      </c>
      <c r="Q973" s="82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79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0">
        <f>IF($G974="","",IFERROR(INDEX(設定!$D$6:$D$18,MATCH($G974,設定!$B$6:$B$18,0)),""))</f>
        <v/>
      </c>
      <c r="I974" s="80">
        <f>IF($G974="","",IFERROR(INDEX(設定!$E$6:$E$18,MATCH($G974,設定!$B$6:$B$18,0)),""))</f>
        <v/>
      </c>
      <c r="J974" s="80">
        <f>IFERROR(INDEX(打卡匯入!$C$3:$C$2002,MATCH($C974&amp;"|"&amp;DAY($A974),打卡匯入!$E$3:$E$2002,0)),"")</f>
        <v/>
      </c>
      <c r="K974" s="80">
        <f>IFERROR(INDEX(打卡匯入!$D$3:$D$2002,MATCH($C974&amp;"|"&amp;DAY($A974),打卡匯入!$E$3:$E$2002,0)),"")</f>
        <v/>
      </c>
      <c r="L974" s="81">
        <f>IF(OR($J974="",$K974=""),"",IFERROR(INDEX(設定!$F$6:$F$18,MATCH($G974,設定!$B$6:$B$18,0)),0))</f>
        <v/>
      </c>
      <c r="M974" s="82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1">
        <f>IF(OR($C974="",$H974="",$J974=""),0,IF(ROUND(($J974-$H974)*1440,0)&gt;設定!$C$42,ROUND(($J974-$H974)*1440,0),0))</f>
        <v/>
      </c>
      <c r="P974" s="81">
        <f>IF(OR($C974="",$I974="",$K974=""),0,IF(ROUND(($I974-$K974)*1440,0)&gt;設定!$C$42,ROUND(($I974-$K974)*1440,0),0))</f>
        <v/>
      </c>
      <c r="Q974" s="82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79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0">
        <f>IF($G975="","",IFERROR(INDEX(設定!$D$6:$D$18,MATCH($G975,設定!$B$6:$B$18,0)),""))</f>
        <v/>
      </c>
      <c r="I975" s="80">
        <f>IF($G975="","",IFERROR(INDEX(設定!$E$6:$E$18,MATCH($G975,設定!$B$6:$B$18,0)),""))</f>
        <v/>
      </c>
      <c r="J975" s="80">
        <f>IFERROR(INDEX(打卡匯入!$C$3:$C$2002,MATCH($C975&amp;"|"&amp;DAY($A975),打卡匯入!$E$3:$E$2002,0)),"")</f>
        <v/>
      </c>
      <c r="K975" s="80">
        <f>IFERROR(INDEX(打卡匯入!$D$3:$D$2002,MATCH($C975&amp;"|"&amp;DAY($A975),打卡匯入!$E$3:$E$2002,0)),"")</f>
        <v/>
      </c>
      <c r="L975" s="81">
        <f>IF(OR($J975="",$K975=""),"",IFERROR(INDEX(設定!$F$6:$F$18,MATCH($G975,設定!$B$6:$B$18,0)),0))</f>
        <v/>
      </c>
      <c r="M975" s="82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1">
        <f>IF(OR($C975="",$H975="",$J975=""),0,IF(ROUND(($J975-$H975)*1440,0)&gt;設定!$C$42,ROUND(($J975-$H975)*1440,0),0))</f>
        <v/>
      </c>
      <c r="P975" s="81">
        <f>IF(OR($C975="",$I975="",$K975=""),0,IF(ROUND(($I975-$K975)*1440,0)&gt;設定!$C$42,ROUND(($I975-$K975)*1440,0),0))</f>
        <v/>
      </c>
      <c r="Q975" s="82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79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0">
        <f>IF($G976="","",IFERROR(INDEX(設定!$D$6:$D$18,MATCH($G976,設定!$B$6:$B$18,0)),""))</f>
        <v/>
      </c>
      <c r="I976" s="80">
        <f>IF($G976="","",IFERROR(INDEX(設定!$E$6:$E$18,MATCH($G976,設定!$B$6:$B$18,0)),""))</f>
        <v/>
      </c>
      <c r="J976" s="80">
        <f>IFERROR(INDEX(打卡匯入!$C$3:$C$2002,MATCH($C976&amp;"|"&amp;DAY($A976),打卡匯入!$E$3:$E$2002,0)),"")</f>
        <v/>
      </c>
      <c r="K976" s="80">
        <f>IFERROR(INDEX(打卡匯入!$D$3:$D$2002,MATCH($C976&amp;"|"&amp;DAY($A976),打卡匯入!$E$3:$E$2002,0)),"")</f>
        <v/>
      </c>
      <c r="L976" s="81">
        <f>IF(OR($J976="",$K976=""),"",IFERROR(INDEX(設定!$F$6:$F$18,MATCH($G976,設定!$B$6:$B$18,0)),0))</f>
        <v/>
      </c>
      <c r="M976" s="82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1">
        <f>IF(OR($C976="",$H976="",$J976=""),0,IF(ROUND(($J976-$H976)*1440,0)&gt;設定!$C$42,ROUND(($J976-$H976)*1440,0),0))</f>
        <v/>
      </c>
      <c r="P976" s="81">
        <f>IF(OR($C976="",$I976="",$K976=""),0,IF(ROUND(($I976-$K976)*1440,0)&gt;設定!$C$42,ROUND(($I976-$K976)*1440,0),0))</f>
        <v/>
      </c>
      <c r="Q976" s="82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79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0">
        <f>IF($G977="","",IFERROR(INDEX(設定!$D$6:$D$18,MATCH($G977,設定!$B$6:$B$18,0)),""))</f>
        <v/>
      </c>
      <c r="I977" s="80">
        <f>IF($G977="","",IFERROR(INDEX(設定!$E$6:$E$18,MATCH($G977,設定!$B$6:$B$18,0)),""))</f>
        <v/>
      </c>
      <c r="J977" s="80">
        <f>IFERROR(INDEX(打卡匯入!$C$3:$C$2002,MATCH($C977&amp;"|"&amp;DAY($A977),打卡匯入!$E$3:$E$2002,0)),"")</f>
        <v/>
      </c>
      <c r="K977" s="80">
        <f>IFERROR(INDEX(打卡匯入!$D$3:$D$2002,MATCH($C977&amp;"|"&amp;DAY($A977),打卡匯入!$E$3:$E$2002,0)),"")</f>
        <v/>
      </c>
      <c r="L977" s="81">
        <f>IF(OR($J977="",$K977=""),"",IFERROR(INDEX(設定!$F$6:$F$18,MATCH($G977,設定!$B$6:$B$18,0)),0))</f>
        <v/>
      </c>
      <c r="M977" s="82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1">
        <f>IF(OR($C977="",$H977="",$J977=""),0,IF(ROUND(($J977-$H977)*1440,0)&gt;設定!$C$42,ROUND(($J977-$H977)*1440,0),0))</f>
        <v/>
      </c>
      <c r="P977" s="81">
        <f>IF(OR($C977="",$I977="",$K977=""),0,IF(ROUND(($I977-$K977)*1440,0)&gt;設定!$C$42,ROUND(($I977-$K977)*1440,0),0))</f>
        <v/>
      </c>
      <c r="Q977" s="82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79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0">
        <f>IF($G978="","",IFERROR(INDEX(設定!$D$6:$D$18,MATCH($G978,設定!$B$6:$B$18,0)),""))</f>
        <v/>
      </c>
      <c r="I978" s="80">
        <f>IF($G978="","",IFERROR(INDEX(設定!$E$6:$E$18,MATCH($G978,設定!$B$6:$B$18,0)),""))</f>
        <v/>
      </c>
      <c r="J978" s="80">
        <f>IFERROR(INDEX(打卡匯入!$C$3:$C$2002,MATCH($C978&amp;"|"&amp;DAY($A978),打卡匯入!$E$3:$E$2002,0)),"")</f>
        <v/>
      </c>
      <c r="K978" s="80">
        <f>IFERROR(INDEX(打卡匯入!$D$3:$D$2002,MATCH($C978&amp;"|"&amp;DAY($A978),打卡匯入!$E$3:$E$2002,0)),"")</f>
        <v/>
      </c>
      <c r="L978" s="81">
        <f>IF(OR($J978="",$K978=""),"",IFERROR(INDEX(設定!$F$6:$F$18,MATCH($G978,設定!$B$6:$B$18,0)),0))</f>
        <v/>
      </c>
      <c r="M978" s="82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1">
        <f>IF(OR($C978="",$H978="",$J978=""),0,IF(ROUND(($J978-$H978)*1440,0)&gt;設定!$C$42,ROUND(($J978-$H978)*1440,0),0))</f>
        <v/>
      </c>
      <c r="P978" s="81">
        <f>IF(OR($C978="",$I978="",$K978=""),0,IF(ROUND(($I978-$K978)*1440,0)&gt;設定!$C$42,ROUND(($I978-$K978)*1440,0),0))</f>
        <v/>
      </c>
      <c r="Q978" s="82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79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0">
        <f>IF($G979="","",IFERROR(INDEX(設定!$D$6:$D$18,MATCH($G979,設定!$B$6:$B$18,0)),""))</f>
        <v/>
      </c>
      <c r="I979" s="80">
        <f>IF($G979="","",IFERROR(INDEX(設定!$E$6:$E$18,MATCH($G979,設定!$B$6:$B$18,0)),""))</f>
        <v/>
      </c>
      <c r="J979" s="80">
        <f>IFERROR(INDEX(打卡匯入!$C$3:$C$2002,MATCH($C979&amp;"|"&amp;DAY($A979),打卡匯入!$E$3:$E$2002,0)),"")</f>
        <v/>
      </c>
      <c r="K979" s="80">
        <f>IFERROR(INDEX(打卡匯入!$D$3:$D$2002,MATCH($C979&amp;"|"&amp;DAY($A979),打卡匯入!$E$3:$E$2002,0)),"")</f>
        <v/>
      </c>
      <c r="L979" s="81">
        <f>IF(OR($J979="",$K979=""),"",IFERROR(INDEX(設定!$F$6:$F$18,MATCH($G979,設定!$B$6:$B$18,0)),0))</f>
        <v/>
      </c>
      <c r="M979" s="82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1">
        <f>IF(OR($C979="",$H979="",$J979=""),0,IF(ROUND(($J979-$H979)*1440,0)&gt;設定!$C$42,ROUND(($J979-$H979)*1440,0),0))</f>
        <v/>
      </c>
      <c r="P979" s="81">
        <f>IF(OR($C979="",$I979="",$K979=""),0,IF(ROUND(($I979-$K979)*1440,0)&gt;設定!$C$42,ROUND(($I979-$K979)*1440,0),0))</f>
        <v/>
      </c>
      <c r="Q979" s="82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79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0">
        <f>IF($G980="","",IFERROR(INDEX(設定!$D$6:$D$18,MATCH($G980,設定!$B$6:$B$18,0)),""))</f>
        <v/>
      </c>
      <c r="I980" s="80">
        <f>IF($G980="","",IFERROR(INDEX(設定!$E$6:$E$18,MATCH($G980,設定!$B$6:$B$18,0)),""))</f>
        <v/>
      </c>
      <c r="J980" s="80">
        <f>IFERROR(INDEX(打卡匯入!$C$3:$C$2002,MATCH($C980&amp;"|"&amp;DAY($A980),打卡匯入!$E$3:$E$2002,0)),"")</f>
        <v/>
      </c>
      <c r="K980" s="80">
        <f>IFERROR(INDEX(打卡匯入!$D$3:$D$2002,MATCH($C980&amp;"|"&amp;DAY($A980),打卡匯入!$E$3:$E$2002,0)),"")</f>
        <v/>
      </c>
      <c r="L980" s="81">
        <f>IF(OR($J980="",$K980=""),"",IFERROR(INDEX(設定!$F$6:$F$18,MATCH($G980,設定!$B$6:$B$18,0)),0))</f>
        <v/>
      </c>
      <c r="M980" s="82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1">
        <f>IF(OR($C980="",$H980="",$J980=""),0,IF(ROUND(($J980-$H980)*1440,0)&gt;設定!$C$42,ROUND(($J980-$H980)*1440,0),0))</f>
        <v/>
      </c>
      <c r="P980" s="81">
        <f>IF(OR($C980="",$I980="",$K980=""),0,IF(ROUND(($I980-$K980)*1440,0)&gt;設定!$C$42,ROUND(($I980-$K980)*1440,0),0))</f>
        <v/>
      </c>
      <c r="Q980" s="82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79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0">
        <f>IF($G981="","",IFERROR(INDEX(設定!$D$6:$D$18,MATCH($G981,設定!$B$6:$B$18,0)),""))</f>
        <v/>
      </c>
      <c r="I981" s="80">
        <f>IF($G981="","",IFERROR(INDEX(設定!$E$6:$E$18,MATCH($G981,設定!$B$6:$B$18,0)),""))</f>
        <v/>
      </c>
      <c r="J981" s="80">
        <f>IFERROR(INDEX(打卡匯入!$C$3:$C$2002,MATCH($C981&amp;"|"&amp;DAY($A981),打卡匯入!$E$3:$E$2002,0)),"")</f>
        <v/>
      </c>
      <c r="K981" s="80">
        <f>IFERROR(INDEX(打卡匯入!$D$3:$D$2002,MATCH($C981&amp;"|"&amp;DAY($A981),打卡匯入!$E$3:$E$2002,0)),"")</f>
        <v/>
      </c>
      <c r="L981" s="81">
        <f>IF(OR($J981="",$K981=""),"",IFERROR(INDEX(設定!$F$6:$F$18,MATCH($G981,設定!$B$6:$B$18,0)),0))</f>
        <v/>
      </c>
      <c r="M981" s="82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1">
        <f>IF(OR($C981="",$H981="",$J981=""),0,IF(ROUND(($J981-$H981)*1440,0)&gt;設定!$C$42,ROUND(($J981-$H981)*1440,0),0))</f>
        <v/>
      </c>
      <c r="P981" s="81">
        <f>IF(OR($C981="",$I981="",$K981=""),0,IF(ROUND(($I981-$K981)*1440,0)&gt;設定!$C$42,ROUND(($I981-$K981)*1440,0),0))</f>
        <v/>
      </c>
      <c r="Q981" s="82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79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0">
        <f>IF($G982="","",IFERROR(INDEX(設定!$D$6:$D$18,MATCH($G982,設定!$B$6:$B$18,0)),""))</f>
        <v/>
      </c>
      <c r="I982" s="80">
        <f>IF($G982="","",IFERROR(INDEX(設定!$E$6:$E$18,MATCH($G982,設定!$B$6:$B$18,0)),""))</f>
        <v/>
      </c>
      <c r="J982" s="80">
        <f>IFERROR(INDEX(打卡匯入!$C$3:$C$2002,MATCH($C982&amp;"|"&amp;DAY($A982),打卡匯入!$E$3:$E$2002,0)),"")</f>
        <v/>
      </c>
      <c r="K982" s="80">
        <f>IFERROR(INDEX(打卡匯入!$D$3:$D$2002,MATCH($C982&amp;"|"&amp;DAY($A982),打卡匯入!$E$3:$E$2002,0)),"")</f>
        <v/>
      </c>
      <c r="L982" s="81">
        <f>IF(OR($J982="",$K982=""),"",IFERROR(INDEX(設定!$F$6:$F$18,MATCH($G982,設定!$B$6:$B$18,0)),0))</f>
        <v/>
      </c>
      <c r="M982" s="82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1">
        <f>IF(OR($C982="",$H982="",$J982=""),0,IF(ROUND(($J982-$H982)*1440,0)&gt;設定!$C$42,ROUND(($J982-$H982)*1440,0),0))</f>
        <v/>
      </c>
      <c r="P982" s="81">
        <f>IF(OR($C982="",$I982="",$K982=""),0,IF(ROUND(($I982-$K982)*1440,0)&gt;設定!$C$42,ROUND(($I982-$K982)*1440,0),0))</f>
        <v/>
      </c>
      <c r="Q982" s="82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79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0">
        <f>IF($G983="","",IFERROR(INDEX(設定!$D$6:$D$18,MATCH($G983,設定!$B$6:$B$18,0)),""))</f>
        <v/>
      </c>
      <c r="I983" s="80">
        <f>IF($G983="","",IFERROR(INDEX(設定!$E$6:$E$18,MATCH($G983,設定!$B$6:$B$18,0)),""))</f>
        <v/>
      </c>
      <c r="J983" s="80">
        <f>IFERROR(INDEX(打卡匯入!$C$3:$C$2002,MATCH($C983&amp;"|"&amp;DAY($A983),打卡匯入!$E$3:$E$2002,0)),"")</f>
        <v/>
      </c>
      <c r="K983" s="80">
        <f>IFERROR(INDEX(打卡匯入!$D$3:$D$2002,MATCH($C983&amp;"|"&amp;DAY($A983),打卡匯入!$E$3:$E$2002,0)),"")</f>
        <v/>
      </c>
      <c r="L983" s="81">
        <f>IF(OR($J983="",$K983=""),"",IFERROR(INDEX(設定!$F$6:$F$18,MATCH($G983,設定!$B$6:$B$18,0)),0))</f>
        <v/>
      </c>
      <c r="M983" s="82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1">
        <f>IF(OR($C983="",$H983="",$J983=""),0,IF(ROUND(($J983-$H983)*1440,0)&gt;設定!$C$42,ROUND(($J983-$H983)*1440,0),0))</f>
        <v/>
      </c>
      <c r="P983" s="81">
        <f>IF(OR($C983="",$I983="",$K983=""),0,IF(ROUND(($I983-$K983)*1440,0)&gt;設定!$C$42,ROUND(($I983-$K983)*1440,0),0))</f>
        <v/>
      </c>
      <c r="Q983" s="82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79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0">
        <f>IF($G984="","",IFERROR(INDEX(設定!$D$6:$D$18,MATCH($G984,設定!$B$6:$B$18,0)),""))</f>
        <v/>
      </c>
      <c r="I984" s="80">
        <f>IF($G984="","",IFERROR(INDEX(設定!$E$6:$E$18,MATCH($G984,設定!$B$6:$B$18,0)),""))</f>
        <v/>
      </c>
      <c r="J984" s="80">
        <f>IFERROR(INDEX(打卡匯入!$C$3:$C$2002,MATCH($C984&amp;"|"&amp;DAY($A984),打卡匯入!$E$3:$E$2002,0)),"")</f>
        <v/>
      </c>
      <c r="K984" s="80">
        <f>IFERROR(INDEX(打卡匯入!$D$3:$D$2002,MATCH($C984&amp;"|"&amp;DAY($A984),打卡匯入!$E$3:$E$2002,0)),"")</f>
        <v/>
      </c>
      <c r="L984" s="81">
        <f>IF(OR($J984="",$K984=""),"",IFERROR(INDEX(設定!$F$6:$F$18,MATCH($G984,設定!$B$6:$B$18,0)),0))</f>
        <v/>
      </c>
      <c r="M984" s="82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1">
        <f>IF(OR($C984="",$H984="",$J984=""),0,IF(ROUND(($J984-$H984)*1440,0)&gt;設定!$C$42,ROUND(($J984-$H984)*1440,0),0))</f>
        <v/>
      </c>
      <c r="P984" s="81">
        <f>IF(OR($C984="",$I984="",$K984=""),0,IF(ROUND(($I984-$K984)*1440,0)&gt;設定!$C$42,ROUND(($I984-$K984)*1440,0),0))</f>
        <v/>
      </c>
      <c r="Q984" s="82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79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0">
        <f>IF($G985="","",IFERROR(INDEX(設定!$D$6:$D$18,MATCH($G985,設定!$B$6:$B$18,0)),""))</f>
        <v/>
      </c>
      <c r="I985" s="80">
        <f>IF($G985="","",IFERROR(INDEX(設定!$E$6:$E$18,MATCH($G985,設定!$B$6:$B$18,0)),""))</f>
        <v/>
      </c>
      <c r="J985" s="80">
        <f>IFERROR(INDEX(打卡匯入!$C$3:$C$2002,MATCH($C985&amp;"|"&amp;DAY($A985),打卡匯入!$E$3:$E$2002,0)),"")</f>
        <v/>
      </c>
      <c r="K985" s="80">
        <f>IFERROR(INDEX(打卡匯入!$D$3:$D$2002,MATCH($C985&amp;"|"&amp;DAY($A985),打卡匯入!$E$3:$E$2002,0)),"")</f>
        <v/>
      </c>
      <c r="L985" s="81">
        <f>IF(OR($J985="",$K985=""),"",IFERROR(INDEX(設定!$F$6:$F$18,MATCH($G985,設定!$B$6:$B$18,0)),0))</f>
        <v/>
      </c>
      <c r="M985" s="82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1">
        <f>IF(OR($C985="",$H985="",$J985=""),0,IF(ROUND(($J985-$H985)*1440,0)&gt;設定!$C$42,ROUND(($J985-$H985)*1440,0),0))</f>
        <v/>
      </c>
      <c r="P985" s="81">
        <f>IF(OR($C985="",$I985="",$K985=""),0,IF(ROUND(($I985-$K985)*1440,0)&gt;設定!$C$42,ROUND(($I985-$K985)*1440,0),0))</f>
        <v/>
      </c>
      <c r="Q985" s="82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79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0">
        <f>IF($G986="","",IFERROR(INDEX(設定!$D$6:$D$18,MATCH($G986,設定!$B$6:$B$18,0)),""))</f>
        <v/>
      </c>
      <c r="I986" s="80">
        <f>IF($G986="","",IFERROR(INDEX(設定!$E$6:$E$18,MATCH($G986,設定!$B$6:$B$18,0)),""))</f>
        <v/>
      </c>
      <c r="J986" s="80">
        <f>IFERROR(INDEX(打卡匯入!$C$3:$C$2002,MATCH($C986&amp;"|"&amp;DAY($A986),打卡匯入!$E$3:$E$2002,0)),"")</f>
        <v/>
      </c>
      <c r="K986" s="80">
        <f>IFERROR(INDEX(打卡匯入!$D$3:$D$2002,MATCH($C986&amp;"|"&amp;DAY($A986),打卡匯入!$E$3:$E$2002,0)),"")</f>
        <v/>
      </c>
      <c r="L986" s="81">
        <f>IF(OR($J986="",$K986=""),"",IFERROR(INDEX(設定!$F$6:$F$18,MATCH($G986,設定!$B$6:$B$18,0)),0))</f>
        <v/>
      </c>
      <c r="M986" s="82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1">
        <f>IF(OR($C986="",$H986="",$J986=""),0,IF(ROUND(($J986-$H986)*1440,0)&gt;設定!$C$42,ROUND(($J986-$H986)*1440,0),0))</f>
        <v/>
      </c>
      <c r="P986" s="81">
        <f>IF(OR($C986="",$I986="",$K986=""),0,IF(ROUND(($I986-$K986)*1440,0)&gt;設定!$C$42,ROUND(($I986-$K986)*1440,0),0))</f>
        <v/>
      </c>
      <c r="Q986" s="82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79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0">
        <f>IF($G987="","",IFERROR(INDEX(設定!$D$6:$D$18,MATCH($G987,設定!$B$6:$B$18,0)),""))</f>
        <v/>
      </c>
      <c r="I987" s="80">
        <f>IF($G987="","",IFERROR(INDEX(設定!$E$6:$E$18,MATCH($G987,設定!$B$6:$B$18,0)),""))</f>
        <v/>
      </c>
      <c r="J987" s="80">
        <f>IFERROR(INDEX(打卡匯入!$C$3:$C$2002,MATCH($C987&amp;"|"&amp;DAY($A987),打卡匯入!$E$3:$E$2002,0)),"")</f>
        <v/>
      </c>
      <c r="K987" s="80">
        <f>IFERROR(INDEX(打卡匯入!$D$3:$D$2002,MATCH($C987&amp;"|"&amp;DAY($A987),打卡匯入!$E$3:$E$2002,0)),"")</f>
        <v/>
      </c>
      <c r="L987" s="81">
        <f>IF(OR($J987="",$K987=""),"",IFERROR(INDEX(設定!$F$6:$F$18,MATCH($G987,設定!$B$6:$B$18,0)),0))</f>
        <v/>
      </c>
      <c r="M987" s="82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1">
        <f>IF(OR($C987="",$H987="",$J987=""),0,IF(ROUND(($J987-$H987)*1440,0)&gt;設定!$C$42,ROUND(($J987-$H987)*1440,0),0))</f>
        <v/>
      </c>
      <c r="P987" s="81">
        <f>IF(OR($C987="",$I987="",$K987=""),0,IF(ROUND(($I987-$K987)*1440,0)&gt;設定!$C$42,ROUND(($I987-$K987)*1440,0),0))</f>
        <v/>
      </c>
      <c r="Q987" s="82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79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0">
        <f>IF($G988="","",IFERROR(INDEX(設定!$D$6:$D$18,MATCH($G988,設定!$B$6:$B$18,0)),""))</f>
        <v/>
      </c>
      <c r="I988" s="80">
        <f>IF($G988="","",IFERROR(INDEX(設定!$E$6:$E$18,MATCH($G988,設定!$B$6:$B$18,0)),""))</f>
        <v/>
      </c>
      <c r="J988" s="80">
        <f>IFERROR(INDEX(打卡匯入!$C$3:$C$2002,MATCH($C988&amp;"|"&amp;DAY($A988),打卡匯入!$E$3:$E$2002,0)),"")</f>
        <v/>
      </c>
      <c r="K988" s="80">
        <f>IFERROR(INDEX(打卡匯入!$D$3:$D$2002,MATCH($C988&amp;"|"&amp;DAY($A988),打卡匯入!$E$3:$E$2002,0)),"")</f>
        <v/>
      </c>
      <c r="L988" s="81">
        <f>IF(OR($J988="",$K988=""),"",IFERROR(INDEX(設定!$F$6:$F$18,MATCH($G988,設定!$B$6:$B$18,0)),0))</f>
        <v/>
      </c>
      <c r="M988" s="82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1">
        <f>IF(OR($C988="",$H988="",$J988=""),0,IF(ROUND(($J988-$H988)*1440,0)&gt;設定!$C$42,ROUND(($J988-$H988)*1440,0),0))</f>
        <v/>
      </c>
      <c r="P988" s="81">
        <f>IF(OR($C988="",$I988="",$K988=""),0,IF(ROUND(($I988-$K988)*1440,0)&gt;設定!$C$42,ROUND(($I988-$K988)*1440,0),0))</f>
        <v/>
      </c>
      <c r="Q988" s="82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79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0">
        <f>IF($G989="","",IFERROR(INDEX(設定!$D$6:$D$18,MATCH($G989,設定!$B$6:$B$18,0)),""))</f>
        <v/>
      </c>
      <c r="I989" s="80">
        <f>IF($G989="","",IFERROR(INDEX(設定!$E$6:$E$18,MATCH($G989,設定!$B$6:$B$18,0)),""))</f>
        <v/>
      </c>
      <c r="J989" s="80">
        <f>IFERROR(INDEX(打卡匯入!$C$3:$C$2002,MATCH($C989&amp;"|"&amp;DAY($A989),打卡匯入!$E$3:$E$2002,0)),"")</f>
        <v/>
      </c>
      <c r="K989" s="80">
        <f>IFERROR(INDEX(打卡匯入!$D$3:$D$2002,MATCH($C989&amp;"|"&amp;DAY($A989),打卡匯入!$E$3:$E$2002,0)),"")</f>
        <v/>
      </c>
      <c r="L989" s="81">
        <f>IF(OR($J989="",$K989=""),"",IFERROR(INDEX(設定!$F$6:$F$18,MATCH($G989,設定!$B$6:$B$18,0)),0))</f>
        <v/>
      </c>
      <c r="M989" s="82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1">
        <f>IF(OR($C989="",$H989="",$J989=""),0,IF(ROUND(($J989-$H989)*1440,0)&gt;設定!$C$42,ROUND(($J989-$H989)*1440,0),0))</f>
        <v/>
      </c>
      <c r="P989" s="81">
        <f>IF(OR($C989="",$I989="",$K989=""),0,IF(ROUND(($I989-$K989)*1440,0)&gt;設定!$C$42,ROUND(($I989-$K989)*1440,0),0))</f>
        <v/>
      </c>
      <c r="Q989" s="82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79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0">
        <f>IF($G990="","",IFERROR(INDEX(設定!$D$6:$D$18,MATCH($G990,設定!$B$6:$B$18,0)),""))</f>
        <v/>
      </c>
      <c r="I990" s="80">
        <f>IF($G990="","",IFERROR(INDEX(設定!$E$6:$E$18,MATCH($G990,設定!$B$6:$B$18,0)),""))</f>
        <v/>
      </c>
      <c r="J990" s="80">
        <f>IFERROR(INDEX(打卡匯入!$C$3:$C$2002,MATCH($C990&amp;"|"&amp;DAY($A990),打卡匯入!$E$3:$E$2002,0)),"")</f>
        <v/>
      </c>
      <c r="K990" s="80">
        <f>IFERROR(INDEX(打卡匯入!$D$3:$D$2002,MATCH($C990&amp;"|"&amp;DAY($A990),打卡匯入!$E$3:$E$2002,0)),"")</f>
        <v/>
      </c>
      <c r="L990" s="81">
        <f>IF(OR($J990="",$K990=""),"",IFERROR(INDEX(設定!$F$6:$F$18,MATCH($G990,設定!$B$6:$B$18,0)),0))</f>
        <v/>
      </c>
      <c r="M990" s="82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1">
        <f>IF(OR($C990="",$H990="",$J990=""),0,IF(ROUND(($J990-$H990)*1440,0)&gt;設定!$C$42,ROUND(($J990-$H990)*1440,0),0))</f>
        <v/>
      </c>
      <c r="P990" s="81">
        <f>IF(OR($C990="",$I990="",$K990=""),0,IF(ROUND(($I990-$K990)*1440,0)&gt;設定!$C$42,ROUND(($I990-$K990)*1440,0),0))</f>
        <v/>
      </c>
      <c r="Q990" s="82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79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0">
        <f>IF($G991="","",IFERROR(INDEX(設定!$D$6:$D$18,MATCH($G991,設定!$B$6:$B$18,0)),""))</f>
        <v/>
      </c>
      <c r="I991" s="80">
        <f>IF($G991="","",IFERROR(INDEX(設定!$E$6:$E$18,MATCH($G991,設定!$B$6:$B$18,0)),""))</f>
        <v/>
      </c>
      <c r="J991" s="80">
        <f>IFERROR(INDEX(打卡匯入!$C$3:$C$2002,MATCH($C991&amp;"|"&amp;DAY($A991),打卡匯入!$E$3:$E$2002,0)),"")</f>
        <v/>
      </c>
      <c r="K991" s="80">
        <f>IFERROR(INDEX(打卡匯入!$D$3:$D$2002,MATCH($C991&amp;"|"&amp;DAY($A991),打卡匯入!$E$3:$E$2002,0)),"")</f>
        <v/>
      </c>
      <c r="L991" s="81">
        <f>IF(OR($J991="",$K991=""),"",IFERROR(INDEX(設定!$F$6:$F$18,MATCH($G991,設定!$B$6:$B$18,0)),0))</f>
        <v/>
      </c>
      <c r="M991" s="82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1">
        <f>IF(OR($C991="",$H991="",$J991=""),0,IF(ROUND(($J991-$H991)*1440,0)&gt;設定!$C$42,ROUND(($J991-$H991)*1440,0),0))</f>
        <v/>
      </c>
      <c r="P991" s="81">
        <f>IF(OR($C991="",$I991="",$K991=""),0,IF(ROUND(($I991-$K991)*1440,0)&gt;設定!$C$42,ROUND(($I991-$K991)*1440,0),0))</f>
        <v/>
      </c>
      <c r="Q991" s="82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79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0">
        <f>IF($G992="","",IFERROR(INDEX(設定!$D$6:$D$18,MATCH($G992,設定!$B$6:$B$18,0)),""))</f>
        <v/>
      </c>
      <c r="I992" s="80">
        <f>IF($G992="","",IFERROR(INDEX(設定!$E$6:$E$18,MATCH($G992,設定!$B$6:$B$18,0)),""))</f>
        <v/>
      </c>
      <c r="J992" s="80">
        <f>IFERROR(INDEX(打卡匯入!$C$3:$C$2002,MATCH($C992&amp;"|"&amp;DAY($A992),打卡匯入!$E$3:$E$2002,0)),"")</f>
        <v/>
      </c>
      <c r="K992" s="80">
        <f>IFERROR(INDEX(打卡匯入!$D$3:$D$2002,MATCH($C992&amp;"|"&amp;DAY($A992),打卡匯入!$E$3:$E$2002,0)),"")</f>
        <v/>
      </c>
      <c r="L992" s="81">
        <f>IF(OR($J992="",$K992=""),"",IFERROR(INDEX(設定!$F$6:$F$18,MATCH($G992,設定!$B$6:$B$18,0)),0))</f>
        <v/>
      </c>
      <c r="M992" s="82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1">
        <f>IF(OR($C992="",$H992="",$J992=""),0,IF(ROUND(($J992-$H992)*1440,0)&gt;設定!$C$42,ROUND(($J992-$H992)*1440,0),0))</f>
        <v/>
      </c>
      <c r="P992" s="81">
        <f>IF(OR($C992="",$I992="",$K992=""),0,IF(ROUND(($I992-$K992)*1440,0)&gt;設定!$C$42,ROUND(($I992-$K992)*1440,0),0))</f>
        <v/>
      </c>
      <c r="Q992" s="82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79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0">
        <f>IF($G993="","",IFERROR(INDEX(設定!$D$6:$D$18,MATCH($G993,設定!$B$6:$B$18,0)),""))</f>
        <v/>
      </c>
      <c r="I993" s="80">
        <f>IF($G993="","",IFERROR(INDEX(設定!$E$6:$E$18,MATCH($G993,設定!$B$6:$B$18,0)),""))</f>
        <v/>
      </c>
      <c r="J993" s="80">
        <f>IFERROR(INDEX(打卡匯入!$C$3:$C$2002,MATCH($C993&amp;"|"&amp;DAY($A993),打卡匯入!$E$3:$E$2002,0)),"")</f>
        <v/>
      </c>
      <c r="K993" s="80">
        <f>IFERROR(INDEX(打卡匯入!$D$3:$D$2002,MATCH($C993&amp;"|"&amp;DAY($A993),打卡匯入!$E$3:$E$2002,0)),"")</f>
        <v/>
      </c>
      <c r="L993" s="81">
        <f>IF(OR($J993="",$K993=""),"",IFERROR(INDEX(設定!$F$6:$F$18,MATCH($G993,設定!$B$6:$B$18,0)),0))</f>
        <v/>
      </c>
      <c r="M993" s="82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1">
        <f>IF(OR($C993="",$H993="",$J993=""),0,IF(ROUND(($J993-$H993)*1440,0)&gt;設定!$C$42,ROUND(($J993-$H993)*1440,0),0))</f>
        <v/>
      </c>
      <c r="P993" s="81">
        <f>IF(OR($C993="",$I993="",$K993=""),0,IF(ROUND(($I993-$K993)*1440,0)&gt;設定!$C$42,ROUND(($I993-$K993)*1440,0),0))</f>
        <v/>
      </c>
      <c r="Q993" s="82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79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0">
        <f>IF($G994="","",IFERROR(INDEX(設定!$D$6:$D$18,MATCH($G994,設定!$B$6:$B$18,0)),""))</f>
        <v/>
      </c>
      <c r="I994" s="80">
        <f>IF($G994="","",IFERROR(INDEX(設定!$E$6:$E$18,MATCH($G994,設定!$B$6:$B$18,0)),""))</f>
        <v/>
      </c>
      <c r="J994" s="80">
        <f>IFERROR(INDEX(打卡匯入!$C$3:$C$2002,MATCH($C994&amp;"|"&amp;DAY($A994),打卡匯入!$E$3:$E$2002,0)),"")</f>
        <v/>
      </c>
      <c r="K994" s="80">
        <f>IFERROR(INDEX(打卡匯入!$D$3:$D$2002,MATCH($C994&amp;"|"&amp;DAY($A994),打卡匯入!$E$3:$E$2002,0)),"")</f>
        <v/>
      </c>
      <c r="L994" s="81">
        <f>IF(OR($J994="",$K994=""),"",IFERROR(INDEX(設定!$F$6:$F$18,MATCH($G994,設定!$B$6:$B$18,0)),0))</f>
        <v/>
      </c>
      <c r="M994" s="82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1">
        <f>IF(OR($C994="",$H994="",$J994=""),0,IF(ROUND(($J994-$H994)*1440,0)&gt;設定!$C$42,ROUND(($J994-$H994)*1440,0),0))</f>
        <v/>
      </c>
      <c r="P994" s="81">
        <f>IF(OR($C994="",$I994="",$K994=""),0,IF(ROUND(($I994-$K994)*1440,0)&gt;設定!$C$42,ROUND(($I994-$K994)*1440,0),0))</f>
        <v/>
      </c>
      <c r="Q994" s="82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79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0">
        <f>IF($G995="","",IFERROR(INDEX(設定!$D$6:$D$18,MATCH($G995,設定!$B$6:$B$18,0)),""))</f>
        <v/>
      </c>
      <c r="I995" s="80">
        <f>IF($G995="","",IFERROR(INDEX(設定!$E$6:$E$18,MATCH($G995,設定!$B$6:$B$18,0)),""))</f>
        <v/>
      </c>
      <c r="J995" s="80">
        <f>IFERROR(INDEX(打卡匯入!$C$3:$C$2002,MATCH($C995&amp;"|"&amp;DAY($A995),打卡匯入!$E$3:$E$2002,0)),"")</f>
        <v/>
      </c>
      <c r="K995" s="80">
        <f>IFERROR(INDEX(打卡匯入!$D$3:$D$2002,MATCH($C995&amp;"|"&amp;DAY($A995),打卡匯入!$E$3:$E$2002,0)),"")</f>
        <v/>
      </c>
      <c r="L995" s="81">
        <f>IF(OR($J995="",$K995=""),"",IFERROR(INDEX(設定!$F$6:$F$18,MATCH($G995,設定!$B$6:$B$18,0)),0))</f>
        <v/>
      </c>
      <c r="M995" s="82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1">
        <f>IF(OR($C995="",$H995="",$J995=""),0,IF(ROUND(($J995-$H995)*1440,0)&gt;設定!$C$42,ROUND(($J995-$H995)*1440,0),0))</f>
        <v/>
      </c>
      <c r="P995" s="81">
        <f>IF(OR($C995="",$I995="",$K995=""),0,IF(ROUND(($I995-$K995)*1440,0)&gt;設定!$C$42,ROUND(($I995-$K995)*1440,0),0))</f>
        <v/>
      </c>
      <c r="Q995" s="82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79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0">
        <f>IF($G996="","",IFERROR(INDEX(設定!$D$6:$D$18,MATCH($G996,設定!$B$6:$B$18,0)),""))</f>
        <v/>
      </c>
      <c r="I996" s="80">
        <f>IF($G996="","",IFERROR(INDEX(設定!$E$6:$E$18,MATCH($G996,設定!$B$6:$B$18,0)),""))</f>
        <v/>
      </c>
      <c r="J996" s="80">
        <f>IFERROR(INDEX(打卡匯入!$C$3:$C$2002,MATCH($C996&amp;"|"&amp;DAY($A996),打卡匯入!$E$3:$E$2002,0)),"")</f>
        <v/>
      </c>
      <c r="K996" s="80">
        <f>IFERROR(INDEX(打卡匯入!$D$3:$D$2002,MATCH($C996&amp;"|"&amp;DAY($A996),打卡匯入!$E$3:$E$2002,0)),"")</f>
        <v/>
      </c>
      <c r="L996" s="81">
        <f>IF(OR($J996="",$K996=""),"",IFERROR(INDEX(設定!$F$6:$F$18,MATCH($G996,設定!$B$6:$B$18,0)),0))</f>
        <v/>
      </c>
      <c r="M996" s="82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1">
        <f>IF(OR($C996="",$H996="",$J996=""),0,IF(ROUND(($J996-$H996)*1440,0)&gt;設定!$C$42,ROUND(($J996-$H996)*1440,0),0))</f>
        <v/>
      </c>
      <c r="P996" s="81">
        <f>IF(OR($C996="",$I996="",$K996=""),0,IF(ROUND(($I996-$K996)*1440,0)&gt;設定!$C$42,ROUND(($I996-$K996)*1440,0),0))</f>
        <v/>
      </c>
      <c r="Q996" s="82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79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0">
        <f>IF($G997="","",IFERROR(INDEX(設定!$D$6:$D$18,MATCH($G997,設定!$B$6:$B$18,0)),""))</f>
        <v/>
      </c>
      <c r="I997" s="80">
        <f>IF($G997="","",IFERROR(INDEX(設定!$E$6:$E$18,MATCH($G997,設定!$B$6:$B$18,0)),""))</f>
        <v/>
      </c>
      <c r="J997" s="80">
        <f>IFERROR(INDEX(打卡匯入!$C$3:$C$2002,MATCH($C997&amp;"|"&amp;DAY($A997),打卡匯入!$E$3:$E$2002,0)),"")</f>
        <v/>
      </c>
      <c r="K997" s="80">
        <f>IFERROR(INDEX(打卡匯入!$D$3:$D$2002,MATCH($C997&amp;"|"&amp;DAY($A997),打卡匯入!$E$3:$E$2002,0)),"")</f>
        <v/>
      </c>
      <c r="L997" s="81">
        <f>IF(OR($J997="",$K997=""),"",IFERROR(INDEX(設定!$F$6:$F$18,MATCH($G997,設定!$B$6:$B$18,0)),0))</f>
        <v/>
      </c>
      <c r="M997" s="82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1">
        <f>IF(OR($C997="",$H997="",$J997=""),0,IF(ROUND(($J997-$H997)*1440,0)&gt;設定!$C$42,ROUND(($J997-$H997)*1440,0),0))</f>
        <v/>
      </c>
      <c r="P997" s="81">
        <f>IF(OR($C997="",$I997="",$K997=""),0,IF(ROUND(($I997-$K997)*1440,0)&gt;設定!$C$42,ROUND(($I997-$K997)*1440,0),0))</f>
        <v/>
      </c>
      <c r="Q997" s="82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79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0">
        <f>IF($G998="","",IFERROR(INDEX(設定!$D$6:$D$18,MATCH($G998,設定!$B$6:$B$18,0)),""))</f>
        <v/>
      </c>
      <c r="I998" s="80">
        <f>IF($G998="","",IFERROR(INDEX(設定!$E$6:$E$18,MATCH($G998,設定!$B$6:$B$18,0)),""))</f>
        <v/>
      </c>
      <c r="J998" s="80">
        <f>IFERROR(INDEX(打卡匯入!$C$3:$C$2002,MATCH($C998&amp;"|"&amp;DAY($A998),打卡匯入!$E$3:$E$2002,0)),"")</f>
        <v/>
      </c>
      <c r="K998" s="80">
        <f>IFERROR(INDEX(打卡匯入!$D$3:$D$2002,MATCH($C998&amp;"|"&amp;DAY($A998),打卡匯入!$E$3:$E$2002,0)),"")</f>
        <v/>
      </c>
      <c r="L998" s="81">
        <f>IF(OR($J998="",$K998=""),"",IFERROR(INDEX(設定!$F$6:$F$18,MATCH($G998,設定!$B$6:$B$18,0)),0))</f>
        <v/>
      </c>
      <c r="M998" s="82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1">
        <f>IF(OR($C998="",$H998="",$J998=""),0,IF(ROUND(($J998-$H998)*1440,0)&gt;設定!$C$42,ROUND(($J998-$H998)*1440,0),0))</f>
        <v/>
      </c>
      <c r="P998" s="81">
        <f>IF(OR($C998="",$I998="",$K998=""),0,IF(ROUND(($I998-$K998)*1440,0)&gt;設定!$C$42,ROUND(($I998-$K998)*1440,0),0))</f>
        <v/>
      </c>
      <c r="Q998" s="82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79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0">
        <f>IF($G999="","",IFERROR(INDEX(設定!$D$6:$D$18,MATCH($G999,設定!$B$6:$B$18,0)),""))</f>
        <v/>
      </c>
      <c r="I999" s="80">
        <f>IF($G999="","",IFERROR(INDEX(設定!$E$6:$E$18,MATCH($G999,設定!$B$6:$B$18,0)),""))</f>
        <v/>
      </c>
      <c r="J999" s="80">
        <f>IFERROR(INDEX(打卡匯入!$C$3:$C$2002,MATCH($C999&amp;"|"&amp;DAY($A999),打卡匯入!$E$3:$E$2002,0)),"")</f>
        <v/>
      </c>
      <c r="K999" s="80">
        <f>IFERROR(INDEX(打卡匯入!$D$3:$D$2002,MATCH($C999&amp;"|"&amp;DAY($A999),打卡匯入!$E$3:$E$2002,0)),"")</f>
        <v/>
      </c>
      <c r="L999" s="81">
        <f>IF(OR($J999="",$K999=""),"",IFERROR(INDEX(設定!$F$6:$F$18,MATCH($G999,設定!$B$6:$B$18,0)),0))</f>
        <v/>
      </c>
      <c r="M999" s="82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1">
        <f>IF(OR($C999="",$H999="",$J999=""),0,IF(ROUND(($J999-$H999)*1440,0)&gt;設定!$C$42,ROUND(($J999-$H999)*1440,0),0))</f>
        <v/>
      </c>
      <c r="P999" s="81">
        <f>IF(OR($C999="",$I999="",$K999=""),0,IF(ROUND(($I999-$K999)*1440,0)&gt;設定!$C$42,ROUND(($I999-$K999)*1440,0),0))</f>
        <v/>
      </c>
      <c r="Q999" s="82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79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0">
        <f>IF($G1000="","",IFERROR(INDEX(設定!$D$6:$D$18,MATCH($G1000,設定!$B$6:$B$18,0)),""))</f>
        <v/>
      </c>
      <c r="I1000" s="80">
        <f>IF($G1000="","",IFERROR(INDEX(設定!$E$6:$E$18,MATCH($G1000,設定!$B$6:$B$18,0)),""))</f>
        <v/>
      </c>
      <c r="J1000" s="80">
        <f>IFERROR(INDEX(打卡匯入!$C$3:$C$2002,MATCH($C1000&amp;"|"&amp;DAY($A1000),打卡匯入!$E$3:$E$2002,0)),"")</f>
        <v/>
      </c>
      <c r="K1000" s="80">
        <f>IFERROR(INDEX(打卡匯入!$D$3:$D$2002,MATCH($C1000&amp;"|"&amp;DAY($A1000),打卡匯入!$E$3:$E$2002,0)),"")</f>
        <v/>
      </c>
      <c r="L1000" s="81">
        <f>IF(OR($J1000="",$K1000=""),"",IFERROR(INDEX(設定!$F$6:$F$18,MATCH($G1000,設定!$B$6:$B$18,0)),0))</f>
        <v/>
      </c>
      <c r="M1000" s="82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1">
        <f>IF(OR($C1000="",$H1000="",$J1000=""),0,IF(ROUND(($J1000-$H1000)*1440,0)&gt;設定!$C$42,ROUND(($J1000-$H1000)*1440,0),0))</f>
        <v/>
      </c>
      <c r="P1000" s="81">
        <f>IF(OR($C1000="",$I1000="",$K1000=""),0,IF(ROUND(($I1000-$K1000)*1440,0)&gt;設定!$C$42,ROUND(($I1000-$K1000)*1440,0),0))</f>
        <v/>
      </c>
      <c r="Q1000" s="82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79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0">
        <f>IF($G1001="","",IFERROR(INDEX(設定!$D$6:$D$18,MATCH($G1001,設定!$B$6:$B$18,0)),""))</f>
        <v/>
      </c>
      <c r="I1001" s="80">
        <f>IF($G1001="","",IFERROR(INDEX(設定!$E$6:$E$18,MATCH($G1001,設定!$B$6:$B$18,0)),""))</f>
        <v/>
      </c>
      <c r="J1001" s="80">
        <f>IFERROR(INDEX(打卡匯入!$C$3:$C$2002,MATCH($C1001&amp;"|"&amp;DAY($A1001),打卡匯入!$E$3:$E$2002,0)),"")</f>
        <v/>
      </c>
      <c r="K1001" s="80">
        <f>IFERROR(INDEX(打卡匯入!$D$3:$D$2002,MATCH($C1001&amp;"|"&amp;DAY($A1001),打卡匯入!$E$3:$E$2002,0)),"")</f>
        <v/>
      </c>
      <c r="L1001" s="81">
        <f>IF(OR($J1001="",$K1001=""),"",IFERROR(INDEX(設定!$F$6:$F$18,MATCH($G1001,設定!$B$6:$B$18,0)),0))</f>
        <v/>
      </c>
      <c r="M1001" s="82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1">
        <f>IF(OR($C1001="",$H1001="",$J1001=""),0,IF(ROUND(($J1001-$H1001)*1440,0)&gt;設定!$C$42,ROUND(($J1001-$H1001)*1440,0),0))</f>
        <v/>
      </c>
      <c r="P1001" s="81">
        <f>IF(OR($C1001="",$I1001="",$K1001=""),0,IF(ROUND(($I1001-$K1001)*1440,0)&gt;設定!$C$42,ROUND(($I1001-$K1001)*1440,0),0))</f>
        <v/>
      </c>
      <c r="Q1001" s="82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79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0">
        <f>IF($G1002="","",IFERROR(INDEX(設定!$D$6:$D$18,MATCH($G1002,設定!$B$6:$B$18,0)),""))</f>
        <v/>
      </c>
      <c r="I1002" s="80">
        <f>IF($G1002="","",IFERROR(INDEX(設定!$E$6:$E$18,MATCH($G1002,設定!$B$6:$B$18,0)),""))</f>
        <v/>
      </c>
      <c r="J1002" s="80">
        <f>IFERROR(INDEX(打卡匯入!$C$3:$C$2002,MATCH($C1002&amp;"|"&amp;DAY($A1002),打卡匯入!$E$3:$E$2002,0)),"")</f>
        <v/>
      </c>
      <c r="K1002" s="80">
        <f>IFERROR(INDEX(打卡匯入!$D$3:$D$2002,MATCH($C1002&amp;"|"&amp;DAY($A1002),打卡匯入!$E$3:$E$2002,0)),"")</f>
        <v/>
      </c>
      <c r="L1002" s="81">
        <f>IF(OR($J1002="",$K1002=""),"",IFERROR(INDEX(設定!$F$6:$F$18,MATCH($G1002,設定!$B$6:$B$18,0)),0))</f>
        <v/>
      </c>
      <c r="M1002" s="82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1">
        <f>IF(OR($C1002="",$H1002="",$J1002=""),0,IF(ROUND(($J1002-$H1002)*1440,0)&gt;設定!$C$42,ROUND(($J1002-$H1002)*1440,0),0))</f>
        <v/>
      </c>
      <c r="P1002" s="81">
        <f>IF(OR($C1002="",$I1002="",$K1002=""),0,IF(ROUND(($I1002-$K1002)*1440,0)&gt;設定!$C$42,ROUND(($I1002-$K1002)*1440,0),0))</f>
        <v/>
      </c>
      <c r="Q1002" s="82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79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0">
        <f>IF($G1003="","",IFERROR(INDEX(設定!$D$6:$D$18,MATCH($G1003,設定!$B$6:$B$18,0)),""))</f>
        <v/>
      </c>
      <c r="I1003" s="80">
        <f>IF($G1003="","",IFERROR(INDEX(設定!$E$6:$E$18,MATCH($G1003,設定!$B$6:$B$18,0)),""))</f>
        <v/>
      </c>
      <c r="J1003" s="80">
        <f>IFERROR(INDEX(打卡匯入!$C$3:$C$2002,MATCH($C1003&amp;"|"&amp;DAY($A1003),打卡匯入!$E$3:$E$2002,0)),"")</f>
        <v/>
      </c>
      <c r="K1003" s="80">
        <f>IFERROR(INDEX(打卡匯入!$D$3:$D$2002,MATCH($C1003&amp;"|"&amp;DAY($A1003),打卡匯入!$E$3:$E$2002,0)),"")</f>
        <v/>
      </c>
      <c r="L1003" s="81">
        <f>IF(OR($J1003="",$K1003=""),"",IFERROR(INDEX(設定!$F$6:$F$18,MATCH($G1003,設定!$B$6:$B$18,0)),0))</f>
        <v/>
      </c>
      <c r="M1003" s="82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1">
        <f>IF(OR($C1003="",$H1003="",$J1003=""),0,IF(ROUND(($J1003-$H1003)*1440,0)&gt;設定!$C$42,ROUND(($J1003-$H1003)*1440,0),0))</f>
        <v/>
      </c>
      <c r="P1003" s="81">
        <f>IF(OR($C1003="",$I1003="",$K1003=""),0,IF(ROUND(($I1003-$K1003)*1440,0)&gt;設定!$C$42,ROUND(($I1003-$K1003)*1440,0),0))</f>
        <v/>
      </c>
      <c r="Q1003" s="82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79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0">
        <f>IF($G1004="","",IFERROR(INDEX(設定!$D$6:$D$18,MATCH($G1004,設定!$B$6:$B$18,0)),""))</f>
        <v/>
      </c>
      <c r="I1004" s="80">
        <f>IF($G1004="","",IFERROR(INDEX(設定!$E$6:$E$18,MATCH($G1004,設定!$B$6:$B$18,0)),""))</f>
        <v/>
      </c>
      <c r="J1004" s="80">
        <f>IFERROR(INDEX(打卡匯入!$C$3:$C$2002,MATCH($C1004&amp;"|"&amp;DAY($A1004),打卡匯入!$E$3:$E$2002,0)),"")</f>
        <v/>
      </c>
      <c r="K1004" s="80">
        <f>IFERROR(INDEX(打卡匯入!$D$3:$D$2002,MATCH($C1004&amp;"|"&amp;DAY($A1004),打卡匯入!$E$3:$E$2002,0)),"")</f>
        <v/>
      </c>
      <c r="L1004" s="81">
        <f>IF(OR($J1004="",$K1004=""),"",IFERROR(INDEX(設定!$F$6:$F$18,MATCH($G1004,設定!$B$6:$B$18,0)),0))</f>
        <v/>
      </c>
      <c r="M1004" s="82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1">
        <f>IF(OR($C1004="",$H1004="",$J1004=""),0,IF(ROUND(($J1004-$H1004)*1440,0)&gt;設定!$C$42,ROUND(($J1004-$H1004)*1440,0),0))</f>
        <v/>
      </c>
      <c r="P1004" s="81">
        <f>IF(OR($C1004="",$I1004="",$K1004=""),0,IF(ROUND(($I1004-$K1004)*1440,0)&gt;設定!$C$42,ROUND(($I1004-$K1004)*1440,0),0))</f>
        <v/>
      </c>
      <c r="Q1004" s="82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79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0">
        <f>IF($G1005="","",IFERROR(INDEX(設定!$D$6:$D$18,MATCH($G1005,設定!$B$6:$B$18,0)),""))</f>
        <v/>
      </c>
      <c r="I1005" s="80">
        <f>IF($G1005="","",IFERROR(INDEX(設定!$E$6:$E$18,MATCH($G1005,設定!$B$6:$B$18,0)),""))</f>
        <v/>
      </c>
      <c r="J1005" s="80">
        <f>IFERROR(INDEX(打卡匯入!$C$3:$C$2002,MATCH($C1005&amp;"|"&amp;DAY($A1005),打卡匯入!$E$3:$E$2002,0)),"")</f>
        <v/>
      </c>
      <c r="K1005" s="80">
        <f>IFERROR(INDEX(打卡匯入!$D$3:$D$2002,MATCH($C1005&amp;"|"&amp;DAY($A1005),打卡匯入!$E$3:$E$2002,0)),"")</f>
        <v/>
      </c>
      <c r="L1005" s="81">
        <f>IF(OR($J1005="",$K1005=""),"",IFERROR(INDEX(設定!$F$6:$F$18,MATCH($G1005,設定!$B$6:$B$18,0)),0))</f>
        <v/>
      </c>
      <c r="M1005" s="82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1">
        <f>IF(OR($C1005="",$H1005="",$J1005=""),0,IF(ROUND(($J1005-$H1005)*1440,0)&gt;設定!$C$42,ROUND(($J1005-$H1005)*1440,0),0))</f>
        <v/>
      </c>
      <c r="P1005" s="81">
        <f>IF(OR($C1005="",$I1005="",$K1005=""),0,IF(ROUND(($I1005-$K1005)*1440,0)&gt;設定!$C$42,ROUND(($I1005-$K1005)*1440,0),0))</f>
        <v/>
      </c>
      <c r="Q1005" s="82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79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0">
        <f>IF($G1006="","",IFERROR(INDEX(設定!$D$6:$D$18,MATCH($G1006,設定!$B$6:$B$18,0)),""))</f>
        <v/>
      </c>
      <c r="I1006" s="80">
        <f>IF($G1006="","",IFERROR(INDEX(設定!$E$6:$E$18,MATCH($G1006,設定!$B$6:$B$18,0)),""))</f>
        <v/>
      </c>
      <c r="J1006" s="80">
        <f>IFERROR(INDEX(打卡匯入!$C$3:$C$2002,MATCH($C1006&amp;"|"&amp;DAY($A1006),打卡匯入!$E$3:$E$2002,0)),"")</f>
        <v/>
      </c>
      <c r="K1006" s="80">
        <f>IFERROR(INDEX(打卡匯入!$D$3:$D$2002,MATCH($C1006&amp;"|"&amp;DAY($A1006),打卡匯入!$E$3:$E$2002,0)),"")</f>
        <v/>
      </c>
      <c r="L1006" s="81">
        <f>IF(OR($J1006="",$K1006=""),"",IFERROR(INDEX(設定!$F$6:$F$18,MATCH($G1006,設定!$B$6:$B$18,0)),0))</f>
        <v/>
      </c>
      <c r="M1006" s="82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1">
        <f>IF(OR($C1006="",$H1006="",$J1006=""),0,IF(ROUND(($J1006-$H1006)*1440,0)&gt;設定!$C$42,ROUND(($J1006-$H1006)*1440,0),0))</f>
        <v/>
      </c>
      <c r="P1006" s="81">
        <f>IF(OR($C1006="",$I1006="",$K1006=""),0,IF(ROUND(($I1006-$K1006)*1440,0)&gt;設定!$C$42,ROUND(($I1006-$K1006)*1440,0),0))</f>
        <v/>
      </c>
      <c r="Q1006" s="82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79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0">
        <f>IF($G1007="","",IFERROR(INDEX(設定!$D$6:$D$18,MATCH($G1007,設定!$B$6:$B$18,0)),""))</f>
        <v/>
      </c>
      <c r="I1007" s="80">
        <f>IF($G1007="","",IFERROR(INDEX(設定!$E$6:$E$18,MATCH($G1007,設定!$B$6:$B$18,0)),""))</f>
        <v/>
      </c>
      <c r="J1007" s="80">
        <f>IFERROR(INDEX(打卡匯入!$C$3:$C$2002,MATCH($C1007&amp;"|"&amp;DAY($A1007),打卡匯入!$E$3:$E$2002,0)),"")</f>
        <v/>
      </c>
      <c r="K1007" s="80">
        <f>IFERROR(INDEX(打卡匯入!$D$3:$D$2002,MATCH($C1007&amp;"|"&amp;DAY($A1007),打卡匯入!$E$3:$E$2002,0)),"")</f>
        <v/>
      </c>
      <c r="L1007" s="81">
        <f>IF(OR($J1007="",$K1007=""),"",IFERROR(INDEX(設定!$F$6:$F$18,MATCH($G1007,設定!$B$6:$B$18,0)),0))</f>
        <v/>
      </c>
      <c r="M1007" s="82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1">
        <f>IF(OR($C1007="",$H1007="",$J1007=""),0,IF(ROUND(($J1007-$H1007)*1440,0)&gt;設定!$C$42,ROUND(($J1007-$H1007)*1440,0),0))</f>
        <v/>
      </c>
      <c r="P1007" s="81">
        <f>IF(OR($C1007="",$I1007="",$K1007=""),0,IF(ROUND(($I1007-$K1007)*1440,0)&gt;設定!$C$42,ROUND(($I1007-$K1007)*1440,0),0))</f>
        <v/>
      </c>
      <c r="Q1007" s="82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79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0">
        <f>IF($G1008="","",IFERROR(INDEX(設定!$D$6:$D$18,MATCH($G1008,設定!$B$6:$B$18,0)),""))</f>
        <v/>
      </c>
      <c r="I1008" s="80">
        <f>IF($G1008="","",IFERROR(INDEX(設定!$E$6:$E$18,MATCH($G1008,設定!$B$6:$B$18,0)),""))</f>
        <v/>
      </c>
      <c r="J1008" s="80">
        <f>IFERROR(INDEX(打卡匯入!$C$3:$C$2002,MATCH($C1008&amp;"|"&amp;DAY($A1008),打卡匯入!$E$3:$E$2002,0)),"")</f>
        <v/>
      </c>
      <c r="K1008" s="80">
        <f>IFERROR(INDEX(打卡匯入!$D$3:$D$2002,MATCH($C1008&amp;"|"&amp;DAY($A1008),打卡匯入!$E$3:$E$2002,0)),"")</f>
        <v/>
      </c>
      <c r="L1008" s="81">
        <f>IF(OR($J1008="",$K1008=""),"",IFERROR(INDEX(設定!$F$6:$F$18,MATCH($G1008,設定!$B$6:$B$18,0)),0))</f>
        <v/>
      </c>
      <c r="M1008" s="82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1">
        <f>IF(OR($C1008="",$H1008="",$J1008=""),0,IF(ROUND(($J1008-$H1008)*1440,0)&gt;設定!$C$42,ROUND(($J1008-$H1008)*1440,0),0))</f>
        <v/>
      </c>
      <c r="P1008" s="81">
        <f>IF(OR($C1008="",$I1008="",$K1008=""),0,IF(ROUND(($I1008-$K1008)*1440,0)&gt;設定!$C$42,ROUND(($I1008-$K1008)*1440,0),0))</f>
        <v/>
      </c>
      <c r="Q1008" s="82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79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0">
        <f>IF($G1009="","",IFERROR(INDEX(設定!$D$6:$D$18,MATCH($G1009,設定!$B$6:$B$18,0)),""))</f>
        <v/>
      </c>
      <c r="I1009" s="80">
        <f>IF($G1009="","",IFERROR(INDEX(設定!$E$6:$E$18,MATCH($G1009,設定!$B$6:$B$18,0)),""))</f>
        <v/>
      </c>
      <c r="J1009" s="80">
        <f>IFERROR(INDEX(打卡匯入!$C$3:$C$2002,MATCH($C1009&amp;"|"&amp;DAY($A1009),打卡匯入!$E$3:$E$2002,0)),"")</f>
        <v/>
      </c>
      <c r="K1009" s="80">
        <f>IFERROR(INDEX(打卡匯入!$D$3:$D$2002,MATCH($C1009&amp;"|"&amp;DAY($A1009),打卡匯入!$E$3:$E$2002,0)),"")</f>
        <v/>
      </c>
      <c r="L1009" s="81">
        <f>IF(OR($J1009="",$K1009=""),"",IFERROR(INDEX(設定!$F$6:$F$18,MATCH($G1009,設定!$B$6:$B$18,0)),0))</f>
        <v/>
      </c>
      <c r="M1009" s="82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1">
        <f>IF(OR($C1009="",$H1009="",$J1009=""),0,IF(ROUND(($J1009-$H1009)*1440,0)&gt;設定!$C$42,ROUND(($J1009-$H1009)*1440,0),0))</f>
        <v/>
      </c>
      <c r="P1009" s="81">
        <f>IF(OR($C1009="",$I1009="",$K1009=""),0,IF(ROUND(($I1009-$K1009)*1440,0)&gt;設定!$C$42,ROUND(($I1009-$K1009)*1440,0),0))</f>
        <v/>
      </c>
      <c r="Q1009" s="82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79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0">
        <f>IF($G1010="","",IFERROR(INDEX(設定!$D$6:$D$18,MATCH($G1010,設定!$B$6:$B$18,0)),""))</f>
        <v/>
      </c>
      <c r="I1010" s="80">
        <f>IF($G1010="","",IFERROR(INDEX(設定!$E$6:$E$18,MATCH($G1010,設定!$B$6:$B$18,0)),""))</f>
        <v/>
      </c>
      <c r="J1010" s="80">
        <f>IFERROR(INDEX(打卡匯入!$C$3:$C$2002,MATCH($C1010&amp;"|"&amp;DAY($A1010),打卡匯入!$E$3:$E$2002,0)),"")</f>
        <v/>
      </c>
      <c r="K1010" s="80">
        <f>IFERROR(INDEX(打卡匯入!$D$3:$D$2002,MATCH($C1010&amp;"|"&amp;DAY($A1010),打卡匯入!$E$3:$E$2002,0)),"")</f>
        <v/>
      </c>
      <c r="L1010" s="81">
        <f>IF(OR($J1010="",$K1010=""),"",IFERROR(INDEX(設定!$F$6:$F$18,MATCH($G1010,設定!$B$6:$B$18,0)),0))</f>
        <v/>
      </c>
      <c r="M1010" s="82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1">
        <f>IF(OR($C1010="",$H1010="",$J1010=""),0,IF(ROUND(($J1010-$H1010)*1440,0)&gt;設定!$C$42,ROUND(($J1010-$H1010)*1440,0),0))</f>
        <v/>
      </c>
      <c r="P1010" s="81">
        <f>IF(OR($C1010="",$I1010="",$K1010=""),0,IF(ROUND(($I1010-$K1010)*1440,0)&gt;設定!$C$42,ROUND(($I1010-$K1010)*1440,0),0))</f>
        <v/>
      </c>
      <c r="Q1010" s="82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79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0">
        <f>IF($G1011="","",IFERROR(INDEX(設定!$D$6:$D$18,MATCH($G1011,設定!$B$6:$B$18,0)),""))</f>
        <v/>
      </c>
      <c r="I1011" s="80">
        <f>IF($G1011="","",IFERROR(INDEX(設定!$E$6:$E$18,MATCH($G1011,設定!$B$6:$B$18,0)),""))</f>
        <v/>
      </c>
      <c r="J1011" s="80">
        <f>IFERROR(INDEX(打卡匯入!$C$3:$C$2002,MATCH($C1011&amp;"|"&amp;DAY($A1011),打卡匯入!$E$3:$E$2002,0)),"")</f>
        <v/>
      </c>
      <c r="K1011" s="80">
        <f>IFERROR(INDEX(打卡匯入!$D$3:$D$2002,MATCH($C1011&amp;"|"&amp;DAY($A1011),打卡匯入!$E$3:$E$2002,0)),"")</f>
        <v/>
      </c>
      <c r="L1011" s="81">
        <f>IF(OR($J1011="",$K1011=""),"",IFERROR(INDEX(設定!$F$6:$F$18,MATCH($G1011,設定!$B$6:$B$18,0)),0))</f>
        <v/>
      </c>
      <c r="M1011" s="82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1">
        <f>IF(OR($C1011="",$H1011="",$J1011=""),0,IF(ROUND(($J1011-$H1011)*1440,0)&gt;設定!$C$42,ROUND(($J1011-$H1011)*1440,0),0))</f>
        <v/>
      </c>
      <c r="P1011" s="81">
        <f>IF(OR($C1011="",$I1011="",$K1011=""),0,IF(ROUND(($I1011-$K1011)*1440,0)&gt;設定!$C$42,ROUND(($I1011-$K1011)*1440,0),0))</f>
        <v/>
      </c>
      <c r="Q1011" s="82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79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0">
        <f>IF($G1012="","",IFERROR(INDEX(設定!$D$6:$D$18,MATCH($G1012,設定!$B$6:$B$18,0)),""))</f>
        <v/>
      </c>
      <c r="I1012" s="80">
        <f>IF($G1012="","",IFERROR(INDEX(設定!$E$6:$E$18,MATCH($G1012,設定!$B$6:$B$18,0)),""))</f>
        <v/>
      </c>
      <c r="J1012" s="80">
        <f>IFERROR(INDEX(打卡匯入!$C$3:$C$2002,MATCH($C1012&amp;"|"&amp;DAY($A1012),打卡匯入!$E$3:$E$2002,0)),"")</f>
        <v/>
      </c>
      <c r="K1012" s="80">
        <f>IFERROR(INDEX(打卡匯入!$D$3:$D$2002,MATCH($C1012&amp;"|"&amp;DAY($A1012),打卡匯入!$E$3:$E$2002,0)),"")</f>
        <v/>
      </c>
      <c r="L1012" s="81">
        <f>IF(OR($J1012="",$K1012=""),"",IFERROR(INDEX(設定!$F$6:$F$18,MATCH($G1012,設定!$B$6:$B$18,0)),0))</f>
        <v/>
      </c>
      <c r="M1012" s="82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1">
        <f>IF(OR($C1012="",$H1012="",$J1012=""),0,IF(ROUND(($J1012-$H1012)*1440,0)&gt;設定!$C$42,ROUND(($J1012-$H1012)*1440,0),0))</f>
        <v/>
      </c>
      <c r="P1012" s="81">
        <f>IF(OR($C1012="",$I1012="",$K1012=""),0,IF(ROUND(($I1012-$K1012)*1440,0)&gt;設定!$C$42,ROUND(($I1012-$K1012)*1440,0),0))</f>
        <v/>
      </c>
      <c r="Q1012" s="82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79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0">
        <f>IF($G1013="","",IFERROR(INDEX(設定!$D$6:$D$18,MATCH($G1013,設定!$B$6:$B$18,0)),""))</f>
        <v/>
      </c>
      <c r="I1013" s="80">
        <f>IF($G1013="","",IFERROR(INDEX(設定!$E$6:$E$18,MATCH($G1013,設定!$B$6:$B$18,0)),""))</f>
        <v/>
      </c>
      <c r="J1013" s="80">
        <f>IFERROR(INDEX(打卡匯入!$C$3:$C$2002,MATCH($C1013&amp;"|"&amp;DAY($A1013),打卡匯入!$E$3:$E$2002,0)),"")</f>
        <v/>
      </c>
      <c r="K1013" s="80">
        <f>IFERROR(INDEX(打卡匯入!$D$3:$D$2002,MATCH($C1013&amp;"|"&amp;DAY($A1013),打卡匯入!$E$3:$E$2002,0)),"")</f>
        <v/>
      </c>
      <c r="L1013" s="81">
        <f>IF(OR($J1013="",$K1013=""),"",IFERROR(INDEX(設定!$F$6:$F$18,MATCH($G1013,設定!$B$6:$B$18,0)),0))</f>
        <v/>
      </c>
      <c r="M1013" s="82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1">
        <f>IF(OR($C1013="",$H1013="",$J1013=""),0,IF(ROUND(($J1013-$H1013)*1440,0)&gt;設定!$C$42,ROUND(($J1013-$H1013)*1440,0),0))</f>
        <v/>
      </c>
      <c r="P1013" s="81">
        <f>IF(OR($C1013="",$I1013="",$K1013=""),0,IF(ROUND(($I1013-$K1013)*1440,0)&gt;設定!$C$42,ROUND(($I1013-$K1013)*1440,0),0))</f>
        <v/>
      </c>
      <c r="Q1013" s="82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79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0">
        <f>IF($G1014="","",IFERROR(INDEX(設定!$D$6:$D$18,MATCH($G1014,設定!$B$6:$B$18,0)),""))</f>
        <v/>
      </c>
      <c r="I1014" s="80">
        <f>IF($G1014="","",IFERROR(INDEX(設定!$E$6:$E$18,MATCH($G1014,設定!$B$6:$B$18,0)),""))</f>
        <v/>
      </c>
      <c r="J1014" s="80">
        <f>IFERROR(INDEX(打卡匯入!$C$3:$C$2002,MATCH($C1014&amp;"|"&amp;DAY($A1014),打卡匯入!$E$3:$E$2002,0)),"")</f>
        <v/>
      </c>
      <c r="K1014" s="80">
        <f>IFERROR(INDEX(打卡匯入!$D$3:$D$2002,MATCH($C1014&amp;"|"&amp;DAY($A1014),打卡匯入!$E$3:$E$2002,0)),"")</f>
        <v/>
      </c>
      <c r="L1014" s="81">
        <f>IF(OR($J1014="",$K1014=""),"",IFERROR(INDEX(設定!$F$6:$F$18,MATCH($G1014,設定!$B$6:$B$18,0)),0))</f>
        <v/>
      </c>
      <c r="M1014" s="82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1">
        <f>IF(OR($C1014="",$H1014="",$J1014=""),0,IF(ROUND(($J1014-$H1014)*1440,0)&gt;設定!$C$42,ROUND(($J1014-$H1014)*1440,0),0))</f>
        <v/>
      </c>
      <c r="P1014" s="81">
        <f>IF(OR($C1014="",$I1014="",$K1014=""),0,IF(ROUND(($I1014-$K1014)*1440,0)&gt;設定!$C$42,ROUND(($I1014-$K1014)*1440,0),0))</f>
        <v/>
      </c>
      <c r="Q1014" s="82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79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0">
        <f>IF($G1015="","",IFERROR(INDEX(設定!$D$6:$D$18,MATCH($G1015,設定!$B$6:$B$18,0)),""))</f>
        <v/>
      </c>
      <c r="I1015" s="80">
        <f>IF($G1015="","",IFERROR(INDEX(設定!$E$6:$E$18,MATCH($G1015,設定!$B$6:$B$18,0)),""))</f>
        <v/>
      </c>
      <c r="J1015" s="80">
        <f>IFERROR(INDEX(打卡匯入!$C$3:$C$2002,MATCH($C1015&amp;"|"&amp;DAY($A1015),打卡匯入!$E$3:$E$2002,0)),"")</f>
        <v/>
      </c>
      <c r="K1015" s="80">
        <f>IFERROR(INDEX(打卡匯入!$D$3:$D$2002,MATCH($C1015&amp;"|"&amp;DAY($A1015),打卡匯入!$E$3:$E$2002,0)),"")</f>
        <v/>
      </c>
      <c r="L1015" s="81">
        <f>IF(OR($J1015="",$K1015=""),"",IFERROR(INDEX(設定!$F$6:$F$18,MATCH($G1015,設定!$B$6:$B$18,0)),0))</f>
        <v/>
      </c>
      <c r="M1015" s="82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1">
        <f>IF(OR($C1015="",$H1015="",$J1015=""),0,IF(ROUND(($J1015-$H1015)*1440,0)&gt;設定!$C$42,ROUND(($J1015-$H1015)*1440,0),0))</f>
        <v/>
      </c>
      <c r="P1015" s="81">
        <f>IF(OR($C1015="",$I1015="",$K1015=""),0,IF(ROUND(($I1015-$K1015)*1440,0)&gt;設定!$C$42,ROUND(($I1015-$K1015)*1440,0),0))</f>
        <v/>
      </c>
      <c r="Q1015" s="82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79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0">
        <f>IF($G1016="","",IFERROR(INDEX(設定!$D$6:$D$18,MATCH($G1016,設定!$B$6:$B$18,0)),""))</f>
        <v/>
      </c>
      <c r="I1016" s="80">
        <f>IF($G1016="","",IFERROR(INDEX(設定!$E$6:$E$18,MATCH($G1016,設定!$B$6:$B$18,0)),""))</f>
        <v/>
      </c>
      <c r="J1016" s="80">
        <f>IFERROR(INDEX(打卡匯入!$C$3:$C$2002,MATCH($C1016&amp;"|"&amp;DAY($A1016),打卡匯入!$E$3:$E$2002,0)),"")</f>
        <v/>
      </c>
      <c r="K1016" s="80">
        <f>IFERROR(INDEX(打卡匯入!$D$3:$D$2002,MATCH($C1016&amp;"|"&amp;DAY($A1016),打卡匯入!$E$3:$E$2002,0)),"")</f>
        <v/>
      </c>
      <c r="L1016" s="81">
        <f>IF(OR($J1016="",$K1016=""),"",IFERROR(INDEX(設定!$F$6:$F$18,MATCH($G1016,設定!$B$6:$B$18,0)),0))</f>
        <v/>
      </c>
      <c r="M1016" s="82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1">
        <f>IF(OR($C1016="",$H1016="",$J1016=""),0,IF(ROUND(($J1016-$H1016)*1440,0)&gt;設定!$C$42,ROUND(($J1016-$H1016)*1440,0),0))</f>
        <v/>
      </c>
      <c r="P1016" s="81">
        <f>IF(OR($C1016="",$I1016="",$K1016=""),0,IF(ROUND(($I1016-$K1016)*1440,0)&gt;設定!$C$42,ROUND(($I1016-$K1016)*1440,0),0))</f>
        <v/>
      </c>
      <c r="Q1016" s="82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79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0">
        <f>IF($G1017="","",IFERROR(INDEX(設定!$D$6:$D$18,MATCH($G1017,設定!$B$6:$B$18,0)),""))</f>
        <v/>
      </c>
      <c r="I1017" s="80">
        <f>IF($G1017="","",IFERROR(INDEX(設定!$E$6:$E$18,MATCH($G1017,設定!$B$6:$B$18,0)),""))</f>
        <v/>
      </c>
      <c r="J1017" s="80">
        <f>IFERROR(INDEX(打卡匯入!$C$3:$C$2002,MATCH($C1017&amp;"|"&amp;DAY($A1017),打卡匯入!$E$3:$E$2002,0)),"")</f>
        <v/>
      </c>
      <c r="K1017" s="80">
        <f>IFERROR(INDEX(打卡匯入!$D$3:$D$2002,MATCH($C1017&amp;"|"&amp;DAY($A1017),打卡匯入!$E$3:$E$2002,0)),"")</f>
        <v/>
      </c>
      <c r="L1017" s="81">
        <f>IF(OR($J1017="",$K1017=""),"",IFERROR(INDEX(設定!$F$6:$F$18,MATCH($G1017,設定!$B$6:$B$18,0)),0))</f>
        <v/>
      </c>
      <c r="M1017" s="82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1">
        <f>IF(OR($C1017="",$H1017="",$J1017=""),0,IF(ROUND(($J1017-$H1017)*1440,0)&gt;設定!$C$42,ROUND(($J1017-$H1017)*1440,0),0))</f>
        <v/>
      </c>
      <c r="P1017" s="81">
        <f>IF(OR($C1017="",$I1017="",$K1017=""),0,IF(ROUND(($I1017-$K1017)*1440,0)&gt;設定!$C$42,ROUND(($I1017-$K1017)*1440,0),0))</f>
        <v/>
      </c>
      <c r="Q1017" s="82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79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0">
        <f>IF($G1018="","",IFERROR(INDEX(設定!$D$6:$D$18,MATCH($G1018,設定!$B$6:$B$18,0)),""))</f>
        <v/>
      </c>
      <c r="I1018" s="80">
        <f>IF($G1018="","",IFERROR(INDEX(設定!$E$6:$E$18,MATCH($G1018,設定!$B$6:$B$18,0)),""))</f>
        <v/>
      </c>
      <c r="J1018" s="80">
        <f>IFERROR(INDEX(打卡匯入!$C$3:$C$2002,MATCH($C1018&amp;"|"&amp;DAY($A1018),打卡匯入!$E$3:$E$2002,0)),"")</f>
        <v/>
      </c>
      <c r="K1018" s="80">
        <f>IFERROR(INDEX(打卡匯入!$D$3:$D$2002,MATCH($C1018&amp;"|"&amp;DAY($A1018),打卡匯入!$E$3:$E$2002,0)),"")</f>
        <v/>
      </c>
      <c r="L1018" s="81">
        <f>IF(OR($J1018="",$K1018=""),"",IFERROR(INDEX(設定!$F$6:$F$18,MATCH($G1018,設定!$B$6:$B$18,0)),0))</f>
        <v/>
      </c>
      <c r="M1018" s="82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1">
        <f>IF(OR($C1018="",$H1018="",$J1018=""),0,IF(ROUND(($J1018-$H1018)*1440,0)&gt;設定!$C$42,ROUND(($J1018-$H1018)*1440,0),0))</f>
        <v/>
      </c>
      <c r="P1018" s="81">
        <f>IF(OR($C1018="",$I1018="",$K1018=""),0,IF(ROUND(($I1018-$K1018)*1440,0)&gt;設定!$C$42,ROUND(($I1018-$K1018)*1440,0),0))</f>
        <v/>
      </c>
      <c r="Q1018" s="82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79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0">
        <f>IF($G1019="","",IFERROR(INDEX(設定!$D$6:$D$18,MATCH($G1019,設定!$B$6:$B$18,0)),""))</f>
        <v/>
      </c>
      <c r="I1019" s="80">
        <f>IF($G1019="","",IFERROR(INDEX(設定!$E$6:$E$18,MATCH($G1019,設定!$B$6:$B$18,0)),""))</f>
        <v/>
      </c>
      <c r="J1019" s="80">
        <f>IFERROR(INDEX(打卡匯入!$C$3:$C$2002,MATCH($C1019&amp;"|"&amp;DAY($A1019),打卡匯入!$E$3:$E$2002,0)),"")</f>
        <v/>
      </c>
      <c r="K1019" s="80">
        <f>IFERROR(INDEX(打卡匯入!$D$3:$D$2002,MATCH($C1019&amp;"|"&amp;DAY($A1019),打卡匯入!$E$3:$E$2002,0)),"")</f>
        <v/>
      </c>
      <c r="L1019" s="81">
        <f>IF(OR($J1019="",$K1019=""),"",IFERROR(INDEX(設定!$F$6:$F$18,MATCH($G1019,設定!$B$6:$B$18,0)),0))</f>
        <v/>
      </c>
      <c r="M1019" s="82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1">
        <f>IF(OR($C1019="",$H1019="",$J1019=""),0,IF(ROUND(($J1019-$H1019)*1440,0)&gt;設定!$C$42,ROUND(($J1019-$H1019)*1440,0),0))</f>
        <v/>
      </c>
      <c r="P1019" s="81">
        <f>IF(OR($C1019="",$I1019="",$K1019=""),0,IF(ROUND(($I1019-$K1019)*1440,0)&gt;設定!$C$42,ROUND(($I1019-$K1019)*1440,0),0))</f>
        <v/>
      </c>
      <c r="Q1019" s="82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79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0">
        <f>IF($G1020="","",IFERROR(INDEX(設定!$D$6:$D$18,MATCH($G1020,設定!$B$6:$B$18,0)),""))</f>
        <v/>
      </c>
      <c r="I1020" s="80">
        <f>IF($G1020="","",IFERROR(INDEX(設定!$E$6:$E$18,MATCH($G1020,設定!$B$6:$B$18,0)),""))</f>
        <v/>
      </c>
      <c r="J1020" s="80">
        <f>IFERROR(INDEX(打卡匯入!$C$3:$C$2002,MATCH($C1020&amp;"|"&amp;DAY($A1020),打卡匯入!$E$3:$E$2002,0)),"")</f>
        <v/>
      </c>
      <c r="K1020" s="80">
        <f>IFERROR(INDEX(打卡匯入!$D$3:$D$2002,MATCH($C1020&amp;"|"&amp;DAY($A1020),打卡匯入!$E$3:$E$2002,0)),"")</f>
        <v/>
      </c>
      <c r="L1020" s="81">
        <f>IF(OR($J1020="",$K1020=""),"",IFERROR(INDEX(設定!$F$6:$F$18,MATCH($G1020,設定!$B$6:$B$18,0)),0))</f>
        <v/>
      </c>
      <c r="M1020" s="82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1">
        <f>IF(OR($C1020="",$H1020="",$J1020=""),0,IF(ROUND(($J1020-$H1020)*1440,0)&gt;設定!$C$42,ROUND(($J1020-$H1020)*1440,0),0))</f>
        <v/>
      </c>
      <c r="P1020" s="81">
        <f>IF(OR($C1020="",$I1020="",$K1020=""),0,IF(ROUND(($I1020-$K1020)*1440,0)&gt;設定!$C$42,ROUND(($I1020-$K1020)*1440,0),0))</f>
        <v/>
      </c>
      <c r="Q1020" s="82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79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0">
        <f>IF($G1021="","",IFERROR(INDEX(設定!$D$6:$D$18,MATCH($G1021,設定!$B$6:$B$18,0)),""))</f>
        <v/>
      </c>
      <c r="I1021" s="80">
        <f>IF($G1021="","",IFERROR(INDEX(設定!$E$6:$E$18,MATCH($G1021,設定!$B$6:$B$18,0)),""))</f>
        <v/>
      </c>
      <c r="J1021" s="80">
        <f>IFERROR(INDEX(打卡匯入!$C$3:$C$2002,MATCH($C1021&amp;"|"&amp;DAY($A1021),打卡匯入!$E$3:$E$2002,0)),"")</f>
        <v/>
      </c>
      <c r="K1021" s="80">
        <f>IFERROR(INDEX(打卡匯入!$D$3:$D$2002,MATCH($C1021&amp;"|"&amp;DAY($A1021),打卡匯入!$E$3:$E$2002,0)),"")</f>
        <v/>
      </c>
      <c r="L1021" s="81">
        <f>IF(OR($J1021="",$K1021=""),"",IFERROR(INDEX(設定!$F$6:$F$18,MATCH($G1021,設定!$B$6:$B$18,0)),0))</f>
        <v/>
      </c>
      <c r="M1021" s="82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1">
        <f>IF(OR($C1021="",$H1021="",$J1021=""),0,IF(ROUND(($J1021-$H1021)*1440,0)&gt;設定!$C$42,ROUND(($J1021-$H1021)*1440,0),0))</f>
        <v/>
      </c>
      <c r="P1021" s="81">
        <f>IF(OR($C1021="",$I1021="",$K1021=""),0,IF(ROUND(($I1021-$K1021)*1440,0)&gt;設定!$C$42,ROUND(($I1021-$K1021)*1440,0),0))</f>
        <v/>
      </c>
      <c r="Q1021" s="82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79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0">
        <f>IF($G1022="","",IFERROR(INDEX(設定!$D$6:$D$18,MATCH($G1022,設定!$B$6:$B$18,0)),""))</f>
        <v/>
      </c>
      <c r="I1022" s="80">
        <f>IF($G1022="","",IFERROR(INDEX(設定!$E$6:$E$18,MATCH($G1022,設定!$B$6:$B$18,0)),""))</f>
        <v/>
      </c>
      <c r="J1022" s="80">
        <f>IFERROR(INDEX(打卡匯入!$C$3:$C$2002,MATCH($C1022&amp;"|"&amp;DAY($A1022),打卡匯入!$E$3:$E$2002,0)),"")</f>
        <v/>
      </c>
      <c r="K1022" s="80">
        <f>IFERROR(INDEX(打卡匯入!$D$3:$D$2002,MATCH($C1022&amp;"|"&amp;DAY($A1022),打卡匯入!$E$3:$E$2002,0)),"")</f>
        <v/>
      </c>
      <c r="L1022" s="81">
        <f>IF(OR($J1022="",$K1022=""),"",IFERROR(INDEX(設定!$F$6:$F$18,MATCH($G1022,設定!$B$6:$B$18,0)),0))</f>
        <v/>
      </c>
      <c r="M1022" s="82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1">
        <f>IF(OR($C1022="",$H1022="",$J1022=""),0,IF(ROUND(($J1022-$H1022)*1440,0)&gt;設定!$C$42,ROUND(($J1022-$H1022)*1440,0),0))</f>
        <v/>
      </c>
      <c r="P1022" s="81">
        <f>IF(OR($C1022="",$I1022="",$K1022=""),0,IF(ROUND(($I1022-$K1022)*1440,0)&gt;設定!$C$42,ROUND(($I1022-$K1022)*1440,0),0))</f>
        <v/>
      </c>
      <c r="Q1022" s="82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79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0">
        <f>IF($G1023="","",IFERROR(INDEX(設定!$D$6:$D$18,MATCH($G1023,設定!$B$6:$B$18,0)),""))</f>
        <v/>
      </c>
      <c r="I1023" s="80">
        <f>IF($G1023="","",IFERROR(INDEX(設定!$E$6:$E$18,MATCH($G1023,設定!$B$6:$B$18,0)),""))</f>
        <v/>
      </c>
      <c r="J1023" s="80">
        <f>IFERROR(INDEX(打卡匯入!$C$3:$C$2002,MATCH($C1023&amp;"|"&amp;DAY($A1023),打卡匯入!$E$3:$E$2002,0)),"")</f>
        <v/>
      </c>
      <c r="K1023" s="80">
        <f>IFERROR(INDEX(打卡匯入!$D$3:$D$2002,MATCH($C1023&amp;"|"&amp;DAY($A1023),打卡匯入!$E$3:$E$2002,0)),"")</f>
        <v/>
      </c>
      <c r="L1023" s="81">
        <f>IF(OR($J1023="",$K1023=""),"",IFERROR(INDEX(設定!$F$6:$F$18,MATCH($G1023,設定!$B$6:$B$18,0)),0))</f>
        <v/>
      </c>
      <c r="M1023" s="82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1">
        <f>IF(OR($C1023="",$H1023="",$J1023=""),0,IF(ROUND(($J1023-$H1023)*1440,0)&gt;設定!$C$42,ROUND(($J1023-$H1023)*1440,0),0))</f>
        <v/>
      </c>
      <c r="P1023" s="81">
        <f>IF(OR($C1023="",$I1023="",$K1023=""),0,IF(ROUND(($I1023-$K1023)*1440,0)&gt;設定!$C$42,ROUND(($I1023-$K1023)*1440,0),0))</f>
        <v/>
      </c>
      <c r="Q1023" s="82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79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0">
        <f>IF($G1024="","",IFERROR(INDEX(設定!$D$6:$D$18,MATCH($G1024,設定!$B$6:$B$18,0)),""))</f>
        <v/>
      </c>
      <c r="I1024" s="80">
        <f>IF($G1024="","",IFERROR(INDEX(設定!$E$6:$E$18,MATCH($G1024,設定!$B$6:$B$18,0)),""))</f>
        <v/>
      </c>
      <c r="J1024" s="80">
        <f>IFERROR(INDEX(打卡匯入!$C$3:$C$2002,MATCH($C1024&amp;"|"&amp;DAY($A1024),打卡匯入!$E$3:$E$2002,0)),"")</f>
        <v/>
      </c>
      <c r="K1024" s="80">
        <f>IFERROR(INDEX(打卡匯入!$D$3:$D$2002,MATCH($C1024&amp;"|"&amp;DAY($A1024),打卡匯入!$E$3:$E$2002,0)),"")</f>
        <v/>
      </c>
      <c r="L1024" s="81">
        <f>IF(OR($J1024="",$K1024=""),"",IFERROR(INDEX(設定!$F$6:$F$18,MATCH($G1024,設定!$B$6:$B$18,0)),0))</f>
        <v/>
      </c>
      <c r="M1024" s="82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1">
        <f>IF(OR($C1024="",$H1024="",$J1024=""),0,IF(ROUND(($J1024-$H1024)*1440,0)&gt;設定!$C$42,ROUND(($J1024-$H1024)*1440,0),0))</f>
        <v/>
      </c>
      <c r="P1024" s="81">
        <f>IF(OR($C1024="",$I1024="",$K1024=""),0,IF(ROUND(($I1024-$K1024)*1440,0)&gt;設定!$C$42,ROUND(($I1024-$K1024)*1440,0),0))</f>
        <v/>
      </c>
      <c r="Q1024" s="82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79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0">
        <f>IF($G1025="","",IFERROR(INDEX(設定!$D$6:$D$18,MATCH($G1025,設定!$B$6:$B$18,0)),""))</f>
        <v/>
      </c>
      <c r="I1025" s="80">
        <f>IF($G1025="","",IFERROR(INDEX(設定!$E$6:$E$18,MATCH($G1025,設定!$B$6:$B$18,0)),""))</f>
        <v/>
      </c>
      <c r="J1025" s="80">
        <f>IFERROR(INDEX(打卡匯入!$C$3:$C$2002,MATCH($C1025&amp;"|"&amp;DAY($A1025),打卡匯入!$E$3:$E$2002,0)),"")</f>
        <v/>
      </c>
      <c r="K1025" s="80">
        <f>IFERROR(INDEX(打卡匯入!$D$3:$D$2002,MATCH($C1025&amp;"|"&amp;DAY($A1025),打卡匯入!$E$3:$E$2002,0)),"")</f>
        <v/>
      </c>
      <c r="L1025" s="81">
        <f>IF(OR($J1025="",$K1025=""),"",IFERROR(INDEX(設定!$F$6:$F$18,MATCH($G1025,設定!$B$6:$B$18,0)),0))</f>
        <v/>
      </c>
      <c r="M1025" s="82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1">
        <f>IF(OR($C1025="",$H1025="",$J1025=""),0,IF(ROUND(($J1025-$H1025)*1440,0)&gt;設定!$C$42,ROUND(($J1025-$H1025)*1440,0),0))</f>
        <v/>
      </c>
      <c r="P1025" s="81">
        <f>IF(OR($C1025="",$I1025="",$K1025=""),0,IF(ROUND(($I1025-$K1025)*1440,0)&gt;設定!$C$42,ROUND(($I1025-$K1025)*1440,0),0))</f>
        <v/>
      </c>
      <c r="Q1025" s="82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79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0">
        <f>IF($G1026="","",IFERROR(INDEX(設定!$D$6:$D$18,MATCH($G1026,設定!$B$6:$B$18,0)),""))</f>
        <v/>
      </c>
      <c r="I1026" s="80">
        <f>IF($G1026="","",IFERROR(INDEX(設定!$E$6:$E$18,MATCH($G1026,設定!$B$6:$B$18,0)),""))</f>
        <v/>
      </c>
      <c r="J1026" s="80">
        <f>IFERROR(INDEX(打卡匯入!$C$3:$C$2002,MATCH($C1026&amp;"|"&amp;DAY($A1026),打卡匯入!$E$3:$E$2002,0)),"")</f>
        <v/>
      </c>
      <c r="K1026" s="80">
        <f>IFERROR(INDEX(打卡匯入!$D$3:$D$2002,MATCH($C1026&amp;"|"&amp;DAY($A1026),打卡匯入!$E$3:$E$2002,0)),"")</f>
        <v/>
      </c>
      <c r="L1026" s="81">
        <f>IF(OR($J1026="",$K1026=""),"",IFERROR(INDEX(設定!$F$6:$F$18,MATCH($G1026,設定!$B$6:$B$18,0)),0))</f>
        <v/>
      </c>
      <c r="M1026" s="82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1">
        <f>IF(OR($C1026="",$H1026="",$J1026=""),0,IF(ROUND(($J1026-$H1026)*1440,0)&gt;設定!$C$42,ROUND(($J1026-$H1026)*1440,0),0))</f>
        <v/>
      </c>
      <c r="P1026" s="81">
        <f>IF(OR($C1026="",$I1026="",$K1026=""),0,IF(ROUND(($I1026-$K1026)*1440,0)&gt;設定!$C$42,ROUND(($I1026-$K1026)*1440,0),0))</f>
        <v/>
      </c>
      <c r="Q1026" s="82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79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0">
        <f>IF($G1027="","",IFERROR(INDEX(設定!$D$6:$D$18,MATCH($G1027,設定!$B$6:$B$18,0)),""))</f>
        <v/>
      </c>
      <c r="I1027" s="80">
        <f>IF($G1027="","",IFERROR(INDEX(設定!$E$6:$E$18,MATCH($G1027,設定!$B$6:$B$18,0)),""))</f>
        <v/>
      </c>
      <c r="J1027" s="80">
        <f>IFERROR(INDEX(打卡匯入!$C$3:$C$2002,MATCH($C1027&amp;"|"&amp;DAY($A1027),打卡匯入!$E$3:$E$2002,0)),"")</f>
        <v/>
      </c>
      <c r="K1027" s="80">
        <f>IFERROR(INDEX(打卡匯入!$D$3:$D$2002,MATCH($C1027&amp;"|"&amp;DAY($A1027),打卡匯入!$E$3:$E$2002,0)),"")</f>
        <v/>
      </c>
      <c r="L1027" s="81">
        <f>IF(OR($J1027="",$K1027=""),"",IFERROR(INDEX(設定!$F$6:$F$18,MATCH($G1027,設定!$B$6:$B$18,0)),0))</f>
        <v/>
      </c>
      <c r="M1027" s="82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1">
        <f>IF(OR($C1027="",$H1027="",$J1027=""),0,IF(ROUND(($J1027-$H1027)*1440,0)&gt;設定!$C$42,ROUND(($J1027-$H1027)*1440,0),0))</f>
        <v/>
      </c>
      <c r="P1027" s="81">
        <f>IF(OR($C1027="",$I1027="",$K1027=""),0,IF(ROUND(($I1027-$K1027)*1440,0)&gt;設定!$C$42,ROUND(($I1027-$K1027)*1440,0),0))</f>
        <v/>
      </c>
      <c r="Q1027" s="82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79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0">
        <f>IF($G1028="","",IFERROR(INDEX(設定!$D$6:$D$18,MATCH($G1028,設定!$B$6:$B$18,0)),""))</f>
        <v/>
      </c>
      <c r="I1028" s="80">
        <f>IF($G1028="","",IFERROR(INDEX(設定!$E$6:$E$18,MATCH($G1028,設定!$B$6:$B$18,0)),""))</f>
        <v/>
      </c>
      <c r="J1028" s="80">
        <f>IFERROR(INDEX(打卡匯入!$C$3:$C$2002,MATCH($C1028&amp;"|"&amp;DAY($A1028),打卡匯入!$E$3:$E$2002,0)),"")</f>
        <v/>
      </c>
      <c r="K1028" s="80">
        <f>IFERROR(INDEX(打卡匯入!$D$3:$D$2002,MATCH($C1028&amp;"|"&amp;DAY($A1028),打卡匯入!$E$3:$E$2002,0)),"")</f>
        <v/>
      </c>
      <c r="L1028" s="81">
        <f>IF(OR($J1028="",$K1028=""),"",IFERROR(INDEX(設定!$F$6:$F$18,MATCH($G1028,設定!$B$6:$B$18,0)),0))</f>
        <v/>
      </c>
      <c r="M1028" s="82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1">
        <f>IF(OR($C1028="",$H1028="",$J1028=""),0,IF(ROUND(($J1028-$H1028)*1440,0)&gt;設定!$C$42,ROUND(($J1028-$H1028)*1440,0),0))</f>
        <v/>
      </c>
      <c r="P1028" s="81">
        <f>IF(OR($C1028="",$I1028="",$K1028=""),0,IF(ROUND(($I1028-$K1028)*1440,0)&gt;設定!$C$42,ROUND(($I1028-$K1028)*1440,0),0))</f>
        <v/>
      </c>
      <c r="Q1028" s="82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79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0">
        <f>IF($G1029="","",IFERROR(INDEX(設定!$D$6:$D$18,MATCH($G1029,設定!$B$6:$B$18,0)),""))</f>
        <v/>
      </c>
      <c r="I1029" s="80">
        <f>IF($G1029="","",IFERROR(INDEX(設定!$E$6:$E$18,MATCH($G1029,設定!$B$6:$B$18,0)),""))</f>
        <v/>
      </c>
      <c r="J1029" s="80">
        <f>IFERROR(INDEX(打卡匯入!$C$3:$C$2002,MATCH($C1029&amp;"|"&amp;DAY($A1029),打卡匯入!$E$3:$E$2002,0)),"")</f>
        <v/>
      </c>
      <c r="K1029" s="80">
        <f>IFERROR(INDEX(打卡匯入!$D$3:$D$2002,MATCH($C1029&amp;"|"&amp;DAY($A1029),打卡匯入!$E$3:$E$2002,0)),"")</f>
        <v/>
      </c>
      <c r="L1029" s="81">
        <f>IF(OR($J1029="",$K1029=""),"",IFERROR(INDEX(設定!$F$6:$F$18,MATCH($G1029,設定!$B$6:$B$18,0)),0))</f>
        <v/>
      </c>
      <c r="M1029" s="82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1">
        <f>IF(OR($C1029="",$H1029="",$J1029=""),0,IF(ROUND(($J1029-$H1029)*1440,0)&gt;設定!$C$42,ROUND(($J1029-$H1029)*1440,0),0))</f>
        <v/>
      </c>
      <c r="P1029" s="81">
        <f>IF(OR($C1029="",$I1029="",$K1029=""),0,IF(ROUND(($I1029-$K1029)*1440,0)&gt;設定!$C$42,ROUND(($I1029-$K1029)*1440,0),0))</f>
        <v/>
      </c>
      <c r="Q1029" s="82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79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0">
        <f>IF($G1030="","",IFERROR(INDEX(設定!$D$6:$D$18,MATCH($G1030,設定!$B$6:$B$18,0)),""))</f>
        <v/>
      </c>
      <c r="I1030" s="80">
        <f>IF($G1030="","",IFERROR(INDEX(設定!$E$6:$E$18,MATCH($G1030,設定!$B$6:$B$18,0)),""))</f>
        <v/>
      </c>
      <c r="J1030" s="80">
        <f>IFERROR(INDEX(打卡匯入!$C$3:$C$2002,MATCH($C1030&amp;"|"&amp;DAY($A1030),打卡匯入!$E$3:$E$2002,0)),"")</f>
        <v/>
      </c>
      <c r="K1030" s="80">
        <f>IFERROR(INDEX(打卡匯入!$D$3:$D$2002,MATCH($C1030&amp;"|"&amp;DAY($A1030),打卡匯入!$E$3:$E$2002,0)),"")</f>
        <v/>
      </c>
      <c r="L1030" s="81">
        <f>IF(OR($J1030="",$K1030=""),"",IFERROR(INDEX(設定!$F$6:$F$18,MATCH($G1030,設定!$B$6:$B$18,0)),0))</f>
        <v/>
      </c>
      <c r="M1030" s="82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1">
        <f>IF(OR($C1030="",$H1030="",$J1030=""),0,IF(ROUND(($J1030-$H1030)*1440,0)&gt;設定!$C$42,ROUND(($J1030-$H1030)*1440,0),0))</f>
        <v/>
      </c>
      <c r="P1030" s="81">
        <f>IF(OR($C1030="",$I1030="",$K1030=""),0,IF(ROUND(($I1030-$K1030)*1440,0)&gt;設定!$C$42,ROUND(($I1030-$K1030)*1440,0),0))</f>
        <v/>
      </c>
      <c r="Q1030" s="82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79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0">
        <f>IF($G1031="","",IFERROR(INDEX(設定!$D$6:$D$18,MATCH($G1031,設定!$B$6:$B$18,0)),""))</f>
        <v/>
      </c>
      <c r="I1031" s="80">
        <f>IF($G1031="","",IFERROR(INDEX(設定!$E$6:$E$18,MATCH($G1031,設定!$B$6:$B$18,0)),""))</f>
        <v/>
      </c>
      <c r="J1031" s="80">
        <f>IFERROR(INDEX(打卡匯入!$C$3:$C$2002,MATCH($C1031&amp;"|"&amp;DAY($A1031),打卡匯入!$E$3:$E$2002,0)),"")</f>
        <v/>
      </c>
      <c r="K1031" s="80">
        <f>IFERROR(INDEX(打卡匯入!$D$3:$D$2002,MATCH($C1031&amp;"|"&amp;DAY($A1031),打卡匯入!$E$3:$E$2002,0)),"")</f>
        <v/>
      </c>
      <c r="L1031" s="81">
        <f>IF(OR($J1031="",$K1031=""),"",IFERROR(INDEX(設定!$F$6:$F$18,MATCH($G1031,設定!$B$6:$B$18,0)),0))</f>
        <v/>
      </c>
      <c r="M1031" s="82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1">
        <f>IF(OR($C1031="",$H1031="",$J1031=""),0,IF(ROUND(($J1031-$H1031)*1440,0)&gt;設定!$C$42,ROUND(($J1031-$H1031)*1440,0),0))</f>
        <v/>
      </c>
      <c r="P1031" s="81">
        <f>IF(OR($C1031="",$I1031="",$K1031=""),0,IF(ROUND(($I1031-$K1031)*1440,0)&gt;設定!$C$42,ROUND(($I1031-$K1031)*1440,0),0))</f>
        <v/>
      </c>
      <c r="Q1031" s="82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79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0">
        <f>IF($G1032="","",IFERROR(INDEX(設定!$D$6:$D$18,MATCH($G1032,設定!$B$6:$B$18,0)),""))</f>
        <v/>
      </c>
      <c r="I1032" s="80">
        <f>IF($G1032="","",IFERROR(INDEX(設定!$E$6:$E$18,MATCH($G1032,設定!$B$6:$B$18,0)),""))</f>
        <v/>
      </c>
      <c r="J1032" s="80">
        <f>IFERROR(INDEX(打卡匯入!$C$3:$C$2002,MATCH($C1032&amp;"|"&amp;DAY($A1032),打卡匯入!$E$3:$E$2002,0)),"")</f>
        <v/>
      </c>
      <c r="K1032" s="80">
        <f>IFERROR(INDEX(打卡匯入!$D$3:$D$2002,MATCH($C1032&amp;"|"&amp;DAY($A1032),打卡匯入!$E$3:$E$2002,0)),"")</f>
        <v/>
      </c>
      <c r="L1032" s="81">
        <f>IF(OR($J1032="",$K1032=""),"",IFERROR(INDEX(設定!$F$6:$F$18,MATCH($G1032,設定!$B$6:$B$18,0)),0))</f>
        <v/>
      </c>
      <c r="M1032" s="82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1">
        <f>IF(OR($C1032="",$H1032="",$J1032=""),0,IF(ROUND(($J1032-$H1032)*1440,0)&gt;設定!$C$42,ROUND(($J1032-$H1032)*1440,0),0))</f>
        <v/>
      </c>
      <c r="P1032" s="81">
        <f>IF(OR($C1032="",$I1032="",$K1032=""),0,IF(ROUND(($I1032-$K1032)*1440,0)&gt;設定!$C$42,ROUND(($I1032-$K1032)*1440,0),0))</f>
        <v/>
      </c>
      <c r="Q1032" s="82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79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0">
        <f>IF($G1033="","",IFERROR(INDEX(設定!$D$6:$D$18,MATCH($G1033,設定!$B$6:$B$18,0)),""))</f>
        <v/>
      </c>
      <c r="I1033" s="80">
        <f>IF($G1033="","",IFERROR(INDEX(設定!$E$6:$E$18,MATCH($G1033,設定!$B$6:$B$18,0)),""))</f>
        <v/>
      </c>
      <c r="J1033" s="80">
        <f>IFERROR(INDEX(打卡匯入!$C$3:$C$2002,MATCH($C1033&amp;"|"&amp;DAY($A1033),打卡匯入!$E$3:$E$2002,0)),"")</f>
        <v/>
      </c>
      <c r="K1033" s="80">
        <f>IFERROR(INDEX(打卡匯入!$D$3:$D$2002,MATCH($C1033&amp;"|"&amp;DAY($A1033),打卡匯入!$E$3:$E$2002,0)),"")</f>
        <v/>
      </c>
      <c r="L1033" s="81">
        <f>IF(OR($J1033="",$K1033=""),"",IFERROR(INDEX(設定!$F$6:$F$18,MATCH($G1033,設定!$B$6:$B$18,0)),0))</f>
        <v/>
      </c>
      <c r="M1033" s="82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1">
        <f>IF(OR($C1033="",$H1033="",$J1033=""),0,IF(ROUND(($J1033-$H1033)*1440,0)&gt;設定!$C$42,ROUND(($J1033-$H1033)*1440,0),0))</f>
        <v/>
      </c>
      <c r="P1033" s="81">
        <f>IF(OR($C1033="",$I1033="",$K1033=""),0,IF(ROUND(($I1033-$K1033)*1440,0)&gt;設定!$C$42,ROUND(($I1033-$K1033)*1440,0),0))</f>
        <v/>
      </c>
      <c r="Q1033" s="82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79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0">
        <f>IF($G1034="","",IFERROR(INDEX(設定!$D$6:$D$18,MATCH($G1034,設定!$B$6:$B$18,0)),""))</f>
        <v/>
      </c>
      <c r="I1034" s="80">
        <f>IF($G1034="","",IFERROR(INDEX(設定!$E$6:$E$18,MATCH($G1034,設定!$B$6:$B$18,0)),""))</f>
        <v/>
      </c>
      <c r="J1034" s="80">
        <f>IFERROR(INDEX(打卡匯入!$C$3:$C$2002,MATCH($C1034&amp;"|"&amp;DAY($A1034),打卡匯入!$E$3:$E$2002,0)),"")</f>
        <v/>
      </c>
      <c r="K1034" s="80">
        <f>IFERROR(INDEX(打卡匯入!$D$3:$D$2002,MATCH($C1034&amp;"|"&amp;DAY($A1034),打卡匯入!$E$3:$E$2002,0)),"")</f>
        <v/>
      </c>
      <c r="L1034" s="81">
        <f>IF(OR($J1034="",$K1034=""),"",IFERROR(INDEX(設定!$F$6:$F$18,MATCH($G1034,設定!$B$6:$B$18,0)),0))</f>
        <v/>
      </c>
      <c r="M1034" s="82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1">
        <f>IF(OR($C1034="",$H1034="",$J1034=""),0,IF(ROUND(($J1034-$H1034)*1440,0)&gt;設定!$C$42,ROUND(($J1034-$H1034)*1440,0),0))</f>
        <v/>
      </c>
      <c r="P1034" s="81">
        <f>IF(OR($C1034="",$I1034="",$K1034=""),0,IF(ROUND(($I1034-$K1034)*1440,0)&gt;設定!$C$42,ROUND(($I1034-$K1034)*1440,0),0))</f>
        <v/>
      </c>
      <c r="Q1034" s="82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79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0">
        <f>IF($G1035="","",IFERROR(INDEX(設定!$D$6:$D$18,MATCH($G1035,設定!$B$6:$B$18,0)),""))</f>
        <v/>
      </c>
      <c r="I1035" s="80">
        <f>IF($G1035="","",IFERROR(INDEX(設定!$E$6:$E$18,MATCH($G1035,設定!$B$6:$B$18,0)),""))</f>
        <v/>
      </c>
      <c r="J1035" s="80">
        <f>IFERROR(INDEX(打卡匯入!$C$3:$C$2002,MATCH($C1035&amp;"|"&amp;DAY($A1035),打卡匯入!$E$3:$E$2002,0)),"")</f>
        <v/>
      </c>
      <c r="K1035" s="80">
        <f>IFERROR(INDEX(打卡匯入!$D$3:$D$2002,MATCH($C1035&amp;"|"&amp;DAY($A1035),打卡匯入!$E$3:$E$2002,0)),"")</f>
        <v/>
      </c>
      <c r="L1035" s="81">
        <f>IF(OR($J1035="",$K1035=""),"",IFERROR(INDEX(設定!$F$6:$F$18,MATCH($G1035,設定!$B$6:$B$18,0)),0))</f>
        <v/>
      </c>
      <c r="M1035" s="82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1">
        <f>IF(OR($C1035="",$H1035="",$J1035=""),0,IF(ROUND(($J1035-$H1035)*1440,0)&gt;設定!$C$42,ROUND(($J1035-$H1035)*1440,0),0))</f>
        <v/>
      </c>
      <c r="P1035" s="81">
        <f>IF(OR($C1035="",$I1035="",$K1035=""),0,IF(ROUND(($I1035-$K1035)*1440,0)&gt;設定!$C$42,ROUND(($I1035-$K1035)*1440,0),0))</f>
        <v/>
      </c>
      <c r="Q1035" s="82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79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0">
        <f>IF($G1036="","",IFERROR(INDEX(設定!$D$6:$D$18,MATCH($G1036,設定!$B$6:$B$18,0)),""))</f>
        <v/>
      </c>
      <c r="I1036" s="80">
        <f>IF($G1036="","",IFERROR(INDEX(設定!$E$6:$E$18,MATCH($G1036,設定!$B$6:$B$18,0)),""))</f>
        <v/>
      </c>
      <c r="J1036" s="80">
        <f>IFERROR(INDEX(打卡匯入!$C$3:$C$2002,MATCH($C1036&amp;"|"&amp;DAY($A1036),打卡匯入!$E$3:$E$2002,0)),"")</f>
        <v/>
      </c>
      <c r="K1036" s="80">
        <f>IFERROR(INDEX(打卡匯入!$D$3:$D$2002,MATCH($C1036&amp;"|"&amp;DAY($A1036),打卡匯入!$E$3:$E$2002,0)),"")</f>
        <v/>
      </c>
      <c r="L1036" s="81">
        <f>IF(OR($J1036="",$K1036=""),"",IFERROR(INDEX(設定!$F$6:$F$18,MATCH($G1036,設定!$B$6:$B$18,0)),0))</f>
        <v/>
      </c>
      <c r="M1036" s="82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1">
        <f>IF(OR($C1036="",$H1036="",$J1036=""),0,IF(ROUND(($J1036-$H1036)*1440,0)&gt;設定!$C$42,ROUND(($J1036-$H1036)*1440,0),0))</f>
        <v/>
      </c>
      <c r="P1036" s="81">
        <f>IF(OR($C1036="",$I1036="",$K1036=""),0,IF(ROUND(($I1036-$K1036)*1440,0)&gt;設定!$C$42,ROUND(($I1036-$K1036)*1440,0),0))</f>
        <v/>
      </c>
      <c r="Q1036" s="82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79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0">
        <f>IF($G1037="","",IFERROR(INDEX(設定!$D$6:$D$18,MATCH($G1037,設定!$B$6:$B$18,0)),""))</f>
        <v/>
      </c>
      <c r="I1037" s="80">
        <f>IF($G1037="","",IFERROR(INDEX(設定!$E$6:$E$18,MATCH($G1037,設定!$B$6:$B$18,0)),""))</f>
        <v/>
      </c>
      <c r="J1037" s="80">
        <f>IFERROR(INDEX(打卡匯入!$C$3:$C$2002,MATCH($C1037&amp;"|"&amp;DAY($A1037),打卡匯入!$E$3:$E$2002,0)),"")</f>
        <v/>
      </c>
      <c r="K1037" s="80">
        <f>IFERROR(INDEX(打卡匯入!$D$3:$D$2002,MATCH($C1037&amp;"|"&amp;DAY($A1037),打卡匯入!$E$3:$E$2002,0)),"")</f>
        <v/>
      </c>
      <c r="L1037" s="81">
        <f>IF(OR($J1037="",$K1037=""),"",IFERROR(INDEX(設定!$F$6:$F$18,MATCH($G1037,設定!$B$6:$B$18,0)),0))</f>
        <v/>
      </c>
      <c r="M1037" s="82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1">
        <f>IF(OR($C1037="",$H1037="",$J1037=""),0,IF(ROUND(($J1037-$H1037)*1440,0)&gt;設定!$C$42,ROUND(($J1037-$H1037)*1440,0),0))</f>
        <v/>
      </c>
      <c r="P1037" s="81">
        <f>IF(OR($C1037="",$I1037="",$K1037=""),0,IF(ROUND(($I1037-$K1037)*1440,0)&gt;設定!$C$42,ROUND(($I1037-$K1037)*1440,0),0))</f>
        <v/>
      </c>
      <c r="Q1037" s="82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79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0">
        <f>IF($G1038="","",IFERROR(INDEX(設定!$D$6:$D$18,MATCH($G1038,設定!$B$6:$B$18,0)),""))</f>
        <v/>
      </c>
      <c r="I1038" s="80">
        <f>IF($G1038="","",IFERROR(INDEX(設定!$E$6:$E$18,MATCH($G1038,設定!$B$6:$B$18,0)),""))</f>
        <v/>
      </c>
      <c r="J1038" s="80">
        <f>IFERROR(INDEX(打卡匯入!$C$3:$C$2002,MATCH($C1038&amp;"|"&amp;DAY($A1038),打卡匯入!$E$3:$E$2002,0)),"")</f>
        <v/>
      </c>
      <c r="K1038" s="80">
        <f>IFERROR(INDEX(打卡匯入!$D$3:$D$2002,MATCH($C1038&amp;"|"&amp;DAY($A1038),打卡匯入!$E$3:$E$2002,0)),"")</f>
        <v/>
      </c>
      <c r="L1038" s="81">
        <f>IF(OR($J1038="",$K1038=""),"",IFERROR(INDEX(設定!$F$6:$F$18,MATCH($G1038,設定!$B$6:$B$18,0)),0))</f>
        <v/>
      </c>
      <c r="M1038" s="82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1">
        <f>IF(OR($C1038="",$H1038="",$J1038=""),0,IF(ROUND(($J1038-$H1038)*1440,0)&gt;設定!$C$42,ROUND(($J1038-$H1038)*1440,0),0))</f>
        <v/>
      </c>
      <c r="P1038" s="81">
        <f>IF(OR($C1038="",$I1038="",$K1038=""),0,IF(ROUND(($I1038-$K1038)*1440,0)&gt;設定!$C$42,ROUND(($I1038-$K1038)*1440,0),0))</f>
        <v/>
      </c>
      <c r="Q1038" s="82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79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0">
        <f>IF($G1039="","",IFERROR(INDEX(設定!$D$6:$D$18,MATCH($G1039,設定!$B$6:$B$18,0)),""))</f>
        <v/>
      </c>
      <c r="I1039" s="80">
        <f>IF($G1039="","",IFERROR(INDEX(設定!$E$6:$E$18,MATCH($G1039,設定!$B$6:$B$18,0)),""))</f>
        <v/>
      </c>
      <c r="J1039" s="80">
        <f>IFERROR(INDEX(打卡匯入!$C$3:$C$2002,MATCH($C1039&amp;"|"&amp;DAY($A1039),打卡匯入!$E$3:$E$2002,0)),"")</f>
        <v/>
      </c>
      <c r="K1039" s="80">
        <f>IFERROR(INDEX(打卡匯入!$D$3:$D$2002,MATCH($C1039&amp;"|"&amp;DAY($A1039),打卡匯入!$E$3:$E$2002,0)),"")</f>
        <v/>
      </c>
      <c r="L1039" s="81">
        <f>IF(OR($J1039="",$K1039=""),"",IFERROR(INDEX(設定!$F$6:$F$18,MATCH($G1039,設定!$B$6:$B$18,0)),0))</f>
        <v/>
      </c>
      <c r="M1039" s="82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1">
        <f>IF(OR($C1039="",$H1039="",$J1039=""),0,IF(ROUND(($J1039-$H1039)*1440,0)&gt;設定!$C$42,ROUND(($J1039-$H1039)*1440,0),0))</f>
        <v/>
      </c>
      <c r="P1039" s="81">
        <f>IF(OR($C1039="",$I1039="",$K1039=""),0,IF(ROUND(($I1039-$K1039)*1440,0)&gt;設定!$C$42,ROUND(($I1039-$K1039)*1440,0),0))</f>
        <v/>
      </c>
      <c r="Q1039" s="82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79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0">
        <f>IF($G1040="","",IFERROR(INDEX(設定!$D$6:$D$18,MATCH($G1040,設定!$B$6:$B$18,0)),""))</f>
        <v/>
      </c>
      <c r="I1040" s="80">
        <f>IF($G1040="","",IFERROR(INDEX(設定!$E$6:$E$18,MATCH($G1040,設定!$B$6:$B$18,0)),""))</f>
        <v/>
      </c>
      <c r="J1040" s="80">
        <f>IFERROR(INDEX(打卡匯入!$C$3:$C$2002,MATCH($C1040&amp;"|"&amp;DAY($A1040),打卡匯入!$E$3:$E$2002,0)),"")</f>
        <v/>
      </c>
      <c r="K1040" s="80">
        <f>IFERROR(INDEX(打卡匯入!$D$3:$D$2002,MATCH($C1040&amp;"|"&amp;DAY($A1040),打卡匯入!$E$3:$E$2002,0)),"")</f>
        <v/>
      </c>
      <c r="L1040" s="81">
        <f>IF(OR($J1040="",$K1040=""),"",IFERROR(INDEX(設定!$F$6:$F$18,MATCH($G1040,設定!$B$6:$B$18,0)),0))</f>
        <v/>
      </c>
      <c r="M1040" s="82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1">
        <f>IF(OR($C1040="",$H1040="",$J1040=""),0,IF(ROUND(($J1040-$H1040)*1440,0)&gt;設定!$C$42,ROUND(($J1040-$H1040)*1440,0),0))</f>
        <v/>
      </c>
      <c r="P1040" s="81">
        <f>IF(OR($C1040="",$I1040="",$K1040=""),0,IF(ROUND(($I1040-$K1040)*1440,0)&gt;設定!$C$42,ROUND(($I1040-$K1040)*1440,0),0))</f>
        <v/>
      </c>
      <c r="Q1040" s="82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79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0">
        <f>IF($G1041="","",IFERROR(INDEX(設定!$D$6:$D$18,MATCH($G1041,設定!$B$6:$B$18,0)),""))</f>
        <v/>
      </c>
      <c r="I1041" s="80">
        <f>IF($G1041="","",IFERROR(INDEX(設定!$E$6:$E$18,MATCH($G1041,設定!$B$6:$B$18,0)),""))</f>
        <v/>
      </c>
      <c r="J1041" s="80">
        <f>IFERROR(INDEX(打卡匯入!$C$3:$C$2002,MATCH($C1041&amp;"|"&amp;DAY($A1041),打卡匯入!$E$3:$E$2002,0)),"")</f>
        <v/>
      </c>
      <c r="K1041" s="80">
        <f>IFERROR(INDEX(打卡匯入!$D$3:$D$2002,MATCH($C1041&amp;"|"&amp;DAY($A1041),打卡匯入!$E$3:$E$2002,0)),"")</f>
        <v/>
      </c>
      <c r="L1041" s="81">
        <f>IF(OR($J1041="",$K1041=""),"",IFERROR(INDEX(設定!$F$6:$F$18,MATCH($G1041,設定!$B$6:$B$18,0)),0))</f>
        <v/>
      </c>
      <c r="M1041" s="82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1">
        <f>IF(OR($C1041="",$H1041="",$J1041=""),0,IF(ROUND(($J1041-$H1041)*1440,0)&gt;設定!$C$42,ROUND(($J1041-$H1041)*1440,0),0))</f>
        <v/>
      </c>
      <c r="P1041" s="81">
        <f>IF(OR($C1041="",$I1041="",$K1041=""),0,IF(ROUND(($I1041-$K1041)*1440,0)&gt;設定!$C$42,ROUND(($I1041-$K1041)*1440,0),0))</f>
        <v/>
      </c>
      <c r="Q1041" s="82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79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0">
        <f>IF($G1042="","",IFERROR(INDEX(設定!$D$6:$D$18,MATCH($G1042,設定!$B$6:$B$18,0)),""))</f>
        <v/>
      </c>
      <c r="I1042" s="80">
        <f>IF($G1042="","",IFERROR(INDEX(設定!$E$6:$E$18,MATCH($G1042,設定!$B$6:$B$18,0)),""))</f>
        <v/>
      </c>
      <c r="J1042" s="80">
        <f>IFERROR(INDEX(打卡匯入!$C$3:$C$2002,MATCH($C1042&amp;"|"&amp;DAY($A1042),打卡匯入!$E$3:$E$2002,0)),"")</f>
        <v/>
      </c>
      <c r="K1042" s="80">
        <f>IFERROR(INDEX(打卡匯入!$D$3:$D$2002,MATCH($C1042&amp;"|"&amp;DAY($A1042),打卡匯入!$E$3:$E$2002,0)),"")</f>
        <v/>
      </c>
      <c r="L1042" s="81">
        <f>IF(OR($J1042="",$K1042=""),"",IFERROR(INDEX(設定!$F$6:$F$18,MATCH($G1042,設定!$B$6:$B$18,0)),0))</f>
        <v/>
      </c>
      <c r="M1042" s="82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1">
        <f>IF(OR($C1042="",$H1042="",$J1042=""),0,IF(ROUND(($J1042-$H1042)*1440,0)&gt;設定!$C$42,ROUND(($J1042-$H1042)*1440,0),0))</f>
        <v/>
      </c>
      <c r="P1042" s="81">
        <f>IF(OR($C1042="",$I1042="",$K1042=""),0,IF(ROUND(($I1042-$K1042)*1440,0)&gt;設定!$C$42,ROUND(($I1042-$K1042)*1440,0),0))</f>
        <v/>
      </c>
      <c r="Q1042" s="82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79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0">
        <f>IF($G1043="","",IFERROR(INDEX(設定!$D$6:$D$18,MATCH($G1043,設定!$B$6:$B$18,0)),""))</f>
        <v/>
      </c>
      <c r="I1043" s="80">
        <f>IF($G1043="","",IFERROR(INDEX(設定!$E$6:$E$18,MATCH($G1043,設定!$B$6:$B$18,0)),""))</f>
        <v/>
      </c>
      <c r="J1043" s="80">
        <f>IFERROR(INDEX(打卡匯入!$C$3:$C$2002,MATCH($C1043&amp;"|"&amp;DAY($A1043),打卡匯入!$E$3:$E$2002,0)),"")</f>
        <v/>
      </c>
      <c r="K1043" s="80">
        <f>IFERROR(INDEX(打卡匯入!$D$3:$D$2002,MATCH($C1043&amp;"|"&amp;DAY($A1043),打卡匯入!$E$3:$E$2002,0)),"")</f>
        <v/>
      </c>
      <c r="L1043" s="81">
        <f>IF(OR($J1043="",$K1043=""),"",IFERROR(INDEX(設定!$F$6:$F$18,MATCH($G1043,設定!$B$6:$B$18,0)),0))</f>
        <v/>
      </c>
      <c r="M1043" s="82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1">
        <f>IF(OR($C1043="",$H1043="",$J1043=""),0,IF(ROUND(($J1043-$H1043)*1440,0)&gt;設定!$C$42,ROUND(($J1043-$H1043)*1440,0),0))</f>
        <v/>
      </c>
      <c r="P1043" s="81">
        <f>IF(OR($C1043="",$I1043="",$K1043=""),0,IF(ROUND(($I1043-$K1043)*1440,0)&gt;設定!$C$42,ROUND(($I1043-$K1043)*1440,0),0))</f>
        <v/>
      </c>
      <c r="Q1043" s="82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79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0">
        <f>IF($G1044="","",IFERROR(INDEX(設定!$D$6:$D$18,MATCH($G1044,設定!$B$6:$B$18,0)),""))</f>
        <v/>
      </c>
      <c r="I1044" s="80">
        <f>IF($G1044="","",IFERROR(INDEX(設定!$E$6:$E$18,MATCH($G1044,設定!$B$6:$B$18,0)),""))</f>
        <v/>
      </c>
      <c r="J1044" s="80">
        <f>IFERROR(INDEX(打卡匯入!$C$3:$C$2002,MATCH($C1044&amp;"|"&amp;DAY($A1044),打卡匯入!$E$3:$E$2002,0)),"")</f>
        <v/>
      </c>
      <c r="K1044" s="80">
        <f>IFERROR(INDEX(打卡匯入!$D$3:$D$2002,MATCH($C1044&amp;"|"&amp;DAY($A1044),打卡匯入!$E$3:$E$2002,0)),"")</f>
        <v/>
      </c>
      <c r="L1044" s="81">
        <f>IF(OR($J1044="",$K1044=""),"",IFERROR(INDEX(設定!$F$6:$F$18,MATCH($G1044,設定!$B$6:$B$18,0)),0))</f>
        <v/>
      </c>
      <c r="M1044" s="82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1">
        <f>IF(OR($C1044="",$H1044="",$J1044=""),0,IF(ROUND(($J1044-$H1044)*1440,0)&gt;設定!$C$42,ROUND(($J1044-$H1044)*1440,0),0))</f>
        <v/>
      </c>
      <c r="P1044" s="81">
        <f>IF(OR($C1044="",$I1044="",$K1044=""),0,IF(ROUND(($I1044-$K1044)*1440,0)&gt;設定!$C$42,ROUND(($I1044-$K1044)*1440,0),0))</f>
        <v/>
      </c>
      <c r="Q1044" s="82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79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0">
        <f>IF($G1045="","",IFERROR(INDEX(設定!$D$6:$D$18,MATCH($G1045,設定!$B$6:$B$18,0)),""))</f>
        <v/>
      </c>
      <c r="I1045" s="80">
        <f>IF($G1045="","",IFERROR(INDEX(設定!$E$6:$E$18,MATCH($G1045,設定!$B$6:$B$18,0)),""))</f>
        <v/>
      </c>
      <c r="J1045" s="80">
        <f>IFERROR(INDEX(打卡匯入!$C$3:$C$2002,MATCH($C1045&amp;"|"&amp;DAY($A1045),打卡匯入!$E$3:$E$2002,0)),"")</f>
        <v/>
      </c>
      <c r="K1045" s="80">
        <f>IFERROR(INDEX(打卡匯入!$D$3:$D$2002,MATCH($C1045&amp;"|"&amp;DAY($A1045),打卡匯入!$E$3:$E$2002,0)),"")</f>
        <v/>
      </c>
      <c r="L1045" s="81">
        <f>IF(OR($J1045="",$K1045=""),"",IFERROR(INDEX(設定!$F$6:$F$18,MATCH($G1045,設定!$B$6:$B$18,0)),0))</f>
        <v/>
      </c>
      <c r="M1045" s="82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1">
        <f>IF(OR($C1045="",$H1045="",$J1045=""),0,IF(ROUND(($J1045-$H1045)*1440,0)&gt;設定!$C$42,ROUND(($J1045-$H1045)*1440,0),0))</f>
        <v/>
      </c>
      <c r="P1045" s="81">
        <f>IF(OR($C1045="",$I1045="",$K1045=""),0,IF(ROUND(($I1045-$K1045)*1440,0)&gt;設定!$C$42,ROUND(($I1045-$K1045)*1440,0),0))</f>
        <v/>
      </c>
      <c r="Q1045" s="82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79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0">
        <f>IF($G1046="","",IFERROR(INDEX(設定!$D$6:$D$18,MATCH($G1046,設定!$B$6:$B$18,0)),""))</f>
        <v/>
      </c>
      <c r="I1046" s="80">
        <f>IF($G1046="","",IFERROR(INDEX(設定!$E$6:$E$18,MATCH($G1046,設定!$B$6:$B$18,0)),""))</f>
        <v/>
      </c>
      <c r="J1046" s="80">
        <f>IFERROR(INDEX(打卡匯入!$C$3:$C$2002,MATCH($C1046&amp;"|"&amp;DAY($A1046),打卡匯入!$E$3:$E$2002,0)),"")</f>
        <v/>
      </c>
      <c r="K1046" s="80">
        <f>IFERROR(INDEX(打卡匯入!$D$3:$D$2002,MATCH($C1046&amp;"|"&amp;DAY($A1046),打卡匯入!$E$3:$E$2002,0)),"")</f>
        <v/>
      </c>
      <c r="L1046" s="81">
        <f>IF(OR($J1046="",$K1046=""),"",IFERROR(INDEX(設定!$F$6:$F$18,MATCH($G1046,設定!$B$6:$B$18,0)),0))</f>
        <v/>
      </c>
      <c r="M1046" s="82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1">
        <f>IF(OR($C1046="",$H1046="",$J1046=""),0,IF(ROUND(($J1046-$H1046)*1440,0)&gt;設定!$C$42,ROUND(($J1046-$H1046)*1440,0),0))</f>
        <v/>
      </c>
      <c r="P1046" s="81">
        <f>IF(OR($C1046="",$I1046="",$K1046=""),0,IF(ROUND(($I1046-$K1046)*1440,0)&gt;設定!$C$42,ROUND(($I1046-$K1046)*1440,0),0))</f>
        <v/>
      </c>
      <c r="Q1046" s="82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79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0">
        <f>IF($G1047="","",IFERROR(INDEX(設定!$D$6:$D$18,MATCH($G1047,設定!$B$6:$B$18,0)),""))</f>
        <v/>
      </c>
      <c r="I1047" s="80">
        <f>IF($G1047="","",IFERROR(INDEX(設定!$E$6:$E$18,MATCH($G1047,設定!$B$6:$B$18,0)),""))</f>
        <v/>
      </c>
      <c r="J1047" s="80">
        <f>IFERROR(INDEX(打卡匯入!$C$3:$C$2002,MATCH($C1047&amp;"|"&amp;DAY($A1047),打卡匯入!$E$3:$E$2002,0)),"")</f>
        <v/>
      </c>
      <c r="K1047" s="80">
        <f>IFERROR(INDEX(打卡匯入!$D$3:$D$2002,MATCH($C1047&amp;"|"&amp;DAY($A1047),打卡匯入!$E$3:$E$2002,0)),"")</f>
        <v/>
      </c>
      <c r="L1047" s="81">
        <f>IF(OR($J1047="",$K1047=""),"",IFERROR(INDEX(設定!$F$6:$F$18,MATCH($G1047,設定!$B$6:$B$18,0)),0))</f>
        <v/>
      </c>
      <c r="M1047" s="82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1">
        <f>IF(OR($C1047="",$H1047="",$J1047=""),0,IF(ROUND(($J1047-$H1047)*1440,0)&gt;設定!$C$42,ROUND(($J1047-$H1047)*1440,0),0))</f>
        <v/>
      </c>
      <c r="P1047" s="81">
        <f>IF(OR($C1047="",$I1047="",$K1047=""),0,IF(ROUND(($I1047-$K1047)*1440,0)&gt;設定!$C$42,ROUND(($I1047-$K1047)*1440,0),0))</f>
        <v/>
      </c>
      <c r="Q1047" s="82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79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0">
        <f>IF($G1048="","",IFERROR(INDEX(設定!$D$6:$D$18,MATCH($G1048,設定!$B$6:$B$18,0)),""))</f>
        <v/>
      </c>
      <c r="I1048" s="80">
        <f>IF($G1048="","",IFERROR(INDEX(設定!$E$6:$E$18,MATCH($G1048,設定!$B$6:$B$18,0)),""))</f>
        <v/>
      </c>
      <c r="J1048" s="80">
        <f>IFERROR(INDEX(打卡匯入!$C$3:$C$2002,MATCH($C1048&amp;"|"&amp;DAY($A1048),打卡匯入!$E$3:$E$2002,0)),"")</f>
        <v/>
      </c>
      <c r="K1048" s="80">
        <f>IFERROR(INDEX(打卡匯入!$D$3:$D$2002,MATCH($C1048&amp;"|"&amp;DAY($A1048),打卡匯入!$E$3:$E$2002,0)),"")</f>
        <v/>
      </c>
      <c r="L1048" s="81">
        <f>IF(OR($J1048="",$K1048=""),"",IFERROR(INDEX(設定!$F$6:$F$18,MATCH($G1048,設定!$B$6:$B$18,0)),0))</f>
        <v/>
      </c>
      <c r="M1048" s="82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1">
        <f>IF(OR($C1048="",$H1048="",$J1048=""),0,IF(ROUND(($J1048-$H1048)*1440,0)&gt;設定!$C$42,ROUND(($J1048-$H1048)*1440,0),0))</f>
        <v/>
      </c>
      <c r="P1048" s="81">
        <f>IF(OR($C1048="",$I1048="",$K1048=""),0,IF(ROUND(($I1048-$K1048)*1440,0)&gt;設定!$C$42,ROUND(($I1048-$K1048)*1440,0),0))</f>
        <v/>
      </c>
      <c r="Q1048" s="82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79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0">
        <f>IF($G1049="","",IFERROR(INDEX(設定!$D$6:$D$18,MATCH($G1049,設定!$B$6:$B$18,0)),""))</f>
        <v/>
      </c>
      <c r="I1049" s="80">
        <f>IF($G1049="","",IFERROR(INDEX(設定!$E$6:$E$18,MATCH($G1049,設定!$B$6:$B$18,0)),""))</f>
        <v/>
      </c>
      <c r="J1049" s="80">
        <f>IFERROR(INDEX(打卡匯入!$C$3:$C$2002,MATCH($C1049&amp;"|"&amp;DAY($A1049),打卡匯入!$E$3:$E$2002,0)),"")</f>
        <v/>
      </c>
      <c r="K1049" s="80">
        <f>IFERROR(INDEX(打卡匯入!$D$3:$D$2002,MATCH($C1049&amp;"|"&amp;DAY($A1049),打卡匯入!$E$3:$E$2002,0)),"")</f>
        <v/>
      </c>
      <c r="L1049" s="81">
        <f>IF(OR($J1049="",$K1049=""),"",IFERROR(INDEX(設定!$F$6:$F$18,MATCH($G1049,設定!$B$6:$B$18,0)),0))</f>
        <v/>
      </c>
      <c r="M1049" s="82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1">
        <f>IF(OR($C1049="",$H1049="",$J1049=""),0,IF(ROUND(($J1049-$H1049)*1440,0)&gt;設定!$C$42,ROUND(($J1049-$H1049)*1440,0),0))</f>
        <v/>
      </c>
      <c r="P1049" s="81">
        <f>IF(OR($C1049="",$I1049="",$K1049=""),0,IF(ROUND(($I1049-$K1049)*1440,0)&gt;設定!$C$42,ROUND(($I1049-$K1049)*1440,0),0))</f>
        <v/>
      </c>
      <c r="Q1049" s="82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79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0">
        <f>IF($G1050="","",IFERROR(INDEX(設定!$D$6:$D$18,MATCH($G1050,設定!$B$6:$B$18,0)),""))</f>
        <v/>
      </c>
      <c r="I1050" s="80">
        <f>IF($G1050="","",IFERROR(INDEX(設定!$E$6:$E$18,MATCH($G1050,設定!$B$6:$B$18,0)),""))</f>
        <v/>
      </c>
      <c r="J1050" s="80">
        <f>IFERROR(INDEX(打卡匯入!$C$3:$C$2002,MATCH($C1050&amp;"|"&amp;DAY($A1050),打卡匯入!$E$3:$E$2002,0)),"")</f>
        <v/>
      </c>
      <c r="K1050" s="80">
        <f>IFERROR(INDEX(打卡匯入!$D$3:$D$2002,MATCH($C1050&amp;"|"&amp;DAY($A1050),打卡匯入!$E$3:$E$2002,0)),"")</f>
        <v/>
      </c>
      <c r="L1050" s="81">
        <f>IF(OR($J1050="",$K1050=""),"",IFERROR(INDEX(設定!$F$6:$F$18,MATCH($G1050,設定!$B$6:$B$18,0)),0))</f>
        <v/>
      </c>
      <c r="M1050" s="82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1">
        <f>IF(OR($C1050="",$H1050="",$J1050=""),0,IF(ROUND(($J1050-$H1050)*1440,0)&gt;設定!$C$42,ROUND(($J1050-$H1050)*1440,0),0))</f>
        <v/>
      </c>
      <c r="P1050" s="81">
        <f>IF(OR($C1050="",$I1050="",$K1050=""),0,IF(ROUND(($I1050-$K1050)*1440,0)&gt;設定!$C$42,ROUND(($I1050-$K1050)*1440,0),0))</f>
        <v/>
      </c>
      <c r="Q1050" s="82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79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0">
        <f>IF($G1051="","",IFERROR(INDEX(設定!$D$6:$D$18,MATCH($G1051,設定!$B$6:$B$18,0)),""))</f>
        <v/>
      </c>
      <c r="I1051" s="80">
        <f>IF($G1051="","",IFERROR(INDEX(設定!$E$6:$E$18,MATCH($G1051,設定!$B$6:$B$18,0)),""))</f>
        <v/>
      </c>
      <c r="J1051" s="80">
        <f>IFERROR(INDEX(打卡匯入!$C$3:$C$2002,MATCH($C1051&amp;"|"&amp;DAY($A1051),打卡匯入!$E$3:$E$2002,0)),"")</f>
        <v/>
      </c>
      <c r="K1051" s="80">
        <f>IFERROR(INDEX(打卡匯入!$D$3:$D$2002,MATCH($C1051&amp;"|"&amp;DAY($A1051),打卡匯入!$E$3:$E$2002,0)),"")</f>
        <v/>
      </c>
      <c r="L1051" s="81">
        <f>IF(OR($J1051="",$K1051=""),"",IFERROR(INDEX(設定!$F$6:$F$18,MATCH($G1051,設定!$B$6:$B$18,0)),0))</f>
        <v/>
      </c>
      <c r="M1051" s="82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1">
        <f>IF(OR($C1051="",$H1051="",$J1051=""),0,IF(ROUND(($J1051-$H1051)*1440,0)&gt;設定!$C$42,ROUND(($J1051-$H1051)*1440,0),0))</f>
        <v/>
      </c>
      <c r="P1051" s="81">
        <f>IF(OR($C1051="",$I1051="",$K1051=""),0,IF(ROUND(($I1051-$K1051)*1440,0)&gt;設定!$C$42,ROUND(($I1051-$K1051)*1440,0),0))</f>
        <v/>
      </c>
      <c r="Q1051" s="82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79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0">
        <f>IF($G1052="","",IFERROR(INDEX(設定!$D$6:$D$18,MATCH($G1052,設定!$B$6:$B$18,0)),""))</f>
        <v/>
      </c>
      <c r="I1052" s="80">
        <f>IF($G1052="","",IFERROR(INDEX(設定!$E$6:$E$18,MATCH($G1052,設定!$B$6:$B$18,0)),""))</f>
        <v/>
      </c>
      <c r="J1052" s="80">
        <f>IFERROR(INDEX(打卡匯入!$C$3:$C$2002,MATCH($C1052&amp;"|"&amp;DAY($A1052),打卡匯入!$E$3:$E$2002,0)),"")</f>
        <v/>
      </c>
      <c r="K1052" s="80">
        <f>IFERROR(INDEX(打卡匯入!$D$3:$D$2002,MATCH($C1052&amp;"|"&amp;DAY($A1052),打卡匯入!$E$3:$E$2002,0)),"")</f>
        <v/>
      </c>
      <c r="L1052" s="81">
        <f>IF(OR($J1052="",$K1052=""),"",IFERROR(INDEX(設定!$F$6:$F$18,MATCH($G1052,設定!$B$6:$B$18,0)),0))</f>
        <v/>
      </c>
      <c r="M1052" s="82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1">
        <f>IF(OR($C1052="",$H1052="",$J1052=""),0,IF(ROUND(($J1052-$H1052)*1440,0)&gt;設定!$C$42,ROUND(($J1052-$H1052)*1440,0),0))</f>
        <v/>
      </c>
      <c r="P1052" s="81">
        <f>IF(OR($C1052="",$I1052="",$K1052=""),0,IF(ROUND(($I1052-$K1052)*1440,0)&gt;設定!$C$42,ROUND(($I1052-$K1052)*1440,0),0))</f>
        <v/>
      </c>
      <c r="Q1052" s="82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79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0">
        <f>IF($G1053="","",IFERROR(INDEX(設定!$D$6:$D$18,MATCH($G1053,設定!$B$6:$B$18,0)),""))</f>
        <v/>
      </c>
      <c r="I1053" s="80">
        <f>IF($G1053="","",IFERROR(INDEX(設定!$E$6:$E$18,MATCH($G1053,設定!$B$6:$B$18,0)),""))</f>
        <v/>
      </c>
      <c r="J1053" s="80">
        <f>IFERROR(INDEX(打卡匯入!$C$3:$C$2002,MATCH($C1053&amp;"|"&amp;DAY($A1053),打卡匯入!$E$3:$E$2002,0)),"")</f>
        <v/>
      </c>
      <c r="K1053" s="80">
        <f>IFERROR(INDEX(打卡匯入!$D$3:$D$2002,MATCH($C1053&amp;"|"&amp;DAY($A1053),打卡匯入!$E$3:$E$2002,0)),"")</f>
        <v/>
      </c>
      <c r="L1053" s="81">
        <f>IF(OR($J1053="",$K1053=""),"",IFERROR(INDEX(設定!$F$6:$F$18,MATCH($G1053,設定!$B$6:$B$18,0)),0))</f>
        <v/>
      </c>
      <c r="M1053" s="82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1">
        <f>IF(OR($C1053="",$H1053="",$J1053=""),0,IF(ROUND(($J1053-$H1053)*1440,0)&gt;設定!$C$42,ROUND(($J1053-$H1053)*1440,0),0))</f>
        <v/>
      </c>
      <c r="P1053" s="81">
        <f>IF(OR($C1053="",$I1053="",$K1053=""),0,IF(ROUND(($I1053-$K1053)*1440,0)&gt;設定!$C$42,ROUND(($I1053-$K1053)*1440,0),0))</f>
        <v/>
      </c>
      <c r="Q1053" s="82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79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0">
        <f>IF($G1054="","",IFERROR(INDEX(設定!$D$6:$D$18,MATCH($G1054,設定!$B$6:$B$18,0)),""))</f>
        <v/>
      </c>
      <c r="I1054" s="80">
        <f>IF($G1054="","",IFERROR(INDEX(設定!$E$6:$E$18,MATCH($G1054,設定!$B$6:$B$18,0)),""))</f>
        <v/>
      </c>
      <c r="J1054" s="80">
        <f>IFERROR(INDEX(打卡匯入!$C$3:$C$2002,MATCH($C1054&amp;"|"&amp;DAY($A1054),打卡匯入!$E$3:$E$2002,0)),"")</f>
        <v/>
      </c>
      <c r="K1054" s="80">
        <f>IFERROR(INDEX(打卡匯入!$D$3:$D$2002,MATCH($C1054&amp;"|"&amp;DAY($A1054),打卡匯入!$E$3:$E$2002,0)),"")</f>
        <v/>
      </c>
      <c r="L1054" s="81">
        <f>IF(OR($J1054="",$K1054=""),"",IFERROR(INDEX(設定!$F$6:$F$18,MATCH($G1054,設定!$B$6:$B$18,0)),0))</f>
        <v/>
      </c>
      <c r="M1054" s="82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1">
        <f>IF(OR($C1054="",$H1054="",$J1054=""),0,IF(ROUND(($J1054-$H1054)*1440,0)&gt;設定!$C$42,ROUND(($J1054-$H1054)*1440,0),0))</f>
        <v/>
      </c>
      <c r="P1054" s="81">
        <f>IF(OR($C1054="",$I1054="",$K1054=""),0,IF(ROUND(($I1054-$K1054)*1440,0)&gt;設定!$C$42,ROUND(($I1054-$K1054)*1440,0),0))</f>
        <v/>
      </c>
      <c r="Q1054" s="82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79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0">
        <f>IF($G1055="","",IFERROR(INDEX(設定!$D$6:$D$18,MATCH($G1055,設定!$B$6:$B$18,0)),""))</f>
        <v/>
      </c>
      <c r="I1055" s="80">
        <f>IF($G1055="","",IFERROR(INDEX(設定!$E$6:$E$18,MATCH($G1055,設定!$B$6:$B$18,0)),""))</f>
        <v/>
      </c>
      <c r="J1055" s="80">
        <f>IFERROR(INDEX(打卡匯入!$C$3:$C$2002,MATCH($C1055&amp;"|"&amp;DAY($A1055),打卡匯入!$E$3:$E$2002,0)),"")</f>
        <v/>
      </c>
      <c r="K1055" s="80">
        <f>IFERROR(INDEX(打卡匯入!$D$3:$D$2002,MATCH($C1055&amp;"|"&amp;DAY($A1055),打卡匯入!$E$3:$E$2002,0)),"")</f>
        <v/>
      </c>
      <c r="L1055" s="81">
        <f>IF(OR($J1055="",$K1055=""),"",IFERROR(INDEX(設定!$F$6:$F$18,MATCH($G1055,設定!$B$6:$B$18,0)),0))</f>
        <v/>
      </c>
      <c r="M1055" s="82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1">
        <f>IF(OR($C1055="",$H1055="",$J1055=""),0,IF(ROUND(($J1055-$H1055)*1440,0)&gt;設定!$C$42,ROUND(($J1055-$H1055)*1440,0),0))</f>
        <v/>
      </c>
      <c r="P1055" s="81">
        <f>IF(OR($C1055="",$I1055="",$K1055=""),0,IF(ROUND(($I1055-$K1055)*1440,0)&gt;設定!$C$42,ROUND(($I1055-$K1055)*1440,0),0))</f>
        <v/>
      </c>
      <c r="Q1055" s="82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79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0">
        <f>IF($G1056="","",IFERROR(INDEX(設定!$D$6:$D$18,MATCH($G1056,設定!$B$6:$B$18,0)),""))</f>
        <v/>
      </c>
      <c r="I1056" s="80">
        <f>IF($G1056="","",IFERROR(INDEX(設定!$E$6:$E$18,MATCH($G1056,設定!$B$6:$B$18,0)),""))</f>
        <v/>
      </c>
      <c r="J1056" s="80">
        <f>IFERROR(INDEX(打卡匯入!$C$3:$C$2002,MATCH($C1056&amp;"|"&amp;DAY($A1056),打卡匯入!$E$3:$E$2002,0)),"")</f>
        <v/>
      </c>
      <c r="K1056" s="80">
        <f>IFERROR(INDEX(打卡匯入!$D$3:$D$2002,MATCH($C1056&amp;"|"&amp;DAY($A1056),打卡匯入!$E$3:$E$2002,0)),"")</f>
        <v/>
      </c>
      <c r="L1056" s="81">
        <f>IF(OR($J1056="",$K1056=""),"",IFERROR(INDEX(設定!$F$6:$F$18,MATCH($G1056,設定!$B$6:$B$18,0)),0))</f>
        <v/>
      </c>
      <c r="M1056" s="82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1">
        <f>IF(OR($C1056="",$H1056="",$J1056=""),0,IF(ROUND(($J1056-$H1056)*1440,0)&gt;設定!$C$42,ROUND(($J1056-$H1056)*1440,0),0))</f>
        <v/>
      </c>
      <c r="P1056" s="81">
        <f>IF(OR($C1056="",$I1056="",$K1056=""),0,IF(ROUND(($I1056-$K1056)*1440,0)&gt;設定!$C$42,ROUND(($I1056-$K1056)*1440,0),0))</f>
        <v/>
      </c>
      <c r="Q1056" s="82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79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0">
        <f>IF($G1057="","",IFERROR(INDEX(設定!$D$6:$D$18,MATCH($G1057,設定!$B$6:$B$18,0)),""))</f>
        <v/>
      </c>
      <c r="I1057" s="80">
        <f>IF($G1057="","",IFERROR(INDEX(設定!$E$6:$E$18,MATCH($G1057,設定!$B$6:$B$18,0)),""))</f>
        <v/>
      </c>
      <c r="J1057" s="80">
        <f>IFERROR(INDEX(打卡匯入!$C$3:$C$2002,MATCH($C1057&amp;"|"&amp;DAY($A1057),打卡匯入!$E$3:$E$2002,0)),"")</f>
        <v/>
      </c>
      <c r="K1057" s="80">
        <f>IFERROR(INDEX(打卡匯入!$D$3:$D$2002,MATCH($C1057&amp;"|"&amp;DAY($A1057),打卡匯入!$E$3:$E$2002,0)),"")</f>
        <v/>
      </c>
      <c r="L1057" s="81">
        <f>IF(OR($J1057="",$K1057=""),"",IFERROR(INDEX(設定!$F$6:$F$18,MATCH($G1057,設定!$B$6:$B$18,0)),0))</f>
        <v/>
      </c>
      <c r="M1057" s="82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1">
        <f>IF(OR($C1057="",$H1057="",$J1057=""),0,IF(ROUND(($J1057-$H1057)*1440,0)&gt;設定!$C$42,ROUND(($J1057-$H1057)*1440,0),0))</f>
        <v/>
      </c>
      <c r="P1057" s="81">
        <f>IF(OR($C1057="",$I1057="",$K1057=""),0,IF(ROUND(($I1057-$K1057)*1440,0)&gt;設定!$C$42,ROUND(($I1057-$K1057)*1440,0),0))</f>
        <v/>
      </c>
      <c r="Q1057" s="82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79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0">
        <f>IF($G1058="","",IFERROR(INDEX(設定!$D$6:$D$18,MATCH($G1058,設定!$B$6:$B$18,0)),""))</f>
        <v/>
      </c>
      <c r="I1058" s="80">
        <f>IF($G1058="","",IFERROR(INDEX(設定!$E$6:$E$18,MATCH($G1058,設定!$B$6:$B$18,0)),""))</f>
        <v/>
      </c>
      <c r="J1058" s="80">
        <f>IFERROR(INDEX(打卡匯入!$C$3:$C$2002,MATCH($C1058&amp;"|"&amp;DAY($A1058),打卡匯入!$E$3:$E$2002,0)),"")</f>
        <v/>
      </c>
      <c r="K1058" s="80">
        <f>IFERROR(INDEX(打卡匯入!$D$3:$D$2002,MATCH($C1058&amp;"|"&amp;DAY($A1058),打卡匯入!$E$3:$E$2002,0)),"")</f>
        <v/>
      </c>
      <c r="L1058" s="81">
        <f>IF(OR($J1058="",$K1058=""),"",IFERROR(INDEX(設定!$F$6:$F$18,MATCH($G1058,設定!$B$6:$B$18,0)),0))</f>
        <v/>
      </c>
      <c r="M1058" s="82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1">
        <f>IF(OR($C1058="",$H1058="",$J1058=""),0,IF(ROUND(($J1058-$H1058)*1440,0)&gt;設定!$C$42,ROUND(($J1058-$H1058)*1440,0),0))</f>
        <v/>
      </c>
      <c r="P1058" s="81">
        <f>IF(OR($C1058="",$I1058="",$K1058=""),0,IF(ROUND(($I1058-$K1058)*1440,0)&gt;設定!$C$42,ROUND(($I1058-$K1058)*1440,0),0))</f>
        <v/>
      </c>
      <c r="Q1058" s="82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79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0">
        <f>IF($G1059="","",IFERROR(INDEX(設定!$D$6:$D$18,MATCH($G1059,設定!$B$6:$B$18,0)),""))</f>
        <v/>
      </c>
      <c r="I1059" s="80">
        <f>IF($G1059="","",IFERROR(INDEX(設定!$E$6:$E$18,MATCH($G1059,設定!$B$6:$B$18,0)),""))</f>
        <v/>
      </c>
      <c r="J1059" s="80">
        <f>IFERROR(INDEX(打卡匯入!$C$3:$C$2002,MATCH($C1059&amp;"|"&amp;DAY($A1059),打卡匯入!$E$3:$E$2002,0)),"")</f>
        <v/>
      </c>
      <c r="K1059" s="80">
        <f>IFERROR(INDEX(打卡匯入!$D$3:$D$2002,MATCH($C1059&amp;"|"&amp;DAY($A1059),打卡匯入!$E$3:$E$2002,0)),"")</f>
        <v/>
      </c>
      <c r="L1059" s="81">
        <f>IF(OR($J1059="",$K1059=""),"",IFERROR(INDEX(設定!$F$6:$F$18,MATCH($G1059,設定!$B$6:$B$18,0)),0))</f>
        <v/>
      </c>
      <c r="M1059" s="82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1">
        <f>IF(OR($C1059="",$H1059="",$J1059=""),0,IF(ROUND(($J1059-$H1059)*1440,0)&gt;設定!$C$42,ROUND(($J1059-$H1059)*1440,0),0))</f>
        <v/>
      </c>
      <c r="P1059" s="81">
        <f>IF(OR($C1059="",$I1059="",$K1059=""),0,IF(ROUND(($I1059-$K1059)*1440,0)&gt;設定!$C$42,ROUND(($I1059-$K1059)*1440,0),0))</f>
        <v/>
      </c>
      <c r="Q1059" s="82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79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0">
        <f>IF($G1060="","",IFERROR(INDEX(設定!$D$6:$D$18,MATCH($G1060,設定!$B$6:$B$18,0)),""))</f>
        <v/>
      </c>
      <c r="I1060" s="80">
        <f>IF($G1060="","",IFERROR(INDEX(設定!$E$6:$E$18,MATCH($G1060,設定!$B$6:$B$18,0)),""))</f>
        <v/>
      </c>
      <c r="J1060" s="80">
        <f>IFERROR(INDEX(打卡匯入!$C$3:$C$2002,MATCH($C1060&amp;"|"&amp;DAY($A1060),打卡匯入!$E$3:$E$2002,0)),"")</f>
        <v/>
      </c>
      <c r="K1060" s="80">
        <f>IFERROR(INDEX(打卡匯入!$D$3:$D$2002,MATCH($C1060&amp;"|"&amp;DAY($A1060),打卡匯入!$E$3:$E$2002,0)),"")</f>
        <v/>
      </c>
      <c r="L1060" s="81">
        <f>IF(OR($J1060="",$K1060=""),"",IFERROR(INDEX(設定!$F$6:$F$18,MATCH($G1060,設定!$B$6:$B$18,0)),0))</f>
        <v/>
      </c>
      <c r="M1060" s="82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1">
        <f>IF(OR($C1060="",$H1060="",$J1060=""),0,IF(ROUND(($J1060-$H1060)*1440,0)&gt;設定!$C$42,ROUND(($J1060-$H1060)*1440,0),0))</f>
        <v/>
      </c>
      <c r="P1060" s="81">
        <f>IF(OR($C1060="",$I1060="",$K1060=""),0,IF(ROUND(($I1060-$K1060)*1440,0)&gt;設定!$C$42,ROUND(($I1060-$K1060)*1440,0),0))</f>
        <v/>
      </c>
      <c r="Q1060" s="82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79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0">
        <f>IF($G1061="","",IFERROR(INDEX(設定!$D$6:$D$18,MATCH($G1061,設定!$B$6:$B$18,0)),""))</f>
        <v/>
      </c>
      <c r="I1061" s="80">
        <f>IF($G1061="","",IFERROR(INDEX(設定!$E$6:$E$18,MATCH($G1061,設定!$B$6:$B$18,0)),""))</f>
        <v/>
      </c>
      <c r="J1061" s="80">
        <f>IFERROR(INDEX(打卡匯入!$C$3:$C$2002,MATCH($C1061&amp;"|"&amp;DAY($A1061),打卡匯入!$E$3:$E$2002,0)),"")</f>
        <v/>
      </c>
      <c r="K1061" s="80">
        <f>IFERROR(INDEX(打卡匯入!$D$3:$D$2002,MATCH($C1061&amp;"|"&amp;DAY($A1061),打卡匯入!$E$3:$E$2002,0)),"")</f>
        <v/>
      </c>
      <c r="L1061" s="81">
        <f>IF(OR($J1061="",$K1061=""),"",IFERROR(INDEX(設定!$F$6:$F$18,MATCH($G1061,設定!$B$6:$B$18,0)),0))</f>
        <v/>
      </c>
      <c r="M1061" s="82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1">
        <f>IF(OR($C1061="",$H1061="",$J1061=""),0,IF(ROUND(($J1061-$H1061)*1440,0)&gt;設定!$C$42,ROUND(($J1061-$H1061)*1440,0),0))</f>
        <v/>
      </c>
      <c r="P1061" s="81">
        <f>IF(OR($C1061="",$I1061="",$K1061=""),0,IF(ROUND(($I1061-$K1061)*1440,0)&gt;設定!$C$42,ROUND(($I1061-$K1061)*1440,0),0))</f>
        <v/>
      </c>
      <c r="Q1061" s="82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79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0">
        <f>IF($G1062="","",IFERROR(INDEX(設定!$D$6:$D$18,MATCH($G1062,設定!$B$6:$B$18,0)),""))</f>
        <v/>
      </c>
      <c r="I1062" s="80">
        <f>IF($G1062="","",IFERROR(INDEX(設定!$E$6:$E$18,MATCH($G1062,設定!$B$6:$B$18,0)),""))</f>
        <v/>
      </c>
      <c r="J1062" s="80">
        <f>IFERROR(INDEX(打卡匯入!$C$3:$C$2002,MATCH($C1062&amp;"|"&amp;DAY($A1062),打卡匯入!$E$3:$E$2002,0)),"")</f>
        <v/>
      </c>
      <c r="K1062" s="80">
        <f>IFERROR(INDEX(打卡匯入!$D$3:$D$2002,MATCH($C1062&amp;"|"&amp;DAY($A1062),打卡匯入!$E$3:$E$2002,0)),"")</f>
        <v/>
      </c>
      <c r="L1062" s="81">
        <f>IF(OR($J1062="",$K1062=""),"",IFERROR(INDEX(設定!$F$6:$F$18,MATCH($G1062,設定!$B$6:$B$18,0)),0))</f>
        <v/>
      </c>
      <c r="M1062" s="82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1">
        <f>IF(OR($C1062="",$H1062="",$J1062=""),0,IF(ROUND(($J1062-$H1062)*1440,0)&gt;設定!$C$42,ROUND(($J1062-$H1062)*1440,0),0))</f>
        <v/>
      </c>
      <c r="P1062" s="81">
        <f>IF(OR($C1062="",$I1062="",$K1062=""),0,IF(ROUND(($I1062-$K1062)*1440,0)&gt;設定!$C$42,ROUND(($I1062-$K1062)*1440,0),0))</f>
        <v/>
      </c>
      <c r="Q1062" s="82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79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0">
        <f>IF($G1063="","",IFERROR(INDEX(設定!$D$6:$D$18,MATCH($G1063,設定!$B$6:$B$18,0)),""))</f>
        <v/>
      </c>
      <c r="I1063" s="80">
        <f>IF($G1063="","",IFERROR(INDEX(設定!$E$6:$E$18,MATCH($G1063,設定!$B$6:$B$18,0)),""))</f>
        <v/>
      </c>
      <c r="J1063" s="80">
        <f>IFERROR(INDEX(打卡匯入!$C$3:$C$2002,MATCH($C1063&amp;"|"&amp;DAY($A1063),打卡匯入!$E$3:$E$2002,0)),"")</f>
        <v/>
      </c>
      <c r="K1063" s="80">
        <f>IFERROR(INDEX(打卡匯入!$D$3:$D$2002,MATCH($C1063&amp;"|"&amp;DAY($A1063),打卡匯入!$E$3:$E$2002,0)),"")</f>
        <v/>
      </c>
      <c r="L1063" s="81">
        <f>IF(OR($J1063="",$K1063=""),"",IFERROR(INDEX(設定!$F$6:$F$18,MATCH($G1063,設定!$B$6:$B$18,0)),0))</f>
        <v/>
      </c>
      <c r="M1063" s="82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1">
        <f>IF(OR($C1063="",$H1063="",$J1063=""),0,IF(ROUND(($J1063-$H1063)*1440,0)&gt;設定!$C$42,ROUND(($J1063-$H1063)*1440,0),0))</f>
        <v/>
      </c>
      <c r="P1063" s="81">
        <f>IF(OR($C1063="",$I1063="",$K1063=""),0,IF(ROUND(($I1063-$K1063)*1440,0)&gt;設定!$C$42,ROUND(($I1063-$K1063)*1440,0),0))</f>
        <v/>
      </c>
      <c r="Q1063" s="82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79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0">
        <f>IF($G1064="","",IFERROR(INDEX(設定!$D$6:$D$18,MATCH($G1064,設定!$B$6:$B$18,0)),""))</f>
        <v/>
      </c>
      <c r="I1064" s="80">
        <f>IF($G1064="","",IFERROR(INDEX(設定!$E$6:$E$18,MATCH($G1064,設定!$B$6:$B$18,0)),""))</f>
        <v/>
      </c>
      <c r="J1064" s="80">
        <f>IFERROR(INDEX(打卡匯入!$C$3:$C$2002,MATCH($C1064&amp;"|"&amp;DAY($A1064),打卡匯入!$E$3:$E$2002,0)),"")</f>
        <v/>
      </c>
      <c r="K1064" s="80">
        <f>IFERROR(INDEX(打卡匯入!$D$3:$D$2002,MATCH($C1064&amp;"|"&amp;DAY($A1064),打卡匯入!$E$3:$E$2002,0)),"")</f>
        <v/>
      </c>
      <c r="L1064" s="81">
        <f>IF(OR($J1064="",$K1064=""),"",IFERROR(INDEX(設定!$F$6:$F$18,MATCH($G1064,設定!$B$6:$B$18,0)),0))</f>
        <v/>
      </c>
      <c r="M1064" s="82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1">
        <f>IF(OR($C1064="",$H1064="",$J1064=""),0,IF(ROUND(($J1064-$H1064)*1440,0)&gt;設定!$C$42,ROUND(($J1064-$H1064)*1440,0),0))</f>
        <v/>
      </c>
      <c r="P1064" s="81">
        <f>IF(OR($C1064="",$I1064="",$K1064=""),0,IF(ROUND(($I1064-$K1064)*1440,0)&gt;設定!$C$42,ROUND(($I1064-$K1064)*1440,0),0))</f>
        <v/>
      </c>
      <c r="Q1064" s="82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79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0">
        <f>IF($G1065="","",IFERROR(INDEX(設定!$D$6:$D$18,MATCH($G1065,設定!$B$6:$B$18,0)),""))</f>
        <v/>
      </c>
      <c r="I1065" s="80">
        <f>IF($G1065="","",IFERROR(INDEX(設定!$E$6:$E$18,MATCH($G1065,設定!$B$6:$B$18,0)),""))</f>
        <v/>
      </c>
      <c r="J1065" s="80">
        <f>IFERROR(INDEX(打卡匯入!$C$3:$C$2002,MATCH($C1065&amp;"|"&amp;DAY($A1065),打卡匯入!$E$3:$E$2002,0)),"")</f>
        <v/>
      </c>
      <c r="K1065" s="80">
        <f>IFERROR(INDEX(打卡匯入!$D$3:$D$2002,MATCH($C1065&amp;"|"&amp;DAY($A1065),打卡匯入!$E$3:$E$2002,0)),"")</f>
        <v/>
      </c>
      <c r="L1065" s="81">
        <f>IF(OR($J1065="",$K1065=""),"",IFERROR(INDEX(設定!$F$6:$F$18,MATCH($G1065,設定!$B$6:$B$18,0)),0))</f>
        <v/>
      </c>
      <c r="M1065" s="82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1">
        <f>IF(OR($C1065="",$H1065="",$J1065=""),0,IF(ROUND(($J1065-$H1065)*1440,0)&gt;設定!$C$42,ROUND(($J1065-$H1065)*1440,0),0))</f>
        <v/>
      </c>
      <c r="P1065" s="81">
        <f>IF(OR($C1065="",$I1065="",$K1065=""),0,IF(ROUND(($I1065-$K1065)*1440,0)&gt;設定!$C$42,ROUND(($I1065-$K1065)*1440,0),0))</f>
        <v/>
      </c>
      <c r="Q1065" s="82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79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0">
        <f>IF($G1066="","",IFERROR(INDEX(設定!$D$6:$D$18,MATCH($G1066,設定!$B$6:$B$18,0)),""))</f>
        <v/>
      </c>
      <c r="I1066" s="80">
        <f>IF($G1066="","",IFERROR(INDEX(設定!$E$6:$E$18,MATCH($G1066,設定!$B$6:$B$18,0)),""))</f>
        <v/>
      </c>
      <c r="J1066" s="80">
        <f>IFERROR(INDEX(打卡匯入!$C$3:$C$2002,MATCH($C1066&amp;"|"&amp;DAY($A1066),打卡匯入!$E$3:$E$2002,0)),"")</f>
        <v/>
      </c>
      <c r="K1066" s="80">
        <f>IFERROR(INDEX(打卡匯入!$D$3:$D$2002,MATCH($C1066&amp;"|"&amp;DAY($A1066),打卡匯入!$E$3:$E$2002,0)),"")</f>
        <v/>
      </c>
      <c r="L1066" s="81">
        <f>IF(OR($J1066="",$K1066=""),"",IFERROR(INDEX(設定!$F$6:$F$18,MATCH($G1066,設定!$B$6:$B$18,0)),0))</f>
        <v/>
      </c>
      <c r="M1066" s="82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1">
        <f>IF(OR($C1066="",$H1066="",$J1066=""),0,IF(ROUND(($J1066-$H1066)*1440,0)&gt;設定!$C$42,ROUND(($J1066-$H1066)*1440,0),0))</f>
        <v/>
      </c>
      <c r="P1066" s="81">
        <f>IF(OR($C1066="",$I1066="",$K1066=""),0,IF(ROUND(($I1066-$K1066)*1440,0)&gt;設定!$C$42,ROUND(($I1066-$K1066)*1440,0),0))</f>
        <v/>
      </c>
      <c r="Q1066" s="82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79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0">
        <f>IF($G1067="","",IFERROR(INDEX(設定!$D$6:$D$18,MATCH($G1067,設定!$B$6:$B$18,0)),""))</f>
        <v/>
      </c>
      <c r="I1067" s="80">
        <f>IF($G1067="","",IFERROR(INDEX(設定!$E$6:$E$18,MATCH($G1067,設定!$B$6:$B$18,0)),""))</f>
        <v/>
      </c>
      <c r="J1067" s="80">
        <f>IFERROR(INDEX(打卡匯入!$C$3:$C$2002,MATCH($C1067&amp;"|"&amp;DAY($A1067),打卡匯入!$E$3:$E$2002,0)),"")</f>
        <v/>
      </c>
      <c r="K1067" s="80">
        <f>IFERROR(INDEX(打卡匯入!$D$3:$D$2002,MATCH($C1067&amp;"|"&amp;DAY($A1067),打卡匯入!$E$3:$E$2002,0)),"")</f>
        <v/>
      </c>
      <c r="L1067" s="81">
        <f>IF(OR($J1067="",$K1067=""),"",IFERROR(INDEX(設定!$F$6:$F$18,MATCH($G1067,設定!$B$6:$B$18,0)),0))</f>
        <v/>
      </c>
      <c r="M1067" s="82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1">
        <f>IF(OR($C1067="",$H1067="",$J1067=""),0,IF(ROUND(($J1067-$H1067)*1440,0)&gt;設定!$C$42,ROUND(($J1067-$H1067)*1440,0),0))</f>
        <v/>
      </c>
      <c r="P1067" s="81">
        <f>IF(OR($C1067="",$I1067="",$K1067=""),0,IF(ROUND(($I1067-$K1067)*1440,0)&gt;設定!$C$42,ROUND(($I1067-$K1067)*1440,0),0))</f>
        <v/>
      </c>
      <c r="Q1067" s="82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79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0">
        <f>IF($G1068="","",IFERROR(INDEX(設定!$D$6:$D$18,MATCH($G1068,設定!$B$6:$B$18,0)),""))</f>
        <v/>
      </c>
      <c r="I1068" s="80">
        <f>IF($G1068="","",IFERROR(INDEX(設定!$E$6:$E$18,MATCH($G1068,設定!$B$6:$B$18,0)),""))</f>
        <v/>
      </c>
      <c r="J1068" s="80">
        <f>IFERROR(INDEX(打卡匯入!$C$3:$C$2002,MATCH($C1068&amp;"|"&amp;DAY($A1068),打卡匯入!$E$3:$E$2002,0)),"")</f>
        <v/>
      </c>
      <c r="K1068" s="80">
        <f>IFERROR(INDEX(打卡匯入!$D$3:$D$2002,MATCH($C1068&amp;"|"&amp;DAY($A1068),打卡匯入!$E$3:$E$2002,0)),"")</f>
        <v/>
      </c>
      <c r="L1068" s="81">
        <f>IF(OR($J1068="",$K1068=""),"",IFERROR(INDEX(設定!$F$6:$F$18,MATCH($G1068,設定!$B$6:$B$18,0)),0))</f>
        <v/>
      </c>
      <c r="M1068" s="82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1">
        <f>IF(OR($C1068="",$H1068="",$J1068=""),0,IF(ROUND(($J1068-$H1068)*1440,0)&gt;設定!$C$42,ROUND(($J1068-$H1068)*1440,0),0))</f>
        <v/>
      </c>
      <c r="P1068" s="81">
        <f>IF(OR($C1068="",$I1068="",$K1068=""),0,IF(ROUND(($I1068-$K1068)*1440,0)&gt;設定!$C$42,ROUND(($I1068-$K1068)*1440,0),0))</f>
        <v/>
      </c>
      <c r="Q1068" s="82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79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0">
        <f>IF($G1069="","",IFERROR(INDEX(設定!$D$6:$D$18,MATCH($G1069,設定!$B$6:$B$18,0)),""))</f>
        <v/>
      </c>
      <c r="I1069" s="80">
        <f>IF($G1069="","",IFERROR(INDEX(設定!$E$6:$E$18,MATCH($G1069,設定!$B$6:$B$18,0)),""))</f>
        <v/>
      </c>
      <c r="J1069" s="80">
        <f>IFERROR(INDEX(打卡匯入!$C$3:$C$2002,MATCH($C1069&amp;"|"&amp;DAY($A1069),打卡匯入!$E$3:$E$2002,0)),"")</f>
        <v/>
      </c>
      <c r="K1069" s="80">
        <f>IFERROR(INDEX(打卡匯入!$D$3:$D$2002,MATCH($C1069&amp;"|"&amp;DAY($A1069),打卡匯入!$E$3:$E$2002,0)),"")</f>
        <v/>
      </c>
      <c r="L1069" s="81">
        <f>IF(OR($J1069="",$K1069=""),"",IFERROR(INDEX(設定!$F$6:$F$18,MATCH($G1069,設定!$B$6:$B$18,0)),0))</f>
        <v/>
      </c>
      <c r="M1069" s="82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1">
        <f>IF(OR($C1069="",$H1069="",$J1069=""),0,IF(ROUND(($J1069-$H1069)*1440,0)&gt;設定!$C$42,ROUND(($J1069-$H1069)*1440,0),0))</f>
        <v/>
      </c>
      <c r="P1069" s="81">
        <f>IF(OR($C1069="",$I1069="",$K1069=""),0,IF(ROUND(($I1069-$K1069)*1440,0)&gt;設定!$C$42,ROUND(($I1069-$K1069)*1440,0),0))</f>
        <v/>
      </c>
      <c r="Q1069" s="82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79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0">
        <f>IF($G1070="","",IFERROR(INDEX(設定!$D$6:$D$18,MATCH($G1070,設定!$B$6:$B$18,0)),""))</f>
        <v/>
      </c>
      <c r="I1070" s="80">
        <f>IF($G1070="","",IFERROR(INDEX(設定!$E$6:$E$18,MATCH($G1070,設定!$B$6:$B$18,0)),""))</f>
        <v/>
      </c>
      <c r="J1070" s="80">
        <f>IFERROR(INDEX(打卡匯入!$C$3:$C$2002,MATCH($C1070&amp;"|"&amp;DAY($A1070),打卡匯入!$E$3:$E$2002,0)),"")</f>
        <v/>
      </c>
      <c r="K1070" s="80">
        <f>IFERROR(INDEX(打卡匯入!$D$3:$D$2002,MATCH($C1070&amp;"|"&amp;DAY($A1070),打卡匯入!$E$3:$E$2002,0)),"")</f>
        <v/>
      </c>
      <c r="L1070" s="81">
        <f>IF(OR($J1070="",$K1070=""),"",IFERROR(INDEX(設定!$F$6:$F$18,MATCH($G1070,設定!$B$6:$B$18,0)),0))</f>
        <v/>
      </c>
      <c r="M1070" s="82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1">
        <f>IF(OR($C1070="",$H1070="",$J1070=""),0,IF(ROUND(($J1070-$H1070)*1440,0)&gt;設定!$C$42,ROUND(($J1070-$H1070)*1440,0),0))</f>
        <v/>
      </c>
      <c r="P1070" s="81">
        <f>IF(OR($C1070="",$I1070="",$K1070=""),0,IF(ROUND(($I1070-$K1070)*1440,0)&gt;設定!$C$42,ROUND(($I1070-$K1070)*1440,0),0))</f>
        <v/>
      </c>
      <c r="Q1070" s="82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79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0">
        <f>IF($G1071="","",IFERROR(INDEX(設定!$D$6:$D$18,MATCH($G1071,設定!$B$6:$B$18,0)),""))</f>
        <v/>
      </c>
      <c r="I1071" s="80">
        <f>IF($G1071="","",IFERROR(INDEX(設定!$E$6:$E$18,MATCH($G1071,設定!$B$6:$B$18,0)),""))</f>
        <v/>
      </c>
      <c r="J1071" s="80">
        <f>IFERROR(INDEX(打卡匯入!$C$3:$C$2002,MATCH($C1071&amp;"|"&amp;DAY($A1071),打卡匯入!$E$3:$E$2002,0)),"")</f>
        <v/>
      </c>
      <c r="K1071" s="80">
        <f>IFERROR(INDEX(打卡匯入!$D$3:$D$2002,MATCH($C1071&amp;"|"&amp;DAY($A1071),打卡匯入!$E$3:$E$2002,0)),"")</f>
        <v/>
      </c>
      <c r="L1071" s="81">
        <f>IF(OR($J1071="",$K1071=""),"",IFERROR(INDEX(設定!$F$6:$F$18,MATCH($G1071,設定!$B$6:$B$18,0)),0))</f>
        <v/>
      </c>
      <c r="M1071" s="82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1">
        <f>IF(OR($C1071="",$H1071="",$J1071=""),0,IF(ROUND(($J1071-$H1071)*1440,0)&gt;設定!$C$42,ROUND(($J1071-$H1071)*1440,0),0))</f>
        <v/>
      </c>
      <c r="P1071" s="81">
        <f>IF(OR($C1071="",$I1071="",$K1071=""),0,IF(ROUND(($I1071-$K1071)*1440,0)&gt;設定!$C$42,ROUND(($I1071-$K1071)*1440,0),0))</f>
        <v/>
      </c>
      <c r="Q1071" s="82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79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0">
        <f>IF($G1072="","",IFERROR(INDEX(設定!$D$6:$D$18,MATCH($G1072,設定!$B$6:$B$18,0)),""))</f>
        <v/>
      </c>
      <c r="I1072" s="80">
        <f>IF($G1072="","",IFERROR(INDEX(設定!$E$6:$E$18,MATCH($G1072,設定!$B$6:$B$18,0)),""))</f>
        <v/>
      </c>
      <c r="J1072" s="80">
        <f>IFERROR(INDEX(打卡匯入!$C$3:$C$2002,MATCH($C1072&amp;"|"&amp;DAY($A1072),打卡匯入!$E$3:$E$2002,0)),"")</f>
        <v/>
      </c>
      <c r="K1072" s="80">
        <f>IFERROR(INDEX(打卡匯入!$D$3:$D$2002,MATCH($C1072&amp;"|"&amp;DAY($A1072),打卡匯入!$E$3:$E$2002,0)),"")</f>
        <v/>
      </c>
      <c r="L1072" s="81">
        <f>IF(OR($J1072="",$K1072=""),"",IFERROR(INDEX(設定!$F$6:$F$18,MATCH($G1072,設定!$B$6:$B$18,0)),0))</f>
        <v/>
      </c>
      <c r="M1072" s="82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1">
        <f>IF(OR($C1072="",$H1072="",$J1072=""),0,IF(ROUND(($J1072-$H1072)*1440,0)&gt;設定!$C$42,ROUND(($J1072-$H1072)*1440,0),0))</f>
        <v/>
      </c>
      <c r="P1072" s="81">
        <f>IF(OR($C1072="",$I1072="",$K1072=""),0,IF(ROUND(($I1072-$K1072)*1440,0)&gt;設定!$C$42,ROUND(($I1072-$K1072)*1440,0),0))</f>
        <v/>
      </c>
      <c r="Q1072" s="82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79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0">
        <f>IF($G1073="","",IFERROR(INDEX(設定!$D$6:$D$18,MATCH($G1073,設定!$B$6:$B$18,0)),""))</f>
        <v/>
      </c>
      <c r="I1073" s="80">
        <f>IF($G1073="","",IFERROR(INDEX(設定!$E$6:$E$18,MATCH($G1073,設定!$B$6:$B$18,0)),""))</f>
        <v/>
      </c>
      <c r="J1073" s="80">
        <f>IFERROR(INDEX(打卡匯入!$C$3:$C$2002,MATCH($C1073&amp;"|"&amp;DAY($A1073),打卡匯入!$E$3:$E$2002,0)),"")</f>
        <v/>
      </c>
      <c r="K1073" s="80">
        <f>IFERROR(INDEX(打卡匯入!$D$3:$D$2002,MATCH($C1073&amp;"|"&amp;DAY($A1073),打卡匯入!$E$3:$E$2002,0)),"")</f>
        <v/>
      </c>
      <c r="L1073" s="81">
        <f>IF(OR($J1073="",$K1073=""),"",IFERROR(INDEX(設定!$F$6:$F$18,MATCH($G1073,設定!$B$6:$B$18,0)),0))</f>
        <v/>
      </c>
      <c r="M1073" s="82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1">
        <f>IF(OR($C1073="",$H1073="",$J1073=""),0,IF(ROUND(($J1073-$H1073)*1440,0)&gt;設定!$C$42,ROUND(($J1073-$H1073)*1440,0),0))</f>
        <v/>
      </c>
      <c r="P1073" s="81">
        <f>IF(OR($C1073="",$I1073="",$K1073=""),0,IF(ROUND(($I1073-$K1073)*1440,0)&gt;設定!$C$42,ROUND(($I1073-$K1073)*1440,0),0))</f>
        <v/>
      </c>
      <c r="Q1073" s="82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79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0">
        <f>IF($G1074="","",IFERROR(INDEX(設定!$D$6:$D$18,MATCH($G1074,設定!$B$6:$B$18,0)),""))</f>
        <v/>
      </c>
      <c r="I1074" s="80">
        <f>IF($G1074="","",IFERROR(INDEX(設定!$E$6:$E$18,MATCH($G1074,設定!$B$6:$B$18,0)),""))</f>
        <v/>
      </c>
      <c r="J1074" s="80">
        <f>IFERROR(INDEX(打卡匯入!$C$3:$C$2002,MATCH($C1074&amp;"|"&amp;DAY($A1074),打卡匯入!$E$3:$E$2002,0)),"")</f>
        <v/>
      </c>
      <c r="K1074" s="80">
        <f>IFERROR(INDEX(打卡匯入!$D$3:$D$2002,MATCH($C1074&amp;"|"&amp;DAY($A1074),打卡匯入!$E$3:$E$2002,0)),"")</f>
        <v/>
      </c>
      <c r="L1074" s="81">
        <f>IF(OR($J1074="",$K1074=""),"",IFERROR(INDEX(設定!$F$6:$F$18,MATCH($G1074,設定!$B$6:$B$18,0)),0))</f>
        <v/>
      </c>
      <c r="M1074" s="82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1">
        <f>IF(OR($C1074="",$H1074="",$J1074=""),0,IF(ROUND(($J1074-$H1074)*1440,0)&gt;設定!$C$42,ROUND(($J1074-$H1074)*1440,0),0))</f>
        <v/>
      </c>
      <c r="P1074" s="81">
        <f>IF(OR($C1074="",$I1074="",$K1074=""),0,IF(ROUND(($I1074-$K1074)*1440,0)&gt;設定!$C$42,ROUND(($I1074-$K1074)*1440,0),0))</f>
        <v/>
      </c>
      <c r="Q1074" s="82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79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0">
        <f>IF($G1075="","",IFERROR(INDEX(設定!$D$6:$D$18,MATCH($G1075,設定!$B$6:$B$18,0)),""))</f>
        <v/>
      </c>
      <c r="I1075" s="80">
        <f>IF($G1075="","",IFERROR(INDEX(設定!$E$6:$E$18,MATCH($G1075,設定!$B$6:$B$18,0)),""))</f>
        <v/>
      </c>
      <c r="J1075" s="80">
        <f>IFERROR(INDEX(打卡匯入!$C$3:$C$2002,MATCH($C1075&amp;"|"&amp;DAY($A1075),打卡匯入!$E$3:$E$2002,0)),"")</f>
        <v/>
      </c>
      <c r="K1075" s="80">
        <f>IFERROR(INDEX(打卡匯入!$D$3:$D$2002,MATCH($C1075&amp;"|"&amp;DAY($A1075),打卡匯入!$E$3:$E$2002,0)),"")</f>
        <v/>
      </c>
      <c r="L1075" s="81">
        <f>IF(OR($J1075="",$K1075=""),"",IFERROR(INDEX(設定!$F$6:$F$18,MATCH($G1075,設定!$B$6:$B$18,0)),0))</f>
        <v/>
      </c>
      <c r="M1075" s="82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1">
        <f>IF(OR($C1075="",$H1075="",$J1075=""),0,IF(ROUND(($J1075-$H1075)*1440,0)&gt;設定!$C$42,ROUND(($J1075-$H1075)*1440,0),0))</f>
        <v/>
      </c>
      <c r="P1075" s="81">
        <f>IF(OR($C1075="",$I1075="",$K1075=""),0,IF(ROUND(($I1075-$K1075)*1440,0)&gt;設定!$C$42,ROUND(($I1075-$K1075)*1440,0),0))</f>
        <v/>
      </c>
      <c r="Q1075" s="82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79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0">
        <f>IF($G1076="","",IFERROR(INDEX(設定!$D$6:$D$18,MATCH($G1076,設定!$B$6:$B$18,0)),""))</f>
        <v/>
      </c>
      <c r="I1076" s="80">
        <f>IF($G1076="","",IFERROR(INDEX(設定!$E$6:$E$18,MATCH($G1076,設定!$B$6:$B$18,0)),""))</f>
        <v/>
      </c>
      <c r="J1076" s="80">
        <f>IFERROR(INDEX(打卡匯入!$C$3:$C$2002,MATCH($C1076&amp;"|"&amp;DAY($A1076),打卡匯入!$E$3:$E$2002,0)),"")</f>
        <v/>
      </c>
      <c r="K1076" s="80">
        <f>IFERROR(INDEX(打卡匯入!$D$3:$D$2002,MATCH($C1076&amp;"|"&amp;DAY($A1076),打卡匯入!$E$3:$E$2002,0)),"")</f>
        <v/>
      </c>
      <c r="L1076" s="81">
        <f>IF(OR($J1076="",$K1076=""),"",IFERROR(INDEX(設定!$F$6:$F$18,MATCH($G1076,設定!$B$6:$B$18,0)),0))</f>
        <v/>
      </c>
      <c r="M1076" s="82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1">
        <f>IF(OR($C1076="",$H1076="",$J1076=""),0,IF(ROUND(($J1076-$H1076)*1440,0)&gt;設定!$C$42,ROUND(($J1076-$H1076)*1440,0),0))</f>
        <v/>
      </c>
      <c r="P1076" s="81">
        <f>IF(OR($C1076="",$I1076="",$K1076=""),0,IF(ROUND(($I1076-$K1076)*1440,0)&gt;設定!$C$42,ROUND(($I1076-$K1076)*1440,0),0))</f>
        <v/>
      </c>
      <c r="Q1076" s="82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79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0">
        <f>IF($G1077="","",IFERROR(INDEX(設定!$D$6:$D$18,MATCH($G1077,設定!$B$6:$B$18,0)),""))</f>
        <v/>
      </c>
      <c r="I1077" s="80">
        <f>IF($G1077="","",IFERROR(INDEX(設定!$E$6:$E$18,MATCH($G1077,設定!$B$6:$B$18,0)),""))</f>
        <v/>
      </c>
      <c r="J1077" s="80">
        <f>IFERROR(INDEX(打卡匯入!$C$3:$C$2002,MATCH($C1077&amp;"|"&amp;DAY($A1077),打卡匯入!$E$3:$E$2002,0)),"")</f>
        <v/>
      </c>
      <c r="K1077" s="80">
        <f>IFERROR(INDEX(打卡匯入!$D$3:$D$2002,MATCH($C1077&amp;"|"&amp;DAY($A1077),打卡匯入!$E$3:$E$2002,0)),"")</f>
        <v/>
      </c>
      <c r="L1077" s="81">
        <f>IF(OR($J1077="",$K1077=""),"",IFERROR(INDEX(設定!$F$6:$F$18,MATCH($G1077,設定!$B$6:$B$18,0)),0))</f>
        <v/>
      </c>
      <c r="M1077" s="82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1">
        <f>IF(OR($C1077="",$H1077="",$J1077=""),0,IF(ROUND(($J1077-$H1077)*1440,0)&gt;設定!$C$42,ROUND(($J1077-$H1077)*1440,0),0))</f>
        <v/>
      </c>
      <c r="P1077" s="81">
        <f>IF(OR($C1077="",$I1077="",$K1077=""),0,IF(ROUND(($I1077-$K1077)*1440,0)&gt;設定!$C$42,ROUND(($I1077-$K1077)*1440,0),0))</f>
        <v/>
      </c>
      <c r="Q1077" s="82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79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0">
        <f>IF($G1078="","",IFERROR(INDEX(設定!$D$6:$D$18,MATCH($G1078,設定!$B$6:$B$18,0)),""))</f>
        <v/>
      </c>
      <c r="I1078" s="80">
        <f>IF($G1078="","",IFERROR(INDEX(設定!$E$6:$E$18,MATCH($G1078,設定!$B$6:$B$18,0)),""))</f>
        <v/>
      </c>
      <c r="J1078" s="80">
        <f>IFERROR(INDEX(打卡匯入!$C$3:$C$2002,MATCH($C1078&amp;"|"&amp;DAY($A1078),打卡匯入!$E$3:$E$2002,0)),"")</f>
        <v/>
      </c>
      <c r="K1078" s="80">
        <f>IFERROR(INDEX(打卡匯入!$D$3:$D$2002,MATCH($C1078&amp;"|"&amp;DAY($A1078),打卡匯入!$E$3:$E$2002,0)),"")</f>
        <v/>
      </c>
      <c r="L1078" s="81">
        <f>IF(OR($J1078="",$K1078=""),"",IFERROR(INDEX(設定!$F$6:$F$18,MATCH($G1078,設定!$B$6:$B$18,0)),0))</f>
        <v/>
      </c>
      <c r="M1078" s="82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1">
        <f>IF(OR($C1078="",$H1078="",$J1078=""),0,IF(ROUND(($J1078-$H1078)*1440,0)&gt;設定!$C$42,ROUND(($J1078-$H1078)*1440,0),0))</f>
        <v/>
      </c>
      <c r="P1078" s="81">
        <f>IF(OR($C1078="",$I1078="",$K1078=""),0,IF(ROUND(($I1078-$K1078)*1440,0)&gt;設定!$C$42,ROUND(($I1078-$K1078)*1440,0),0))</f>
        <v/>
      </c>
      <c r="Q1078" s="82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79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0">
        <f>IF($G1079="","",IFERROR(INDEX(設定!$D$6:$D$18,MATCH($G1079,設定!$B$6:$B$18,0)),""))</f>
        <v/>
      </c>
      <c r="I1079" s="80">
        <f>IF($G1079="","",IFERROR(INDEX(設定!$E$6:$E$18,MATCH($G1079,設定!$B$6:$B$18,0)),""))</f>
        <v/>
      </c>
      <c r="J1079" s="80">
        <f>IFERROR(INDEX(打卡匯入!$C$3:$C$2002,MATCH($C1079&amp;"|"&amp;DAY($A1079),打卡匯入!$E$3:$E$2002,0)),"")</f>
        <v/>
      </c>
      <c r="K1079" s="80">
        <f>IFERROR(INDEX(打卡匯入!$D$3:$D$2002,MATCH($C1079&amp;"|"&amp;DAY($A1079),打卡匯入!$E$3:$E$2002,0)),"")</f>
        <v/>
      </c>
      <c r="L1079" s="81">
        <f>IF(OR($J1079="",$K1079=""),"",IFERROR(INDEX(設定!$F$6:$F$18,MATCH($G1079,設定!$B$6:$B$18,0)),0))</f>
        <v/>
      </c>
      <c r="M1079" s="82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1">
        <f>IF(OR($C1079="",$H1079="",$J1079=""),0,IF(ROUND(($J1079-$H1079)*1440,0)&gt;設定!$C$42,ROUND(($J1079-$H1079)*1440,0),0))</f>
        <v/>
      </c>
      <c r="P1079" s="81">
        <f>IF(OR($C1079="",$I1079="",$K1079=""),0,IF(ROUND(($I1079-$K1079)*1440,0)&gt;設定!$C$42,ROUND(($I1079-$K1079)*1440,0),0))</f>
        <v/>
      </c>
      <c r="Q1079" s="82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79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0">
        <f>IF($G1080="","",IFERROR(INDEX(設定!$D$6:$D$18,MATCH($G1080,設定!$B$6:$B$18,0)),""))</f>
        <v/>
      </c>
      <c r="I1080" s="80">
        <f>IF($G1080="","",IFERROR(INDEX(設定!$E$6:$E$18,MATCH($G1080,設定!$B$6:$B$18,0)),""))</f>
        <v/>
      </c>
      <c r="J1080" s="80">
        <f>IFERROR(INDEX(打卡匯入!$C$3:$C$2002,MATCH($C1080&amp;"|"&amp;DAY($A1080),打卡匯入!$E$3:$E$2002,0)),"")</f>
        <v/>
      </c>
      <c r="K1080" s="80">
        <f>IFERROR(INDEX(打卡匯入!$D$3:$D$2002,MATCH($C1080&amp;"|"&amp;DAY($A1080),打卡匯入!$E$3:$E$2002,0)),"")</f>
        <v/>
      </c>
      <c r="L1080" s="81">
        <f>IF(OR($J1080="",$K1080=""),"",IFERROR(INDEX(設定!$F$6:$F$18,MATCH($G1080,設定!$B$6:$B$18,0)),0))</f>
        <v/>
      </c>
      <c r="M1080" s="82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1">
        <f>IF(OR($C1080="",$H1080="",$J1080=""),0,IF(ROUND(($J1080-$H1080)*1440,0)&gt;設定!$C$42,ROUND(($J1080-$H1080)*1440,0),0))</f>
        <v/>
      </c>
      <c r="P1080" s="81">
        <f>IF(OR($C1080="",$I1080="",$K1080=""),0,IF(ROUND(($I1080-$K1080)*1440,0)&gt;設定!$C$42,ROUND(($I1080-$K1080)*1440,0),0))</f>
        <v/>
      </c>
      <c r="Q1080" s="82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79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0">
        <f>IF($G1081="","",IFERROR(INDEX(設定!$D$6:$D$18,MATCH($G1081,設定!$B$6:$B$18,0)),""))</f>
        <v/>
      </c>
      <c r="I1081" s="80">
        <f>IF($G1081="","",IFERROR(INDEX(設定!$E$6:$E$18,MATCH($G1081,設定!$B$6:$B$18,0)),""))</f>
        <v/>
      </c>
      <c r="J1081" s="80">
        <f>IFERROR(INDEX(打卡匯入!$C$3:$C$2002,MATCH($C1081&amp;"|"&amp;DAY($A1081),打卡匯入!$E$3:$E$2002,0)),"")</f>
        <v/>
      </c>
      <c r="K1081" s="80">
        <f>IFERROR(INDEX(打卡匯入!$D$3:$D$2002,MATCH($C1081&amp;"|"&amp;DAY($A1081),打卡匯入!$E$3:$E$2002,0)),"")</f>
        <v/>
      </c>
      <c r="L1081" s="81">
        <f>IF(OR($J1081="",$K1081=""),"",IFERROR(INDEX(設定!$F$6:$F$18,MATCH($G1081,設定!$B$6:$B$18,0)),0))</f>
        <v/>
      </c>
      <c r="M1081" s="82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1">
        <f>IF(OR($C1081="",$H1081="",$J1081=""),0,IF(ROUND(($J1081-$H1081)*1440,0)&gt;設定!$C$42,ROUND(($J1081-$H1081)*1440,0),0))</f>
        <v/>
      </c>
      <c r="P1081" s="81">
        <f>IF(OR($C1081="",$I1081="",$K1081=""),0,IF(ROUND(($I1081-$K1081)*1440,0)&gt;設定!$C$42,ROUND(($I1081-$K1081)*1440,0),0))</f>
        <v/>
      </c>
      <c r="Q1081" s="82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79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0">
        <f>IF($G1082="","",IFERROR(INDEX(設定!$D$6:$D$18,MATCH($G1082,設定!$B$6:$B$18,0)),""))</f>
        <v/>
      </c>
      <c r="I1082" s="80">
        <f>IF($G1082="","",IFERROR(INDEX(設定!$E$6:$E$18,MATCH($G1082,設定!$B$6:$B$18,0)),""))</f>
        <v/>
      </c>
      <c r="J1082" s="80">
        <f>IFERROR(INDEX(打卡匯入!$C$3:$C$2002,MATCH($C1082&amp;"|"&amp;DAY($A1082),打卡匯入!$E$3:$E$2002,0)),"")</f>
        <v/>
      </c>
      <c r="K1082" s="80">
        <f>IFERROR(INDEX(打卡匯入!$D$3:$D$2002,MATCH($C1082&amp;"|"&amp;DAY($A1082),打卡匯入!$E$3:$E$2002,0)),"")</f>
        <v/>
      </c>
      <c r="L1082" s="81">
        <f>IF(OR($J1082="",$K1082=""),"",IFERROR(INDEX(設定!$F$6:$F$18,MATCH($G1082,設定!$B$6:$B$18,0)),0))</f>
        <v/>
      </c>
      <c r="M1082" s="82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1">
        <f>IF(OR($C1082="",$H1082="",$J1082=""),0,IF(ROUND(($J1082-$H1082)*1440,0)&gt;設定!$C$42,ROUND(($J1082-$H1082)*1440,0),0))</f>
        <v/>
      </c>
      <c r="P1082" s="81">
        <f>IF(OR($C1082="",$I1082="",$K1082=""),0,IF(ROUND(($I1082-$K1082)*1440,0)&gt;設定!$C$42,ROUND(($I1082-$K1082)*1440,0),0))</f>
        <v/>
      </c>
      <c r="Q1082" s="82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79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0">
        <f>IF($G1083="","",IFERROR(INDEX(設定!$D$6:$D$18,MATCH($G1083,設定!$B$6:$B$18,0)),""))</f>
        <v/>
      </c>
      <c r="I1083" s="80">
        <f>IF($G1083="","",IFERROR(INDEX(設定!$E$6:$E$18,MATCH($G1083,設定!$B$6:$B$18,0)),""))</f>
        <v/>
      </c>
      <c r="J1083" s="80">
        <f>IFERROR(INDEX(打卡匯入!$C$3:$C$2002,MATCH($C1083&amp;"|"&amp;DAY($A1083),打卡匯入!$E$3:$E$2002,0)),"")</f>
        <v/>
      </c>
      <c r="K1083" s="80">
        <f>IFERROR(INDEX(打卡匯入!$D$3:$D$2002,MATCH($C1083&amp;"|"&amp;DAY($A1083),打卡匯入!$E$3:$E$2002,0)),"")</f>
        <v/>
      </c>
      <c r="L1083" s="81">
        <f>IF(OR($J1083="",$K1083=""),"",IFERROR(INDEX(設定!$F$6:$F$18,MATCH($G1083,設定!$B$6:$B$18,0)),0))</f>
        <v/>
      </c>
      <c r="M1083" s="82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1">
        <f>IF(OR($C1083="",$H1083="",$J1083=""),0,IF(ROUND(($J1083-$H1083)*1440,0)&gt;設定!$C$42,ROUND(($J1083-$H1083)*1440,0),0))</f>
        <v/>
      </c>
      <c r="P1083" s="81">
        <f>IF(OR($C1083="",$I1083="",$K1083=""),0,IF(ROUND(($I1083-$K1083)*1440,0)&gt;設定!$C$42,ROUND(($I1083-$K1083)*1440,0),0))</f>
        <v/>
      </c>
      <c r="Q1083" s="82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79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0">
        <f>IF($G1084="","",IFERROR(INDEX(設定!$D$6:$D$18,MATCH($G1084,設定!$B$6:$B$18,0)),""))</f>
        <v/>
      </c>
      <c r="I1084" s="80">
        <f>IF($G1084="","",IFERROR(INDEX(設定!$E$6:$E$18,MATCH($G1084,設定!$B$6:$B$18,0)),""))</f>
        <v/>
      </c>
      <c r="J1084" s="80">
        <f>IFERROR(INDEX(打卡匯入!$C$3:$C$2002,MATCH($C1084&amp;"|"&amp;DAY($A1084),打卡匯入!$E$3:$E$2002,0)),"")</f>
        <v/>
      </c>
      <c r="K1084" s="80">
        <f>IFERROR(INDEX(打卡匯入!$D$3:$D$2002,MATCH($C1084&amp;"|"&amp;DAY($A1084),打卡匯入!$E$3:$E$2002,0)),"")</f>
        <v/>
      </c>
      <c r="L1084" s="81">
        <f>IF(OR($J1084="",$K1084=""),"",IFERROR(INDEX(設定!$F$6:$F$18,MATCH($G1084,設定!$B$6:$B$18,0)),0))</f>
        <v/>
      </c>
      <c r="M1084" s="82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1">
        <f>IF(OR($C1084="",$H1084="",$J1084=""),0,IF(ROUND(($J1084-$H1084)*1440,0)&gt;設定!$C$42,ROUND(($J1084-$H1084)*1440,0),0))</f>
        <v/>
      </c>
      <c r="P1084" s="81">
        <f>IF(OR($C1084="",$I1084="",$K1084=""),0,IF(ROUND(($I1084-$K1084)*1440,0)&gt;設定!$C$42,ROUND(($I1084-$K1084)*1440,0),0))</f>
        <v/>
      </c>
      <c r="Q1084" s="82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79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0">
        <f>IF($G1085="","",IFERROR(INDEX(設定!$D$6:$D$18,MATCH($G1085,設定!$B$6:$B$18,0)),""))</f>
        <v/>
      </c>
      <c r="I1085" s="80">
        <f>IF($G1085="","",IFERROR(INDEX(設定!$E$6:$E$18,MATCH($G1085,設定!$B$6:$B$18,0)),""))</f>
        <v/>
      </c>
      <c r="J1085" s="80">
        <f>IFERROR(INDEX(打卡匯入!$C$3:$C$2002,MATCH($C1085&amp;"|"&amp;DAY($A1085),打卡匯入!$E$3:$E$2002,0)),"")</f>
        <v/>
      </c>
      <c r="K1085" s="80">
        <f>IFERROR(INDEX(打卡匯入!$D$3:$D$2002,MATCH($C1085&amp;"|"&amp;DAY($A1085),打卡匯入!$E$3:$E$2002,0)),"")</f>
        <v/>
      </c>
      <c r="L1085" s="81">
        <f>IF(OR($J1085="",$K1085=""),"",IFERROR(INDEX(設定!$F$6:$F$18,MATCH($G1085,設定!$B$6:$B$18,0)),0))</f>
        <v/>
      </c>
      <c r="M1085" s="82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1">
        <f>IF(OR($C1085="",$H1085="",$J1085=""),0,IF(ROUND(($J1085-$H1085)*1440,0)&gt;設定!$C$42,ROUND(($J1085-$H1085)*1440,0),0))</f>
        <v/>
      </c>
      <c r="P1085" s="81">
        <f>IF(OR($C1085="",$I1085="",$K1085=""),0,IF(ROUND(($I1085-$K1085)*1440,0)&gt;設定!$C$42,ROUND(($I1085-$K1085)*1440,0),0))</f>
        <v/>
      </c>
      <c r="Q1085" s="82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79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0">
        <f>IF($G1086="","",IFERROR(INDEX(設定!$D$6:$D$18,MATCH($G1086,設定!$B$6:$B$18,0)),""))</f>
        <v/>
      </c>
      <c r="I1086" s="80">
        <f>IF($G1086="","",IFERROR(INDEX(設定!$E$6:$E$18,MATCH($G1086,設定!$B$6:$B$18,0)),""))</f>
        <v/>
      </c>
      <c r="J1086" s="80">
        <f>IFERROR(INDEX(打卡匯入!$C$3:$C$2002,MATCH($C1086&amp;"|"&amp;DAY($A1086),打卡匯入!$E$3:$E$2002,0)),"")</f>
        <v/>
      </c>
      <c r="K1086" s="80">
        <f>IFERROR(INDEX(打卡匯入!$D$3:$D$2002,MATCH($C1086&amp;"|"&amp;DAY($A1086),打卡匯入!$E$3:$E$2002,0)),"")</f>
        <v/>
      </c>
      <c r="L1086" s="81">
        <f>IF(OR($J1086="",$K1086=""),"",IFERROR(INDEX(設定!$F$6:$F$18,MATCH($G1086,設定!$B$6:$B$18,0)),0))</f>
        <v/>
      </c>
      <c r="M1086" s="82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1">
        <f>IF(OR($C1086="",$H1086="",$J1086=""),0,IF(ROUND(($J1086-$H1086)*1440,0)&gt;設定!$C$42,ROUND(($J1086-$H1086)*1440,0),0))</f>
        <v/>
      </c>
      <c r="P1086" s="81">
        <f>IF(OR($C1086="",$I1086="",$K1086=""),0,IF(ROUND(($I1086-$K1086)*1440,0)&gt;設定!$C$42,ROUND(($I1086-$K1086)*1440,0),0))</f>
        <v/>
      </c>
      <c r="Q1086" s="82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79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0">
        <f>IF($G1087="","",IFERROR(INDEX(設定!$D$6:$D$18,MATCH($G1087,設定!$B$6:$B$18,0)),""))</f>
        <v/>
      </c>
      <c r="I1087" s="80">
        <f>IF($G1087="","",IFERROR(INDEX(設定!$E$6:$E$18,MATCH($G1087,設定!$B$6:$B$18,0)),""))</f>
        <v/>
      </c>
      <c r="J1087" s="80">
        <f>IFERROR(INDEX(打卡匯入!$C$3:$C$2002,MATCH($C1087&amp;"|"&amp;DAY($A1087),打卡匯入!$E$3:$E$2002,0)),"")</f>
        <v/>
      </c>
      <c r="K1087" s="80">
        <f>IFERROR(INDEX(打卡匯入!$D$3:$D$2002,MATCH($C1087&amp;"|"&amp;DAY($A1087),打卡匯入!$E$3:$E$2002,0)),"")</f>
        <v/>
      </c>
      <c r="L1087" s="81">
        <f>IF(OR($J1087="",$K1087=""),"",IFERROR(INDEX(設定!$F$6:$F$18,MATCH($G1087,設定!$B$6:$B$18,0)),0))</f>
        <v/>
      </c>
      <c r="M1087" s="82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1">
        <f>IF(OR($C1087="",$H1087="",$J1087=""),0,IF(ROUND(($J1087-$H1087)*1440,0)&gt;設定!$C$42,ROUND(($J1087-$H1087)*1440,0),0))</f>
        <v/>
      </c>
      <c r="P1087" s="81">
        <f>IF(OR($C1087="",$I1087="",$K1087=""),0,IF(ROUND(($I1087-$K1087)*1440,0)&gt;設定!$C$42,ROUND(($I1087-$K1087)*1440,0),0))</f>
        <v/>
      </c>
      <c r="Q1087" s="82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79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0">
        <f>IF($G1088="","",IFERROR(INDEX(設定!$D$6:$D$18,MATCH($G1088,設定!$B$6:$B$18,0)),""))</f>
        <v/>
      </c>
      <c r="I1088" s="80">
        <f>IF($G1088="","",IFERROR(INDEX(設定!$E$6:$E$18,MATCH($G1088,設定!$B$6:$B$18,0)),""))</f>
        <v/>
      </c>
      <c r="J1088" s="80">
        <f>IFERROR(INDEX(打卡匯入!$C$3:$C$2002,MATCH($C1088&amp;"|"&amp;DAY($A1088),打卡匯入!$E$3:$E$2002,0)),"")</f>
        <v/>
      </c>
      <c r="K1088" s="80">
        <f>IFERROR(INDEX(打卡匯入!$D$3:$D$2002,MATCH($C1088&amp;"|"&amp;DAY($A1088),打卡匯入!$E$3:$E$2002,0)),"")</f>
        <v/>
      </c>
      <c r="L1088" s="81">
        <f>IF(OR($J1088="",$K1088=""),"",IFERROR(INDEX(設定!$F$6:$F$18,MATCH($G1088,設定!$B$6:$B$18,0)),0))</f>
        <v/>
      </c>
      <c r="M1088" s="82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1">
        <f>IF(OR($C1088="",$H1088="",$J1088=""),0,IF(ROUND(($J1088-$H1088)*1440,0)&gt;設定!$C$42,ROUND(($J1088-$H1088)*1440,0),0))</f>
        <v/>
      </c>
      <c r="P1088" s="81">
        <f>IF(OR($C1088="",$I1088="",$K1088=""),0,IF(ROUND(($I1088-$K1088)*1440,0)&gt;設定!$C$42,ROUND(($I1088-$K1088)*1440,0),0))</f>
        <v/>
      </c>
      <c r="Q1088" s="82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79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0">
        <f>IF($G1089="","",IFERROR(INDEX(設定!$D$6:$D$18,MATCH($G1089,設定!$B$6:$B$18,0)),""))</f>
        <v/>
      </c>
      <c r="I1089" s="80">
        <f>IF($G1089="","",IFERROR(INDEX(設定!$E$6:$E$18,MATCH($G1089,設定!$B$6:$B$18,0)),""))</f>
        <v/>
      </c>
      <c r="J1089" s="80">
        <f>IFERROR(INDEX(打卡匯入!$C$3:$C$2002,MATCH($C1089&amp;"|"&amp;DAY($A1089),打卡匯入!$E$3:$E$2002,0)),"")</f>
        <v/>
      </c>
      <c r="K1089" s="80">
        <f>IFERROR(INDEX(打卡匯入!$D$3:$D$2002,MATCH($C1089&amp;"|"&amp;DAY($A1089),打卡匯入!$E$3:$E$2002,0)),"")</f>
        <v/>
      </c>
      <c r="L1089" s="81">
        <f>IF(OR($J1089="",$K1089=""),"",IFERROR(INDEX(設定!$F$6:$F$18,MATCH($G1089,設定!$B$6:$B$18,0)),0))</f>
        <v/>
      </c>
      <c r="M1089" s="82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1">
        <f>IF(OR($C1089="",$H1089="",$J1089=""),0,IF(ROUND(($J1089-$H1089)*1440,0)&gt;設定!$C$42,ROUND(($J1089-$H1089)*1440,0),0))</f>
        <v/>
      </c>
      <c r="P1089" s="81">
        <f>IF(OR($C1089="",$I1089="",$K1089=""),0,IF(ROUND(($I1089-$K1089)*1440,0)&gt;設定!$C$42,ROUND(($I1089-$K1089)*1440,0),0))</f>
        <v/>
      </c>
      <c r="Q1089" s="82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79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0">
        <f>IF($G1090="","",IFERROR(INDEX(設定!$D$6:$D$18,MATCH($G1090,設定!$B$6:$B$18,0)),""))</f>
        <v/>
      </c>
      <c r="I1090" s="80">
        <f>IF($G1090="","",IFERROR(INDEX(設定!$E$6:$E$18,MATCH($G1090,設定!$B$6:$B$18,0)),""))</f>
        <v/>
      </c>
      <c r="J1090" s="80">
        <f>IFERROR(INDEX(打卡匯入!$C$3:$C$2002,MATCH($C1090&amp;"|"&amp;DAY($A1090),打卡匯入!$E$3:$E$2002,0)),"")</f>
        <v/>
      </c>
      <c r="K1090" s="80">
        <f>IFERROR(INDEX(打卡匯入!$D$3:$D$2002,MATCH($C1090&amp;"|"&amp;DAY($A1090),打卡匯入!$E$3:$E$2002,0)),"")</f>
        <v/>
      </c>
      <c r="L1090" s="81">
        <f>IF(OR($J1090="",$K1090=""),"",IFERROR(INDEX(設定!$F$6:$F$18,MATCH($G1090,設定!$B$6:$B$18,0)),0))</f>
        <v/>
      </c>
      <c r="M1090" s="82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1">
        <f>IF(OR($C1090="",$H1090="",$J1090=""),0,IF(ROUND(($J1090-$H1090)*1440,0)&gt;設定!$C$42,ROUND(($J1090-$H1090)*1440,0),0))</f>
        <v/>
      </c>
      <c r="P1090" s="81">
        <f>IF(OR($C1090="",$I1090="",$K1090=""),0,IF(ROUND(($I1090-$K1090)*1440,0)&gt;設定!$C$42,ROUND(($I1090-$K1090)*1440,0),0))</f>
        <v/>
      </c>
      <c r="Q1090" s="82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79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0">
        <f>IF($G1091="","",IFERROR(INDEX(設定!$D$6:$D$18,MATCH($G1091,設定!$B$6:$B$18,0)),""))</f>
        <v/>
      </c>
      <c r="I1091" s="80">
        <f>IF($G1091="","",IFERROR(INDEX(設定!$E$6:$E$18,MATCH($G1091,設定!$B$6:$B$18,0)),""))</f>
        <v/>
      </c>
      <c r="J1091" s="80">
        <f>IFERROR(INDEX(打卡匯入!$C$3:$C$2002,MATCH($C1091&amp;"|"&amp;DAY($A1091),打卡匯入!$E$3:$E$2002,0)),"")</f>
        <v/>
      </c>
      <c r="K1091" s="80">
        <f>IFERROR(INDEX(打卡匯入!$D$3:$D$2002,MATCH($C1091&amp;"|"&amp;DAY($A1091),打卡匯入!$E$3:$E$2002,0)),"")</f>
        <v/>
      </c>
      <c r="L1091" s="81">
        <f>IF(OR($J1091="",$K1091=""),"",IFERROR(INDEX(設定!$F$6:$F$18,MATCH($G1091,設定!$B$6:$B$18,0)),0))</f>
        <v/>
      </c>
      <c r="M1091" s="82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1">
        <f>IF(OR($C1091="",$H1091="",$J1091=""),0,IF(ROUND(($J1091-$H1091)*1440,0)&gt;設定!$C$42,ROUND(($J1091-$H1091)*1440,0),0))</f>
        <v/>
      </c>
      <c r="P1091" s="81">
        <f>IF(OR($C1091="",$I1091="",$K1091=""),0,IF(ROUND(($I1091-$K1091)*1440,0)&gt;設定!$C$42,ROUND(($I1091-$K1091)*1440,0),0))</f>
        <v/>
      </c>
      <c r="Q1091" s="82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79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0">
        <f>IF($G1092="","",IFERROR(INDEX(設定!$D$6:$D$18,MATCH($G1092,設定!$B$6:$B$18,0)),""))</f>
        <v/>
      </c>
      <c r="I1092" s="80">
        <f>IF($G1092="","",IFERROR(INDEX(設定!$E$6:$E$18,MATCH($G1092,設定!$B$6:$B$18,0)),""))</f>
        <v/>
      </c>
      <c r="J1092" s="80">
        <f>IFERROR(INDEX(打卡匯入!$C$3:$C$2002,MATCH($C1092&amp;"|"&amp;DAY($A1092),打卡匯入!$E$3:$E$2002,0)),"")</f>
        <v/>
      </c>
      <c r="K1092" s="80">
        <f>IFERROR(INDEX(打卡匯入!$D$3:$D$2002,MATCH($C1092&amp;"|"&amp;DAY($A1092),打卡匯入!$E$3:$E$2002,0)),"")</f>
        <v/>
      </c>
      <c r="L1092" s="81">
        <f>IF(OR($J1092="",$K1092=""),"",IFERROR(INDEX(設定!$F$6:$F$18,MATCH($G1092,設定!$B$6:$B$18,0)),0))</f>
        <v/>
      </c>
      <c r="M1092" s="82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1">
        <f>IF(OR($C1092="",$H1092="",$J1092=""),0,IF(ROUND(($J1092-$H1092)*1440,0)&gt;設定!$C$42,ROUND(($J1092-$H1092)*1440,0),0))</f>
        <v/>
      </c>
      <c r="P1092" s="81">
        <f>IF(OR($C1092="",$I1092="",$K1092=""),0,IF(ROUND(($I1092-$K1092)*1440,0)&gt;設定!$C$42,ROUND(($I1092-$K1092)*1440,0),0))</f>
        <v/>
      </c>
      <c r="Q1092" s="82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79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0">
        <f>IF($G1093="","",IFERROR(INDEX(設定!$D$6:$D$18,MATCH($G1093,設定!$B$6:$B$18,0)),""))</f>
        <v/>
      </c>
      <c r="I1093" s="80">
        <f>IF($G1093="","",IFERROR(INDEX(設定!$E$6:$E$18,MATCH($G1093,設定!$B$6:$B$18,0)),""))</f>
        <v/>
      </c>
      <c r="J1093" s="80">
        <f>IFERROR(INDEX(打卡匯入!$C$3:$C$2002,MATCH($C1093&amp;"|"&amp;DAY($A1093),打卡匯入!$E$3:$E$2002,0)),"")</f>
        <v/>
      </c>
      <c r="K1093" s="80">
        <f>IFERROR(INDEX(打卡匯入!$D$3:$D$2002,MATCH($C1093&amp;"|"&amp;DAY($A1093),打卡匯入!$E$3:$E$2002,0)),"")</f>
        <v/>
      </c>
      <c r="L1093" s="81">
        <f>IF(OR($J1093="",$K1093=""),"",IFERROR(INDEX(設定!$F$6:$F$18,MATCH($G1093,設定!$B$6:$B$18,0)),0))</f>
        <v/>
      </c>
      <c r="M1093" s="82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1">
        <f>IF(OR($C1093="",$H1093="",$J1093=""),0,IF(ROUND(($J1093-$H1093)*1440,0)&gt;設定!$C$42,ROUND(($J1093-$H1093)*1440,0),0))</f>
        <v/>
      </c>
      <c r="P1093" s="81">
        <f>IF(OR($C1093="",$I1093="",$K1093=""),0,IF(ROUND(($I1093-$K1093)*1440,0)&gt;設定!$C$42,ROUND(($I1093-$K1093)*1440,0),0))</f>
        <v/>
      </c>
      <c r="Q1093" s="82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79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0">
        <f>IF($G1094="","",IFERROR(INDEX(設定!$D$6:$D$18,MATCH($G1094,設定!$B$6:$B$18,0)),""))</f>
        <v/>
      </c>
      <c r="I1094" s="80">
        <f>IF($G1094="","",IFERROR(INDEX(設定!$E$6:$E$18,MATCH($G1094,設定!$B$6:$B$18,0)),""))</f>
        <v/>
      </c>
      <c r="J1094" s="80">
        <f>IFERROR(INDEX(打卡匯入!$C$3:$C$2002,MATCH($C1094&amp;"|"&amp;DAY($A1094),打卡匯入!$E$3:$E$2002,0)),"")</f>
        <v/>
      </c>
      <c r="K1094" s="80">
        <f>IFERROR(INDEX(打卡匯入!$D$3:$D$2002,MATCH($C1094&amp;"|"&amp;DAY($A1094),打卡匯入!$E$3:$E$2002,0)),"")</f>
        <v/>
      </c>
      <c r="L1094" s="81">
        <f>IF(OR($J1094="",$K1094=""),"",IFERROR(INDEX(設定!$F$6:$F$18,MATCH($G1094,設定!$B$6:$B$18,0)),0))</f>
        <v/>
      </c>
      <c r="M1094" s="82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1">
        <f>IF(OR($C1094="",$H1094="",$J1094=""),0,IF(ROUND(($J1094-$H1094)*1440,0)&gt;設定!$C$42,ROUND(($J1094-$H1094)*1440,0),0))</f>
        <v/>
      </c>
      <c r="P1094" s="81">
        <f>IF(OR($C1094="",$I1094="",$K1094=""),0,IF(ROUND(($I1094-$K1094)*1440,0)&gt;設定!$C$42,ROUND(($I1094-$K1094)*1440,0),0))</f>
        <v/>
      </c>
      <c r="Q1094" s="82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79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0">
        <f>IF($G1095="","",IFERROR(INDEX(設定!$D$6:$D$18,MATCH($G1095,設定!$B$6:$B$18,0)),""))</f>
        <v/>
      </c>
      <c r="I1095" s="80">
        <f>IF($G1095="","",IFERROR(INDEX(設定!$E$6:$E$18,MATCH($G1095,設定!$B$6:$B$18,0)),""))</f>
        <v/>
      </c>
      <c r="J1095" s="80">
        <f>IFERROR(INDEX(打卡匯入!$C$3:$C$2002,MATCH($C1095&amp;"|"&amp;DAY($A1095),打卡匯入!$E$3:$E$2002,0)),"")</f>
        <v/>
      </c>
      <c r="K1095" s="80">
        <f>IFERROR(INDEX(打卡匯入!$D$3:$D$2002,MATCH($C1095&amp;"|"&amp;DAY($A1095),打卡匯入!$E$3:$E$2002,0)),"")</f>
        <v/>
      </c>
      <c r="L1095" s="81">
        <f>IF(OR($J1095="",$K1095=""),"",IFERROR(INDEX(設定!$F$6:$F$18,MATCH($G1095,設定!$B$6:$B$18,0)),0))</f>
        <v/>
      </c>
      <c r="M1095" s="82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1">
        <f>IF(OR($C1095="",$H1095="",$J1095=""),0,IF(ROUND(($J1095-$H1095)*1440,0)&gt;設定!$C$42,ROUND(($J1095-$H1095)*1440,0),0))</f>
        <v/>
      </c>
      <c r="P1095" s="81">
        <f>IF(OR($C1095="",$I1095="",$K1095=""),0,IF(ROUND(($I1095-$K1095)*1440,0)&gt;設定!$C$42,ROUND(($I1095-$K1095)*1440,0),0))</f>
        <v/>
      </c>
      <c r="Q1095" s="82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79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0">
        <f>IF($G1096="","",IFERROR(INDEX(設定!$D$6:$D$18,MATCH($G1096,設定!$B$6:$B$18,0)),""))</f>
        <v/>
      </c>
      <c r="I1096" s="80">
        <f>IF($G1096="","",IFERROR(INDEX(設定!$E$6:$E$18,MATCH($G1096,設定!$B$6:$B$18,0)),""))</f>
        <v/>
      </c>
      <c r="J1096" s="80">
        <f>IFERROR(INDEX(打卡匯入!$C$3:$C$2002,MATCH($C1096&amp;"|"&amp;DAY($A1096),打卡匯入!$E$3:$E$2002,0)),"")</f>
        <v/>
      </c>
      <c r="K1096" s="80">
        <f>IFERROR(INDEX(打卡匯入!$D$3:$D$2002,MATCH($C1096&amp;"|"&amp;DAY($A1096),打卡匯入!$E$3:$E$2002,0)),"")</f>
        <v/>
      </c>
      <c r="L1096" s="81">
        <f>IF(OR($J1096="",$K1096=""),"",IFERROR(INDEX(設定!$F$6:$F$18,MATCH($G1096,設定!$B$6:$B$18,0)),0))</f>
        <v/>
      </c>
      <c r="M1096" s="82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1">
        <f>IF(OR($C1096="",$H1096="",$J1096=""),0,IF(ROUND(($J1096-$H1096)*1440,0)&gt;設定!$C$42,ROUND(($J1096-$H1096)*1440,0),0))</f>
        <v/>
      </c>
      <c r="P1096" s="81">
        <f>IF(OR($C1096="",$I1096="",$K1096=""),0,IF(ROUND(($I1096-$K1096)*1440,0)&gt;設定!$C$42,ROUND(($I1096-$K1096)*1440,0),0))</f>
        <v/>
      </c>
      <c r="Q1096" s="82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79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0">
        <f>IF($G1097="","",IFERROR(INDEX(設定!$D$6:$D$18,MATCH($G1097,設定!$B$6:$B$18,0)),""))</f>
        <v/>
      </c>
      <c r="I1097" s="80">
        <f>IF($G1097="","",IFERROR(INDEX(設定!$E$6:$E$18,MATCH($G1097,設定!$B$6:$B$18,0)),""))</f>
        <v/>
      </c>
      <c r="J1097" s="80">
        <f>IFERROR(INDEX(打卡匯入!$C$3:$C$2002,MATCH($C1097&amp;"|"&amp;DAY($A1097),打卡匯入!$E$3:$E$2002,0)),"")</f>
        <v/>
      </c>
      <c r="K1097" s="80">
        <f>IFERROR(INDEX(打卡匯入!$D$3:$D$2002,MATCH($C1097&amp;"|"&amp;DAY($A1097),打卡匯入!$E$3:$E$2002,0)),"")</f>
        <v/>
      </c>
      <c r="L1097" s="81">
        <f>IF(OR($J1097="",$K1097=""),"",IFERROR(INDEX(設定!$F$6:$F$18,MATCH($G1097,設定!$B$6:$B$18,0)),0))</f>
        <v/>
      </c>
      <c r="M1097" s="82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1">
        <f>IF(OR($C1097="",$H1097="",$J1097=""),0,IF(ROUND(($J1097-$H1097)*1440,0)&gt;設定!$C$42,ROUND(($J1097-$H1097)*1440,0),0))</f>
        <v/>
      </c>
      <c r="P1097" s="81">
        <f>IF(OR($C1097="",$I1097="",$K1097=""),0,IF(ROUND(($I1097-$K1097)*1440,0)&gt;設定!$C$42,ROUND(($I1097-$K1097)*1440,0),0))</f>
        <v/>
      </c>
      <c r="Q1097" s="82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79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0">
        <f>IF($G1098="","",IFERROR(INDEX(設定!$D$6:$D$18,MATCH($G1098,設定!$B$6:$B$18,0)),""))</f>
        <v/>
      </c>
      <c r="I1098" s="80">
        <f>IF($G1098="","",IFERROR(INDEX(設定!$E$6:$E$18,MATCH($G1098,設定!$B$6:$B$18,0)),""))</f>
        <v/>
      </c>
      <c r="J1098" s="80">
        <f>IFERROR(INDEX(打卡匯入!$C$3:$C$2002,MATCH($C1098&amp;"|"&amp;DAY($A1098),打卡匯入!$E$3:$E$2002,0)),"")</f>
        <v/>
      </c>
      <c r="K1098" s="80">
        <f>IFERROR(INDEX(打卡匯入!$D$3:$D$2002,MATCH($C1098&amp;"|"&amp;DAY($A1098),打卡匯入!$E$3:$E$2002,0)),"")</f>
        <v/>
      </c>
      <c r="L1098" s="81">
        <f>IF(OR($J1098="",$K1098=""),"",IFERROR(INDEX(設定!$F$6:$F$18,MATCH($G1098,設定!$B$6:$B$18,0)),0))</f>
        <v/>
      </c>
      <c r="M1098" s="82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1">
        <f>IF(OR($C1098="",$H1098="",$J1098=""),0,IF(ROUND(($J1098-$H1098)*1440,0)&gt;設定!$C$42,ROUND(($J1098-$H1098)*1440,0),0))</f>
        <v/>
      </c>
      <c r="P1098" s="81">
        <f>IF(OR($C1098="",$I1098="",$K1098=""),0,IF(ROUND(($I1098-$K1098)*1440,0)&gt;設定!$C$42,ROUND(($I1098-$K1098)*1440,0),0))</f>
        <v/>
      </c>
      <c r="Q1098" s="82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79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0">
        <f>IF($G1099="","",IFERROR(INDEX(設定!$D$6:$D$18,MATCH($G1099,設定!$B$6:$B$18,0)),""))</f>
        <v/>
      </c>
      <c r="I1099" s="80">
        <f>IF($G1099="","",IFERROR(INDEX(設定!$E$6:$E$18,MATCH($G1099,設定!$B$6:$B$18,0)),""))</f>
        <v/>
      </c>
      <c r="J1099" s="80">
        <f>IFERROR(INDEX(打卡匯入!$C$3:$C$2002,MATCH($C1099&amp;"|"&amp;DAY($A1099),打卡匯入!$E$3:$E$2002,0)),"")</f>
        <v/>
      </c>
      <c r="K1099" s="80">
        <f>IFERROR(INDEX(打卡匯入!$D$3:$D$2002,MATCH($C1099&amp;"|"&amp;DAY($A1099),打卡匯入!$E$3:$E$2002,0)),"")</f>
        <v/>
      </c>
      <c r="L1099" s="81">
        <f>IF(OR($J1099="",$K1099=""),"",IFERROR(INDEX(設定!$F$6:$F$18,MATCH($G1099,設定!$B$6:$B$18,0)),0))</f>
        <v/>
      </c>
      <c r="M1099" s="82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1">
        <f>IF(OR($C1099="",$H1099="",$J1099=""),0,IF(ROUND(($J1099-$H1099)*1440,0)&gt;設定!$C$42,ROUND(($J1099-$H1099)*1440,0),0))</f>
        <v/>
      </c>
      <c r="P1099" s="81">
        <f>IF(OR($C1099="",$I1099="",$K1099=""),0,IF(ROUND(($I1099-$K1099)*1440,0)&gt;設定!$C$42,ROUND(($I1099-$K1099)*1440,0),0))</f>
        <v/>
      </c>
      <c r="Q1099" s="82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79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0">
        <f>IF($G1100="","",IFERROR(INDEX(設定!$D$6:$D$18,MATCH($G1100,設定!$B$6:$B$18,0)),""))</f>
        <v/>
      </c>
      <c r="I1100" s="80">
        <f>IF($G1100="","",IFERROR(INDEX(設定!$E$6:$E$18,MATCH($G1100,設定!$B$6:$B$18,0)),""))</f>
        <v/>
      </c>
      <c r="J1100" s="80">
        <f>IFERROR(INDEX(打卡匯入!$C$3:$C$2002,MATCH($C1100&amp;"|"&amp;DAY($A1100),打卡匯入!$E$3:$E$2002,0)),"")</f>
        <v/>
      </c>
      <c r="K1100" s="80">
        <f>IFERROR(INDEX(打卡匯入!$D$3:$D$2002,MATCH($C1100&amp;"|"&amp;DAY($A1100),打卡匯入!$E$3:$E$2002,0)),"")</f>
        <v/>
      </c>
      <c r="L1100" s="81">
        <f>IF(OR($J1100="",$K1100=""),"",IFERROR(INDEX(設定!$F$6:$F$18,MATCH($G1100,設定!$B$6:$B$18,0)),0))</f>
        <v/>
      </c>
      <c r="M1100" s="82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1">
        <f>IF(OR($C1100="",$H1100="",$J1100=""),0,IF(ROUND(($J1100-$H1100)*1440,0)&gt;設定!$C$42,ROUND(($J1100-$H1100)*1440,0),0))</f>
        <v/>
      </c>
      <c r="P1100" s="81">
        <f>IF(OR($C1100="",$I1100="",$K1100=""),0,IF(ROUND(($I1100-$K1100)*1440,0)&gt;設定!$C$42,ROUND(($I1100-$K1100)*1440,0),0))</f>
        <v/>
      </c>
      <c r="Q1100" s="82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79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0">
        <f>IF($G1101="","",IFERROR(INDEX(設定!$D$6:$D$18,MATCH($G1101,設定!$B$6:$B$18,0)),""))</f>
        <v/>
      </c>
      <c r="I1101" s="80">
        <f>IF($G1101="","",IFERROR(INDEX(設定!$E$6:$E$18,MATCH($G1101,設定!$B$6:$B$18,0)),""))</f>
        <v/>
      </c>
      <c r="J1101" s="80">
        <f>IFERROR(INDEX(打卡匯入!$C$3:$C$2002,MATCH($C1101&amp;"|"&amp;DAY($A1101),打卡匯入!$E$3:$E$2002,0)),"")</f>
        <v/>
      </c>
      <c r="K1101" s="80">
        <f>IFERROR(INDEX(打卡匯入!$D$3:$D$2002,MATCH($C1101&amp;"|"&amp;DAY($A1101),打卡匯入!$E$3:$E$2002,0)),"")</f>
        <v/>
      </c>
      <c r="L1101" s="81">
        <f>IF(OR($J1101="",$K1101=""),"",IFERROR(INDEX(設定!$F$6:$F$18,MATCH($G1101,設定!$B$6:$B$18,0)),0))</f>
        <v/>
      </c>
      <c r="M1101" s="82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1">
        <f>IF(OR($C1101="",$H1101="",$J1101=""),0,IF(ROUND(($J1101-$H1101)*1440,0)&gt;設定!$C$42,ROUND(($J1101-$H1101)*1440,0),0))</f>
        <v/>
      </c>
      <c r="P1101" s="81">
        <f>IF(OR($C1101="",$I1101="",$K1101=""),0,IF(ROUND(($I1101-$K1101)*1440,0)&gt;設定!$C$42,ROUND(($I1101-$K1101)*1440,0),0))</f>
        <v/>
      </c>
      <c r="Q1101" s="82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79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0">
        <f>IF($G1102="","",IFERROR(INDEX(設定!$D$6:$D$18,MATCH($G1102,設定!$B$6:$B$18,0)),""))</f>
        <v/>
      </c>
      <c r="I1102" s="80">
        <f>IF($G1102="","",IFERROR(INDEX(設定!$E$6:$E$18,MATCH($G1102,設定!$B$6:$B$18,0)),""))</f>
        <v/>
      </c>
      <c r="J1102" s="80">
        <f>IFERROR(INDEX(打卡匯入!$C$3:$C$2002,MATCH($C1102&amp;"|"&amp;DAY($A1102),打卡匯入!$E$3:$E$2002,0)),"")</f>
        <v/>
      </c>
      <c r="K1102" s="80">
        <f>IFERROR(INDEX(打卡匯入!$D$3:$D$2002,MATCH($C1102&amp;"|"&amp;DAY($A1102),打卡匯入!$E$3:$E$2002,0)),"")</f>
        <v/>
      </c>
      <c r="L1102" s="81">
        <f>IF(OR($J1102="",$K1102=""),"",IFERROR(INDEX(設定!$F$6:$F$18,MATCH($G1102,設定!$B$6:$B$18,0)),0))</f>
        <v/>
      </c>
      <c r="M1102" s="82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1">
        <f>IF(OR($C1102="",$H1102="",$J1102=""),0,IF(ROUND(($J1102-$H1102)*1440,0)&gt;設定!$C$42,ROUND(($J1102-$H1102)*1440,0),0))</f>
        <v/>
      </c>
      <c r="P1102" s="81">
        <f>IF(OR($C1102="",$I1102="",$K1102=""),0,IF(ROUND(($I1102-$K1102)*1440,0)&gt;設定!$C$42,ROUND(($I1102-$K1102)*1440,0),0))</f>
        <v/>
      </c>
      <c r="Q1102" s="82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79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0">
        <f>IF($G1103="","",IFERROR(INDEX(設定!$D$6:$D$18,MATCH($G1103,設定!$B$6:$B$18,0)),""))</f>
        <v/>
      </c>
      <c r="I1103" s="80">
        <f>IF($G1103="","",IFERROR(INDEX(設定!$E$6:$E$18,MATCH($G1103,設定!$B$6:$B$18,0)),""))</f>
        <v/>
      </c>
      <c r="J1103" s="80">
        <f>IFERROR(INDEX(打卡匯入!$C$3:$C$2002,MATCH($C1103&amp;"|"&amp;DAY($A1103),打卡匯入!$E$3:$E$2002,0)),"")</f>
        <v/>
      </c>
      <c r="K1103" s="80">
        <f>IFERROR(INDEX(打卡匯入!$D$3:$D$2002,MATCH($C1103&amp;"|"&amp;DAY($A1103),打卡匯入!$E$3:$E$2002,0)),"")</f>
        <v/>
      </c>
      <c r="L1103" s="81">
        <f>IF(OR($J1103="",$K1103=""),"",IFERROR(INDEX(設定!$F$6:$F$18,MATCH($G1103,設定!$B$6:$B$18,0)),0))</f>
        <v/>
      </c>
      <c r="M1103" s="82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1">
        <f>IF(OR($C1103="",$H1103="",$J1103=""),0,IF(ROUND(($J1103-$H1103)*1440,0)&gt;設定!$C$42,ROUND(($J1103-$H1103)*1440,0),0))</f>
        <v/>
      </c>
      <c r="P1103" s="81">
        <f>IF(OR($C1103="",$I1103="",$K1103=""),0,IF(ROUND(($I1103-$K1103)*1440,0)&gt;設定!$C$42,ROUND(($I1103-$K1103)*1440,0),0))</f>
        <v/>
      </c>
      <c r="Q1103" s="82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79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0">
        <f>IF($G1104="","",IFERROR(INDEX(設定!$D$6:$D$18,MATCH($G1104,設定!$B$6:$B$18,0)),""))</f>
        <v/>
      </c>
      <c r="I1104" s="80">
        <f>IF($G1104="","",IFERROR(INDEX(設定!$E$6:$E$18,MATCH($G1104,設定!$B$6:$B$18,0)),""))</f>
        <v/>
      </c>
      <c r="J1104" s="80">
        <f>IFERROR(INDEX(打卡匯入!$C$3:$C$2002,MATCH($C1104&amp;"|"&amp;DAY($A1104),打卡匯入!$E$3:$E$2002,0)),"")</f>
        <v/>
      </c>
      <c r="K1104" s="80">
        <f>IFERROR(INDEX(打卡匯入!$D$3:$D$2002,MATCH($C1104&amp;"|"&amp;DAY($A1104),打卡匯入!$E$3:$E$2002,0)),"")</f>
        <v/>
      </c>
      <c r="L1104" s="81">
        <f>IF(OR($J1104="",$K1104=""),"",IFERROR(INDEX(設定!$F$6:$F$18,MATCH($G1104,設定!$B$6:$B$18,0)),0))</f>
        <v/>
      </c>
      <c r="M1104" s="82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1">
        <f>IF(OR($C1104="",$H1104="",$J1104=""),0,IF(ROUND(($J1104-$H1104)*1440,0)&gt;設定!$C$42,ROUND(($J1104-$H1104)*1440,0),0))</f>
        <v/>
      </c>
      <c r="P1104" s="81">
        <f>IF(OR($C1104="",$I1104="",$K1104=""),0,IF(ROUND(($I1104-$K1104)*1440,0)&gt;設定!$C$42,ROUND(($I1104-$K1104)*1440,0),0))</f>
        <v/>
      </c>
      <c r="Q1104" s="82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79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0">
        <f>IF($G1105="","",IFERROR(INDEX(設定!$D$6:$D$18,MATCH($G1105,設定!$B$6:$B$18,0)),""))</f>
        <v/>
      </c>
      <c r="I1105" s="80">
        <f>IF($G1105="","",IFERROR(INDEX(設定!$E$6:$E$18,MATCH($G1105,設定!$B$6:$B$18,0)),""))</f>
        <v/>
      </c>
      <c r="J1105" s="80">
        <f>IFERROR(INDEX(打卡匯入!$C$3:$C$2002,MATCH($C1105&amp;"|"&amp;DAY($A1105),打卡匯入!$E$3:$E$2002,0)),"")</f>
        <v/>
      </c>
      <c r="K1105" s="80">
        <f>IFERROR(INDEX(打卡匯入!$D$3:$D$2002,MATCH($C1105&amp;"|"&amp;DAY($A1105),打卡匯入!$E$3:$E$2002,0)),"")</f>
        <v/>
      </c>
      <c r="L1105" s="81">
        <f>IF(OR($J1105="",$K1105=""),"",IFERROR(INDEX(設定!$F$6:$F$18,MATCH($G1105,設定!$B$6:$B$18,0)),0))</f>
        <v/>
      </c>
      <c r="M1105" s="82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1">
        <f>IF(OR($C1105="",$H1105="",$J1105=""),0,IF(ROUND(($J1105-$H1105)*1440,0)&gt;設定!$C$42,ROUND(($J1105-$H1105)*1440,0),0))</f>
        <v/>
      </c>
      <c r="P1105" s="81">
        <f>IF(OR($C1105="",$I1105="",$K1105=""),0,IF(ROUND(($I1105-$K1105)*1440,0)&gt;設定!$C$42,ROUND(($I1105-$K1105)*1440,0),0))</f>
        <v/>
      </c>
      <c r="Q1105" s="82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79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0">
        <f>IF($G1106="","",IFERROR(INDEX(設定!$D$6:$D$18,MATCH($G1106,設定!$B$6:$B$18,0)),""))</f>
        <v/>
      </c>
      <c r="I1106" s="80">
        <f>IF($G1106="","",IFERROR(INDEX(設定!$E$6:$E$18,MATCH($G1106,設定!$B$6:$B$18,0)),""))</f>
        <v/>
      </c>
      <c r="J1106" s="80">
        <f>IFERROR(INDEX(打卡匯入!$C$3:$C$2002,MATCH($C1106&amp;"|"&amp;DAY($A1106),打卡匯入!$E$3:$E$2002,0)),"")</f>
        <v/>
      </c>
      <c r="K1106" s="80">
        <f>IFERROR(INDEX(打卡匯入!$D$3:$D$2002,MATCH($C1106&amp;"|"&amp;DAY($A1106),打卡匯入!$E$3:$E$2002,0)),"")</f>
        <v/>
      </c>
      <c r="L1106" s="81">
        <f>IF(OR($J1106="",$K1106=""),"",IFERROR(INDEX(設定!$F$6:$F$18,MATCH($G1106,設定!$B$6:$B$18,0)),0))</f>
        <v/>
      </c>
      <c r="M1106" s="82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1">
        <f>IF(OR($C1106="",$H1106="",$J1106=""),0,IF(ROUND(($J1106-$H1106)*1440,0)&gt;設定!$C$42,ROUND(($J1106-$H1106)*1440,0),0))</f>
        <v/>
      </c>
      <c r="P1106" s="81">
        <f>IF(OR($C1106="",$I1106="",$K1106=""),0,IF(ROUND(($I1106-$K1106)*1440,0)&gt;設定!$C$42,ROUND(($I1106-$K1106)*1440,0),0))</f>
        <v/>
      </c>
      <c r="Q1106" s="82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79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0">
        <f>IF($G1107="","",IFERROR(INDEX(設定!$D$6:$D$18,MATCH($G1107,設定!$B$6:$B$18,0)),""))</f>
        <v/>
      </c>
      <c r="I1107" s="80">
        <f>IF($G1107="","",IFERROR(INDEX(設定!$E$6:$E$18,MATCH($G1107,設定!$B$6:$B$18,0)),""))</f>
        <v/>
      </c>
      <c r="J1107" s="80">
        <f>IFERROR(INDEX(打卡匯入!$C$3:$C$2002,MATCH($C1107&amp;"|"&amp;DAY($A1107),打卡匯入!$E$3:$E$2002,0)),"")</f>
        <v/>
      </c>
      <c r="K1107" s="80">
        <f>IFERROR(INDEX(打卡匯入!$D$3:$D$2002,MATCH($C1107&amp;"|"&amp;DAY($A1107),打卡匯入!$E$3:$E$2002,0)),"")</f>
        <v/>
      </c>
      <c r="L1107" s="81">
        <f>IF(OR($J1107="",$K1107=""),"",IFERROR(INDEX(設定!$F$6:$F$18,MATCH($G1107,設定!$B$6:$B$18,0)),0))</f>
        <v/>
      </c>
      <c r="M1107" s="82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1">
        <f>IF(OR($C1107="",$H1107="",$J1107=""),0,IF(ROUND(($J1107-$H1107)*1440,0)&gt;設定!$C$42,ROUND(($J1107-$H1107)*1440,0),0))</f>
        <v/>
      </c>
      <c r="P1107" s="81">
        <f>IF(OR($C1107="",$I1107="",$K1107=""),0,IF(ROUND(($I1107-$K1107)*1440,0)&gt;設定!$C$42,ROUND(($I1107-$K1107)*1440,0),0))</f>
        <v/>
      </c>
      <c r="Q1107" s="82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79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0">
        <f>IF($G1108="","",IFERROR(INDEX(設定!$D$6:$D$18,MATCH($G1108,設定!$B$6:$B$18,0)),""))</f>
        <v/>
      </c>
      <c r="I1108" s="80">
        <f>IF($G1108="","",IFERROR(INDEX(設定!$E$6:$E$18,MATCH($G1108,設定!$B$6:$B$18,0)),""))</f>
        <v/>
      </c>
      <c r="J1108" s="80">
        <f>IFERROR(INDEX(打卡匯入!$C$3:$C$2002,MATCH($C1108&amp;"|"&amp;DAY($A1108),打卡匯入!$E$3:$E$2002,0)),"")</f>
        <v/>
      </c>
      <c r="K1108" s="80">
        <f>IFERROR(INDEX(打卡匯入!$D$3:$D$2002,MATCH($C1108&amp;"|"&amp;DAY($A1108),打卡匯入!$E$3:$E$2002,0)),"")</f>
        <v/>
      </c>
      <c r="L1108" s="81">
        <f>IF(OR($J1108="",$K1108=""),"",IFERROR(INDEX(設定!$F$6:$F$18,MATCH($G1108,設定!$B$6:$B$18,0)),0))</f>
        <v/>
      </c>
      <c r="M1108" s="82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1">
        <f>IF(OR($C1108="",$H1108="",$J1108=""),0,IF(ROUND(($J1108-$H1108)*1440,0)&gt;設定!$C$42,ROUND(($J1108-$H1108)*1440,0),0))</f>
        <v/>
      </c>
      <c r="P1108" s="81">
        <f>IF(OR($C1108="",$I1108="",$K1108=""),0,IF(ROUND(($I1108-$K1108)*1440,0)&gt;設定!$C$42,ROUND(($I1108-$K1108)*1440,0),0))</f>
        <v/>
      </c>
      <c r="Q1108" s="82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79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0">
        <f>IF($G1109="","",IFERROR(INDEX(設定!$D$6:$D$18,MATCH($G1109,設定!$B$6:$B$18,0)),""))</f>
        <v/>
      </c>
      <c r="I1109" s="80">
        <f>IF($G1109="","",IFERROR(INDEX(設定!$E$6:$E$18,MATCH($G1109,設定!$B$6:$B$18,0)),""))</f>
        <v/>
      </c>
      <c r="J1109" s="80">
        <f>IFERROR(INDEX(打卡匯入!$C$3:$C$2002,MATCH($C1109&amp;"|"&amp;DAY($A1109),打卡匯入!$E$3:$E$2002,0)),"")</f>
        <v/>
      </c>
      <c r="K1109" s="80">
        <f>IFERROR(INDEX(打卡匯入!$D$3:$D$2002,MATCH($C1109&amp;"|"&amp;DAY($A1109),打卡匯入!$E$3:$E$2002,0)),"")</f>
        <v/>
      </c>
      <c r="L1109" s="81">
        <f>IF(OR($J1109="",$K1109=""),"",IFERROR(INDEX(設定!$F$6:$F$18,MATCH($G1109,設定!$B$6:$B$18,0)),0))</f>
        <v/>
      </c>
      <c r="M1109" s="82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1">
        <f>IF(OR($C1109="",$H1109="",$J1109=""),0,IF(ROUND(($J1109-$H1109)*1440,0)&gt;設定!$C$42,ROUND(($J1109-$H1109)*1440,0),0))</f>
        <v/>
      </c>
      <c r="P1109" s="81">
        <f>IF(OR($C1109="",$I1109="",$K1109=""),0,IF(ROUND(($I1109-$K1109)*1440,0)&gt;設定!$C$42,ROUND(($I1109-$K1109)*1440,0),0))</f>
        <v/>
      </c>
      <c r="Q1109" s="82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79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0">
        <f>IF($G1110="","",IFERROR(INDEX(設定!$D$6:$D$18,MATCH($G1110,設定!$B$6:$B$18,0)),""))</f>
        <v/>
      </c>
      <c r="I1110" s="80">
        <f>IF($G1110="","",IFERROR(INDEX(設定!$E$6:$E$18,MATCH($G1110,設定!$B$6:$B$18,0)),""))</f>
        <v/>
      </c>
      <c r="J1110" s="80">
        <f>IFERROR(INDEX(打卡匯入!$C$3:$C$2002,MATCH($C1110&amp;"|"&amp;DAY($A1110),打卡匯入!$E$3:$E$2002,0)),"")</f>
        <v/>
      </c>
      <c r="K1110" s="80">
        <f>IFERROR(INDEX(打卡匯入!$D$3:$D$2002,MATCH($C1110&amp;"|"&amp;DAY($A1110),打卡匯入!$E$3:$E$2002,0)),"")</f>
        <v/>
      </c>
      <c r="L1110" s="81">
        <f>IF(OR($J1110="",$K1110=""),"",IFERROR(INDEX(設定!$F$6:$F$18,MATCH($G1110,設定!$B$6:$B$18,0)),0))</f>
        <v/>
      </c>
      <c r="M1110" s="82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1">
        <f>IF(OR($C1110="",$H1110="",$J1110=""),0,IF(ROUND(($J1110-$H1110)*1440,0)&gt;設定!$C$42,ROUND(($J1110-$H1110)*1440,0),0))</f>
        <v/>
      </c>
      <c r="P1110" s="81">
        <f>IF(OR($C1110="",$I1110="",$K1110=""),0,IF(ROUND(($I1110-$K1110)*1440,0)&gt;設定!$C$42,ROUND(($I1110-$K1110)*1440,0),0))</f>
        <v/>
      </c>
      <c r="Q1110" s="82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79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0">
        <f>IF($G1111="","",IFERROR(INDEX(設定!$D$6:$D$18,MATCH($G1111,設定!$B$6:$B$18,0)),""))</f>
        <v/>
      </c>
      <c r="I1111" s="80">
        <f>IF($G1111="","",IFERROR(INDEX(設定!$E$6:$E$18,MATCH($G1111,設定!$B$6:$B$18,0)),""))</f>
        <v/>
      </c>
      <c r="J1111" s="80">
        <f>IFERROR(INDEX(打卡匯入!$C$3:$C$2002,MATCH($C1111&amp;"|"&amp;DAY($A1111),打卡匯入!$E$3:$E$2002,0)),"")</f>
        <v/>
      </c>
      <c r="K1111" s="80">
        <f>IFERROR(INDEX(打卡匯入!$D$3:$D$2002,MATCH($C1111&amp;"|"&amp;DAY($A1111),打卡匯入!$E$3:$E$2002,0)),"")</f>
        <v/>
      </c>
      <c r="L1111" s="81">
        <f>IF(OR($J1111="",$K1111=""),"",IFERROR(INDEX(設定!$F$6:$F$18,MATCH($G1111,設定!$B$6:$B$18,0)),0))</f>
        <v/>
      </c>
      <c r="M1111" s="82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1">
        <f>IF(OR($C1111="",$H1111="",$J1111=""),0,IF(ROUND(($J1111-$H1111)*1440,0)&gt;設定!$C$42,ROUND(($J1111-$H1111)*1440,0),0))</f>
        <v/>
      </c>
      <c r="P1111" s="81">
        <f>IF(OR($C1111="",$I1111="",$K1111=""),0,IF(ROUND(($I1111-$K1111)*1440,0)&gt;設定!$C$42,ROUND(($I1111-$K1111)*1440,0),0))</f>
        <v/>
      </c>
      <c r="Q1111" s="82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79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0">
        <f>IF($G1112="","",IFERROR(INDEX(設定!$D$6:$D$18,MATCH($G1112,設定!$B$6:$B$18,0)),""))</f>
        <v/>
      </c>
      <c r="I1112" s="80">
        <f>IF($G1112="","",IFERROR(INDEX(設定!$E$6:$E$18,MATCH($G1112,設定!$B$6:$B$18,0)),""))</f>
        <v/>
      </c>
      <c r="J1112" s="80">
        <f>IFERROR(INDEX(打卡匯入!$C$3:$C$2002,MATCH($C1112&amp;"|"&amp;DAY($A1112),打卡匯入!$E$3:$E$2002,0)),"")</f>
        <v/>
      </c>
      <c r="K1112" s="80">
        <f>IFERROR(INDEX(打卡匯入!$D$3:$D$2002,MATCH($C1112&amp;"|"&amp;DAY($A1112),打卡匯入!$E$3:$E$2002,0)),"")</f>
        <v/>
      </c>
      <c r="L1112" s="81">
        <f>IF(OR($J1112="",$K1112=""),"",IFERROR(INDEX(設定!$F$6:$F$18,MATCH($G1112,設定!$B$6:$B$18,0)),0))</f>
        <v/>
      </c>
      <c r="M1112" s="82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1">
        <f>IF(OR($C1112="",$H1112="",$J1112=""),0,IF(ROUND(($J1112-$H1112)*1440,0)&gt;設定!$C$42,ROUND(($J1112-$H1112)*1440,0),0))</f>
        <v/>
      </c>
      <c r="P1112" s="81">
        <f>IF(OR($C1112="",$I1112="",$K1112=""),0,IF(ROUND(($I1112-$K1112)*1440,0)&gt;設定!$C$42,ROUND(($I1112-$K1112)*1440,0),0))</f>
        <v/>
      </c>
      <c r="Q1112" s="82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79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0">
        <f>IF($G1113="","",IFERROR(INDEX(設定!$D$6:$D$18,MATCH($G1113,設定!$B$6:$B$18,0)),""))</f>
        <v/>
      </c>
      <c r="I1113" s="80">
        <f>IF($G1113="","",IFERROR(INDEX(設定!$E$6:$E$18,MATCH($G1113,設定!$B$6:$B$18,0)),""))</f>
        <v/>
      </c>
      <c r="J1113" s="80">
        <f>IFERROR(INDEX(打卡匯入!$C$3:$C$2002,MATCH($C1113&amp;"|"&amp;DAY($A1113),打卡匯入!$E$3:$E$2002,0)),"")</f>
        <v/>
      </c>
      <c r="K1113" s="80">
        <f>IFERROR(INDEX(打卡匯入!$D$3:$D$2002,MATCH($C1113&amp;"|"&amp;DAY($A1113),打卡匯入!$E$3:$E$2002,0)),"")</f>
        <v/>
      </c>
      <c r="L1113" s="81">
        <f>IF(OR($J1113="",$K1113=""),"",IFERROR(INDEX(設定!$F$6:$F$18,MATCH($G1113,設定!$B$6:$B$18,0)),0))</f>
        <v/>
      </c>
      <c r="M1113" s="82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1">
        <f>IF(OR($C1113="",$H1113="",$J1113=""),0,IF(ROUND(($J1113-$H1113)*1440,0)&gt;設定!$C$42,ROUND(($J1113-$H1113)*1440,0),0))</f>
        <v/>
      </c>
      <c r="P1113" s="81">
        <f>IF(OR($C1113="",$I1113="",$K1113=""),0,IF(ROUND(($I1113-$K1113)*1440,0)&gt;設定!$C$42,ROUND(($I1113-$K1113)*1440,0),0))</f>
        <v/>
      </c>
      <c r="Q1113" s="82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79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0">
        <f>IF($G1114="","",IFERROR(INDEX(設定!$D$6:$D$18,MATCH($G1114,設定!$B$6:$B$18,0)),""))</f>
        <v/>
      </c>
      <c r="I1114" s="80">
        <f>IF($G1114="","",IFERROR(INDEX(設定!$E$6:$E$18,MATCH($G1114,設定!$B$6:$B$18,0)),""))</f>
        <v/>
      </c>
      <c r="J1114" s="80">
        <f>IFERROR(INDEX(打卡匯入!$C$3:$C$2002,MATCH($C1114&amp;"|"&amp;DAY($A1114),打卡匯入!$E$3:$E$2002,0)),"")</f>
        <v/>
      </c>
      <c r="K1114" s="80">
        <f>IFERROR(INDEX(打卡匯入!$D$3:$D$2002,MATCH($C1114&amp;"|"&amp;DAY($A1114),打卡匯入!$E$3:$E$2002,0)),"")</f>
        <v/>
      </c>
      <c r="L1114" s="81">
        <f>IF(OR($J1114="",$K1114=""),"",IFERROR(INDEX(設定!$F$6:$F$18,MATCH($G1114,設定!$B$6:$B$18,0)),0))</f>
        <v/>
      </c>
      <c r="M1114" s="82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1">
        <f>IF(OR($C1114="",$H1114="",$J1114=""),0,IF(ROUND(($J1114-$H1114)*1440,0)&gt;設定!$C$42,ROUND(($J1114-$H1114)*1440,0),0))</f>
        <v/>
      </c>
      <c r="P1114" s="81">
        <f>IF(OR($C1114="",$I1114="",$K1114=""),0,IF(ROUND(($I1114-$K1114)*1440,0)&gt;設定!$C$42,ROUND(($I1114-$K1114)*1440,0),0))</f>
        <v/>
      </c>
      <c r="Q1114" s="82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79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0">
        <f>IF($G1115="","",IFERROR(INDEX(設定!$D$6:$D$18,MATCH($G1115,設定!$B$6:$B$18,0)),""))</f>
        <v/>
      </c>
      <c r="I1115" s="80">
        <f>IF($G1115="","",IFERROR(INDEX(設定!$E$6:$E$18,MATCH($G1115,設定!$B$6:$B$18,0)),""))</f>
        <v/>
      </c>
      <c r="J1115" s="80">
        <f>IFERROR(INDEX(打卡匯入!$C$3:$C$2002,MATCH($C1115&amp;"|"&amp;DAY($A1115),打卡匯入!$E$3:$E$2002,0)),"")</f>
        <v/>
      </c>
      <c r="K1115" s="80">
        <f>IFERROR(INDEX(打卡匯入!$D$3:$D$2002,MATCH($C1115&amp;"|"&amp;DAY($A1115),打卡匯入!$E$3:$E$2002,0)),"")</f>
        <v/>
      </c>
      <c r="L1115" s="81">
        <f>IF(OR($J1115="",$K1115=""),"",IFERROR(INDEX(設定!$F$6:$F$18,MATCH($G1115,設定!$B$6:$B$18,0)),0))</f>
        <v/>
      </c>
      <c r="M1115" s="82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1">
        <f>IF(OR($C1115="",$H1115="",$J1115=""),0,IF(ROUND(($J1115-$H1115)*1440,0)&gt;設定!$C$42,ROUND(($J1115-$H1115)*1440,0),0))</f>
        <v/>
      </c>
      <c r="P1115" s="81">
        <f>IF(OR($C1115="",$I1115="",$K1115=""),0,IF(ROUND(($I1115-$K1115)*1440,0)&gt;設定!$C$42,ROUND(($I1115-$K1115)*1440,0),0))</f>
        <v/>
      </c>
      <c r="Q1115" s="82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79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0">
        <f>IF($G1116="","",IFERROR(INDEX(設定!$D$6:$D$18,MATCH($G1116,設定!$B$6:$B$18,0)),""))</f>
        <v/>
      </c>
      <c r="I1116" s="80">
        <f>IF($G1116="","",IFERROR(INDEX(設定!$E$6:$E$18,MATCH($G1116,設定!$B$6:$B$18,0)),""))</f>
        <v/>
      </c>
      <c r="J1116" s="80">
        <f>IFERROR(INDEX(打卡匯入!$C$3:$C$2002,MATCH($C1116&amp;"|"&amp;DAY($A1116),打卡匯入!$E$3:$E$2002,0)),"")</f>
        <v/>
      </c>
      <c r="K1116" s="80">
        <f>IFERROR(INDEX(打卡匯入!$D$3:$D$2002,MATCH($C1116&amp;"|"&amp;DAY($A1116),打卡匯入!$E$3:$E$2002,0)),"")</f>
        <v/>
      </c>
      <c r="L1116" s="81">
        <f>IF(OR($J1116="",$K1116=""),"",IFERROR(INDEX(設定!$F$6:$F$18,MATCH($G1116,設定!$B$6:$B$18,0)),0))</f>
        <v/>
      </c>
      <c r="M1116" s="82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1">
        <f>IF(OR($C1116="",$H1116="",$J1116=""),0,IF(ROUND(($J1116-$H1116)*1440,0)&gt;設定!$C$42,ROUND(($J1116-$H1116)*1440,0),0))</f>
        <v/>
      </c>
      <c r="P1116" s="81">
        <f>IF(OR($C1116="",$I1116="",$K1116=""),0,IF(ROUND(($I1116-$K1116)*1440,0)&gt;設定!$C$42,ROUND(($I1116-$K1116)*1440,0),0))</f>
        <v/>
      </c>
      <c r="Q1116" s="82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79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0">
        <f>IF($G1117="","",IFERROR(INDEX(設定!$D$6:$D$18,MATCH($G1117,設定!$B$6:$B$18,0)),""))</f>
        <v/>
      </c>
      <c r="I1117" s="80">
        <f>IF($G1117="","",IFERROR(INDEX(設定!$E$6:$E$18,MATCH($G1117,設定!$B$6:$B$18,0)),""))</f>
        <v/>
      </c>
      <c r="J1117" s="80">
        <f>IFERROR(INDEX(打卡匯入!$C$3:$C$2002,MATCH($C1117&amp;"|"&amp;DAY($A1117),打卡匯入!$E$3:$E$2002,0)),"")</f>
        <v/>
      </c>
      <c r="K1117" s="80">
        <f>IFERROR(INDEX(打卡匯入!$D$3:$D$2002,MATCH($C1117&amp;"|"&amp;DAY($A1117),打卡匯入!$E$3:$E$2002,0)),"")</f>
        <v/>
      </c>
      <c r="L1117" s="81">
        <f>IF(OR($J1117="",$K1117=""),"",IFERROR(INDEX(設定!$F$6:$F$18,MATCH($G1117,設定!$B$6:$B$18,0)),0))</f>
        <v/>
      </c>
      <c r="M1117" s="82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1">
        <f>IF(OR($C1117="",$H1117="",$J1117=""),0,IF(ROUND(($J1117-$H1117)*1440,0)&gt;設定!$C$42,ROUND(($J1117-$H1117)*1440,0),0))</f>
        <v/>
      </c>
      <c r="P1117" s="81">
        <f>IF(OR($C1117="",$I1117="",$K1117=""),0,IF(ROUND(($I1117-$K1117)*1440,0)&gt;設定!$C$42,ROUND(($I1117-$K1117)*1440,0),0))</f>
        <v/>
      </c>
      <c r="Q1117" s="82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79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0">
        <f>IF($G1118="","",IFERROR(INDEX(設定!$D$6:$D$18,MATCH($G1118,設定!$B$6:$B$18,0)),""))</f>
        <v/>
      </c>
      <c r="I1118" s="80">
        <f>IF($G1118="","",IFERROR(INDEX(設定!$E$6:$E$18,MATCH($G1118,設定!$B$6:$B$18,0)),""))</f>
        <v/>
      </c>
      <c r="J1118" s="80">
        <f>IFERROR(INDEX(打卡匯入!$C$3:$C$2002,MATCH($C1118&amp;"|"&amp;DAY($A1118),打卡匯入!$E$3:$E$2002,0)),"")</f>
        <v/>
      </c>
      <c r="K1118" s="80">
        <f>IFERROR(INDEX(打卡匯入!$D$3:$D$2002,MATCH($C1118&amp;"|"&amp;DAY($A1118),打卡匯入!$E$3:$E$2002,0)),"")</f>
        <v/>
      </c>
      <c r="L1118" s="81">
        <f>IF(OR($J1118="",$K1118=""),"",IFERROR(INDEX(設定!$F$6:$F$18,MATCH($G1118,設定!$B$6:$B$18,0)),0))</f>
        <v/>
      </c>
      <c r="M1118" s="82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1">
        <f>IF(OR($C1118="",$H1118="",$J1118=""),0,IF(ROUND(($J1118-$H1118)*1440,0)&gt;設定!$C$42,ROUND(($J1118-$H1118)*1440,0),0))</f>
        <v/>
      </c>
      <c r="P1118" s="81">
        <f>IF(OR($C1118="",$I1118="",$K1118=""),0,IF(ROUND(($I1118-$K1118)*1440,0)&gt;設定!$C$42,ROUND(($I1118-$K1118)*1440,0),0))</f>
        <v/>
      </c>
      <c r="Q1118" s="82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79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0">
        <f>IF($G1119="","",IFERROR(INDEX(設定!$D$6:$D$18,MATCH($G1119,設定!$B$6:$B$18,0)),""))</f>
        <v/>
      </c>
      <c r="I1119" s="80">
        <f>IF($G1119="","",IFERROR(INDEX(設定!$E$6:$E$18,MATCH($G1119,設定!$B$6:$B$18,0)),""))</f>
        <v/>
      </c>
      <c r="J1119" s="80">
        <f>IFERROR(INDEX(打卡匯入!$C$3:$C$2002,MATCH($C1119&amp;"|"&amp;DAY($A1119),打卡匯入!$E$3:$E$2002,0)),"")</f>
        <v/>
      </c>
      <c r="K1119" s="80">
        <f>IFERROR(INDEX(打卡匯入!$D$3:$D$2002,MATCH($C1119&amp;"|"&amp;DAY($A1119),打卡匯入!$E$3:$E$2002,0)),"")</f>
        <v/>
      </c>
      <c r="L1119" s="81">
        <f>IF(OR($J1119="",$K1119=""),"",IFERROR(INDEX(設定!$F$6:$F$18,MATCH($G1119,設定!$B$6:$B$18,0)),0))</f>
        <v/>
      </c>
      <c r="M1119" s="82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1">
        <f>IF(OR($C1119="",$H1119="",$J1119=""),0,IF(ROUND(($J1119-$H1119)*1440,0)&gt;設定!$C$42,ROUND(($J1119-$H1119)*1440,0),0))</f>
        <v/>
      </c>
      <c r="P1119" s="81">
        <f>IF(OR($C1119="",$I1119="",$K1119=""),0,IF(ROUND(($I1119-$K1119)*1440,0)&gt;設定!$C$42,ROUND(($I1119-$K1119)*1440,0),0))</f>
        <v/>
      </c>
      <c r="Q1119" s="82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79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0">
        <f>IF($G1120="","",IFERROR(INDEX(設定!$D$6:$D$18,MATCH($G1120,設定!$B$6:$B$18,0)),""))</f>
        <v/>
      </c>
      <c r="I1120" s="80">
        <f>IF($G1120="","",IFERROR(INDEX(設定!$E$6:$E$18,MATCH($G1120,設定!$B$6:$B$18,0)),""))</f>
        <v/>
      </c>
      <c r="J1120" s="80">
        <f>IFERROR(INDEX(打卡匯入!$C$3:$C$2002,MATCH($C1120&amp;"|"&amp;DAY($A1120),打卡匯入!$E$3:$E$2002,0)),"")</f>
        <v/>
      </c>
      <c r="K1120" s="80">
        <f>IFERROR(INDEX(打卡匯入!$D$3:$D$2002,MATCH($C1120&amp;"|"&amp;DAY($A1120),打卡匯入!$E$3:$E$2002,0)),"")</f>
        <v/>
      </c>
      <c r="L1120" s="81">
        <f>IF(OR($J1120="",$K1120=""),"",IFERROR(INDEX(設定!$F$6:$F$18,MATCH($G1120,設定!$B$6:$B$18,0)),0))</f>
        <v/>
      </c>
      <c r="M1120" s="82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1">
        <f>IF(OR($C1120="",$H1120="",$J1120=""),0,IF(ROUND(($J1120-$H1120)*1440,0)&gt;設定!$C$42,ROUND(($J1120-$H1120)*1440,0),0))</f>
        <v/>
      </c>
      <c r="P1120" s="81">
        <f>IF(OR($C1120="",$I1120="",$K1120=""),0,IF(ROUND(($I1120-$K1120)*1440,0)&gt;設定!$C$42,ROUND(($I1120-$K1120)*1440,0),0))</f>
        <v/>
      </c>
      <c r="Q1120" s="82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79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0">
        <f>IF($G1121="","",IFERROR(INDEX(設定!$D$6:$D$18,MATCH($G1121,設定!$B$6:$B$18,0)),""))</f>
        <v/>
      </c>
      <c r="I1121" s="80">
        <f>IF($G1121="","",IFERROR(INDEX(設定!$E$6:$E$18,MATCH($G1121,設定!$B$6:$B$18,0)),""))</f>
        <v/>
      </c>
      <c r="J1121" s="80">
        <f>IFERROR(INDEX(打卡匯入!$C$3:$C$2002,MATCH($C1121&amp;"|"&amp;DAY($A1121),打卡匯入!$E$3:$E$2002,0)),"")</f>
        <v/>
      </c>
      <c r="K1121" s="80">
        <f>IFERROR(INDEX(打卡匯入!$D$3:$D$2002,MATCH($C1121&amp;"|"&amp;DAY($A1121),打卡匯入!$E$3:$E$2002,0)),"")</f>
        <v/>
      </c>
      <c r="L1121" s="81">
        <f>IF(OR($J1121="",$K1121=""),"",IFERROR(INDEX(設定!$F$6:$F$18,MATCH($G1121,設定!$B$6:$B$18,0)),0))</f>
        <v/>
      </c>
      <c r="M1121" s="82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1">
        <f>IF(OR($C1121="",$H1121="",$J1121=""),0,IF(ROUND(($J1121-$H1121)*1440,0)&gt;設定!$C$42,ROUND(($J1121-$H1121)*1440,0),0))</f>
        <v/>
      </c>
      <c r="P1121" s="81">
        <f>IF(OR($C1121="",$I1121="",$K1121=""),0,IF(ROUND(($I1121-$K1121)*1440,0)&gt;設定!$C$42,ROUND(($I1121-$K1121)*1440,0),0))</f>
        <v/>
      </c>
      <c r="Q1121" s="82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79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0">
        <f>IF($G1122="","",IFERROR(INDEX(設定!$D$6:$D$18,MATCH($G1122,設定!$B$6:$B$18,0)),""))</f>
        <v/>
      </c>
      <c r="I1122" s="80">
        <f>IF($G1122="","",IFERROR(INDEX(設定!$E$6:$E$18,MATCH($G1122,設定!$B$6:$B$18,0)),""))</f>
        <v/>
      </c>
      <c r="J1122" s="80">
        <f>IFERROR(INDEX(打卡匯入!$C$3:$C$2002,MATCH($C1122&amp;"|"&amp;DAY($A1122),打卡匯入!$E$3:$E$2002,0)),"")</f>
        <v/>
      </c>
      <c r="K1122" s="80">
        <f>IFERROR(INDEX(打卡匯入!$D$3:$D$2002,MATCH($C1122&amp;"|"&amp;DAY($A1122),打卡匯入!$E$3:$E$2002,0)),"")</f>
        <v/>
      </c>
      <c r="L1122" s="81">
        <f>IF(OR($J1122="",$K1122=""),"",IFERROR(INDEX(設定!$F$6:$F$18,MATCH($G1122,設定!$B$6:$B$18,0)),0))</f>
        <v/>
      </c>
      <c r="M1122" s="82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1">
        <f>IF(OR($C1122="",$H1122="",$J1122=""),0,IF(ROUND(($J1122-$H1122)*1440,0)&gt;設定!$C$42,ROUND(($J1122-$H1122)*1440,0),0))</f>
        <v/>
      </c>
      <c r="P1122" s="81">
        <f>IF(OR($C1122="",$I1122="",$K1122=""),0,IF(ROUND(($I1122-$K1122)*1440,0)&gt;設定!$C$42,ROUND(($I1122-$K1122)*1440,0),0))</f>
        <v/>
      </c>
      <c r="Q1122" s="82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79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0">
        <f>IF($G1123="","",IFERROR(INDEX(設定!$D$6:$D$18,MATCH($G1123,設定!$B$6:$B$18,0)),""))</f>
        <v/>
      </c>
      <c r="I1123" s="80">
        <f>IF($G1123="","",IFERROR(INDEX(設定!$E$6:$E$18,MATCH($G1123,設定!$B$6:$B$18,0)),""))</f>
        <v/>
      </c>
      <c r="J1123" s="80">
        <f>IFERROR(INDEX(打卡匯入!$C$3:$C$2002,MATCH($C1123&amp;"|"&amp;DAY($A1123),打卡匯入!$E$3:$E$2002,0)),"")</f>
        <v/>
      </c>
      <c r="K1123" s="80">
        <f>IFERROR(INDEX(打卡匯入!$D$3:$D$2002,MATCH($C1123&amp;"|"&amp;DAY($A1123),打卡匯入!$E$3:$E$2002,0)),"")</f>
        <v/>
      </c>
      <c r="L1123" s="81">
        <f>IF(OR($J1123="",$K1123=""),"",IFERROR(INDEX(設定!$F$6:$F$18,MATCH($G1123,設定!$B$6:$B$18,0)),0))</f>
        <v/>
      </c>
      <c r="M1123" s="82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1">
        <f>IF(OR($C1123="",$H1123="",$J1123=""),0,IF(ROUND(($J1123-$H1123)*1440,0)&gt;設定!$C$42,ROUND(($J1123-$H1123)*1440,0),0))</f>
        <v/>
      </c>
      <c r="P1123" s="81">
        <f>IF(OR($C1123="",$I1123="",$K1123=""),0,IF(ROUND(($I1123-$K1123)*1440,0)&gt;設定!$C$42,ROUND(($I1123-$K1123)*1440,0),0))</f>
        <v/>
      </c>
      <c r="Q1123" s="82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79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0">
        <f>IF($G1124="","",IFERROR(INDEX(設定!$D$6:$D$18,MATCH($G1124,設定!$B$6:$B$18,0)),""))</f>
        <v/>
      </c>
      <c r="I1124" s="80">
        <f>IF($G1124="","",IFERROR(INDEX(設定!$E$6:$E$18,MATCH($G1124,設定!$B$6:$B$18,0)),""))</f>
        <v/>
      </c>
      <c r="J1124" s="80">
        <f>IFERROR(INDEX(打卡匯入!$C$3:$C$2002,MATCH($C1124&amp;"|"&amp;DAY($A1124),打卡匯入!$E$3:$E$2002,0)),"")</f>
        <v/>
      </c>
      <c r="K1124" s="80">
        <f>IFERROR(INDEX(打卡匯入!$D$3:$D$2002,MATCH($C1124&amp;"|"&amp;DAY($A1124),打卡匯入!$E$3:$E$2002,0)),"")</f>
        <v/>
      </c>
      <c r="L1124" s="81">
        <f>IF(OR($J1124="",$K1124=""),"",IFERROR(INDEX(設定!$F$6:$F$18,MATCH($G1124,設定!$B$6:$B$18,0)),0))</f>
        <v/>
      </c>
      <c r="M1124" s="82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1">
        <f>IF(OR($C1124="",$H1124="",$J1124=""),0,IF(ROUND(($J1124-$H1124)*1440,0)&gt;設定!$C$42,ROUND(($J1124-$H1124)*1440,0),0))</f>
        <v/>
      </c>
      <c r="P1124" s="81">
        <f>IF(OR($C1124="",$I1124="",$K1124=""),0,IF(ROUND(($I1124-$K1124)*1440,0)&gt;設定!$C$42,ROUND(($I1124-$K1124)*1440,0),0))</f>
        <v/>
      </c>
      <c r="Q1124" s="82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79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0">
        <f>IF($G1125="","",IFERROR(INDEX(設定!$D$6:$D$18,MATCH($G1125,設定!$B$6:$B$18,0)),""))</f>
        <v/>
      </c>
      <c r="I1125" s="80">
        <f>IF($G1125="","",IFERROR(INDEX(設定!$E$6:$E$18,MATCH($G1125,設定!$B$6:$B$18,0)),""))</f>
        <v/>
      </c>
      <c r="J1125" s="80">
        <f>IFERROR(INDEX(打卡匯入!$C$3:$C$2002,MATCH($C1125&amp;"|"&amp;DAY($A1125),打卡匯入!$E$3:$E$2002,0)),"")</f>
        <v/>
      </c>
      <c r="K1125" s="80">
        <f>IFERROR(INDEX(打卡匯入!$D$3:$D$2002,MATCH($C1125&amp;"|"&amp;DAY($A1125),打卡匯入!$E$3:$E$2002,0)),"")</f>
        <v/>
      </c>
      <c r="L1125" s="81">
        <f>IF(OR($J1125="",$K1125=""),"",IFERROR(INDEX(設定!$F$6:$F$18,MATCH($G1125,設定!$B$6:$B$18,0)),0))</f>
        <v/>
      </c>
      <c r="M1125" s="82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1">
        <f>IF(OR($C1125="",$H1125="",$J1125=""),0,IF(ROUND(($J1125-$H1125)*1440,0)&gt;設定!$C$42,ROUND(($J1125-$H1125)*1440,0),0))</f>
        <v/>
      </c>
      <c r="P1125" s="81">
        <f>IF(OR($C1125="",$I1125="",$K1125=""),0,IF(ROUND(($I1125-$K1125)*1440,0)&gt;設定!$C$42,ROUND(($I1125-$K1125)*1440,0),0))</f>
        <v/>
      </c>
      <c r="Q1125" s="82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79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0">
        <f>IF($G1126="","",IFERROR(INDEX(設定!$D$6:$D$18,MATCH($G1126,設定!$B$6:$B$18,0)),""))</f>
        <v/>
      </c>
      <c r="I1126" s="80">
        <f>IF($G1126="","",IFERROR(INDEX(設定!$E$6:$E$18,MATCH($G1126,設定!$B$6:$B$18,0)),""))</f>
        <v/>
      </c>
      <c r="J1126" s="80">
        <f>IFERROR(INDEX(打卡匯入!$C$3:$C$2002,MATCH($C1126&amp;"|"&amp;DAY($A1126),打卡匯入!$E$3:$E$2002,0)),"")</f>
        <v/>
      </c>
      <c r="K1126" s="80">
        <f>IFERROR(INDEX(打卡匯入!$D$3:$D$2002,MATCH($C1126&amp;"|"&amp;DAY($A1126),打卡匯入!$E$3:$E$2002,0)),"")</f>
        <v/>
      </c>
      <c r="L1126" s="81">
        <f>IF(OR($J1126="",$K1126=""),"",IFERROR(INDEX(設定!$F$6:$F$18,MATCH($G1126,設定!$B$6:$B$18,0)),0))</f>
        <v/>
      </c>
      <c r="M1126" s="82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1">
        <f>IF(OR($C1126="",$H1126="",$J1126=""),0,IF(ROUND(($J1126-$H1126)*1440,0)&gt;設定!$C$42,ROUND(($J1126-$H1126)*1440,0),0))</f>
        <v/>
      </c>
      <c r="P1126" s="81">
        <f>IF(OR($C1126="",$I1126="",$K1126=""),0,IF(ROUND(($I1126-$K1126)*1440,0)&gt;設定!$C$42,ROUND(($I1126-$K1126)*1440,0),0))</f>
        <v/>
      </c>
      <c r="Q1126" s="82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79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0">
        <f>IF($G1127="","",IFERROR(INDEX(設定!$D$6:$D$18,MATCH($G1127,設定!$B$6:$B$18,0)),""))</f>
        <v/>
      </c>
      <c r="I1127" s="80">
        <f>IF($G1127="","",IFERROR(INDEX(設定!$E$6:$E$18,MATCH($G1127,設定!$B$6:$B$18,0)),""))</f>
        <v/>
      </c>
      <c r="J1127" s="80">
        <f>IFERROR(INDEX(打卡匯入!$C$3:$C$2002,MATCH($C1127&amp;"|"&amp;DAY($A1127),打卡匯入!$E$3:$E$2002,0)),"")</f>
        <v/>
      </c>
      <c r="K1127" s="80">
        <f>IFERROR(INDEX(打卡匯入!$D$3:$D$2002,MATCH($C1127&amp;"|"&amp;DAY($A1127),打卡匯入!$E$3:$E$2002,0)),"")</f>
        <v/>
      </c>
      <c r="L1127" s="81">
        <f>IF(OR($J1127="",$K1127=""),"",IFERROR(INDEX(設定!$F$6:$F$18,MATCH($G1127,設定!$B$6:$B$18,0)),0))</f>
        <v/>
      </c>
      <c r="M1127" s="82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1">
        <f>IF(OR($C1127="",$H1127="",$J1127=""),0,IF(ROUND(($J1127-$H1127)*1440,0)&gt;設定!$C$42,ROUND(($J1127-$H1127)*1440,0),0))</f>
        <v/>
      </c>
      <c r="P1127" s="81">
        <f>IF(OR($C1127="",$I1127="",$K1127=""),0,IF(ROUND(($I1127-$K1127)*1440,0)&gt;設定!$C$42,ROUND(($I1127-$K1127)*1440,0),0))</f>
        <v/>
      </c>
      <c r="Q1127" s="82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79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0">
        <f>IF($G1128="","",IFERROR(INDEX(設定!$D$6:$D$18,MATCH($G1128,設定!$B$6:$B$18,0)),""))</f>
        <v/>
      </c>
      <c r="I1128" s="80">
        <f>IF($G1128="","",IFERROR(INDEX(設定!$E$6:$E$18,MATCH($G1128,設定!$B$6:$B$18,0)),""))</f>
        <v/>
      </c>
      <c r="J1128" s="80">
        <f>IFERROR(INDEX(打卡匯入!$C$3:$C$2002,MATCH($C1128&amp;"|"&amp;DAY($A1128),打卡匯入!$E$3:$E$2002,0)),"")</f>
        <v/>
      </c>
      <c r="K1128" s="80">
        <f>IFERROR(INDEX(打卡匯入!$D$3:$D$2002,MATCH($C1128&amp;"|"&amp;DAY($A1128),打卡匯入!$E$3:$E$2002,0)),"")</f>
        <v/>
      </c>
      <c r="L1128" s="81">
        <f>IF(OR($J1128="",$K1128=""),"",IFERROR(INDEX(設定!$F$6:$F$18,MATCH($G1128,設定!$B$6:$B$18,0)),0))</f>
        <v/>
      </c>
      <c r="M1128" s="82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1">
        <f>IF(OR($C1128="",$H1128="",$J1128=""),0,IF(ROUND(($J1128-$H1128)*1440,0)&gt;設定!$C$42,ROUND(($J1128-$H1128)*1440,0),0))</f>
        <v/>
      </c>
      <c r="P1128" s="81">
        <f>IF(OR($C1128="",$I1128="",$K1128=""),0,IF(ROUND(($I1128-$K1128)*1440,0)&gt;設定!$C$42,ROUND(($I1128-$K1128)*1440,0),0))</f>
        <v/>
      </c>
      <c r="Q1128" s="82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79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0">
        <f>IF($G1129="","",IFERROR(INDEX(設定!$D$6:$D$18,MATCH($G1129,設定!$B$6:$B$18,0)),""))</f>
        <v/>
      </c>
      <c r="I1129" s="80">
        <f>IF($G1129="","",IFERROR(INDEX(設定!$E$6:$E$18,MATCH($G1129,設定!$B$6:$B$18,0)),""))</f>
        <v/>
      </c>
      <c r="J1129" s="80">
        <f>IFERROR(INDEX(打卡匯入!$C$3:$C$2002,MATCH($C1129&amp;"|"&amp;DAY($A1129),打卡匯入!$E$3:$E$2002,0)),"")</f>
        <v/>
      </c>
      <c r="K1129" s="80">
        <f>IFERROR(INDEX(打卡匯入!$D$3:$D$2002,MATCH($C1129&amp;"|"&amp;DAY($A1129),打卡匯入!$E$3:$E$2002,0)),"")</f>
        <v/>
      </c>
      <c r="L1129" s="81">
        <f>IF(OR($J1129="",$K1129=""),"",IFERROR(INDEX(設定!$F$6:$F$18,MATCH($G1129,設定!$B$6:$B$18,0)),0))</f>
        <v/>
      </c>
      <c r="M1129" s="82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1">
        <f>IF(OR($C1129="",$H1129="",$J1129=""),0,IF(ROUND(($J1129-$H1129)*1440,0)&gt;設定!$C$42,ROUND(($J1129-$H1129)*1440,0),0))</f>
        <v/>
      </c>
      <c r="P1129" s="81">
        <f>IF(OR($C1129="",$I1129="",$K1129=""),0,IF(ROUND(($I1129-$K1129)*1440,0)&gt;設定!$C$42,ROUND(($I1129-$K1129)*1440,0),0))</f>
        <v/>
      </c>
      <c r="Q1129" s="82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79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0">
        <f>IF($G1130="","",IFERROR(INDEX(設定!$D$6:$D$18,MATCH($G1130,設定!$B$6:$B$18,0)),""))</f>
        <v/>
      </c>
      <c r="I1130" s="80">
        <f>IF($G1130="","",IFERROR(INDEX(設定!$E$6:$E$18,MATCH($G1130,設定!$B$6:$B$18,0)),""))</f>
        <v/>
      </c>
      <c r="J1130" s="80">
        <f>IFERROR(INDEX(打卡匯入!$C$3:$C$2002,MATCH($C1130&amp;"|"&amp;DAY($A1130),打卡匯入!$E$3:$E$2002,0)),"")</f>
        <v/>
      </c>
      <c r="K1130" s="80">
        <f>IFERROR(INDEX(打卡匯入!$D$3:$D$2002,MATCH($C1130&amp;"|"&amp;DAY($A1130),打卡匯入!$E$3:$E$2002,0)),"")</f>
        <v/>
      </c>
      <c r="L1130" s="81">
        <f>IF(OR($J1130="",$K1130=""),"",IFERROR(INDEX(設定!$F$6:$F$18,MATCH($G1130,設定!$B$6:$B$18,0)),0))</f>
        <v/>
      </c>
      <c r="M1130" s="82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1">
        <f>IF(OR($C1130="",$H1130="",$J1130=""),0,IF(ROUND(($J1130-$H1130)*1440,0)&gt;設定!$C$42,ROUND(($J1130-$H1130)*1440,0),0))</f>
        <v/>
      </c>
      <c r="P1130" s="81">
        <f>IF(OR($C1130="",$I1130="",$K1130=""),0,IF(ROUND(($I1130-$K1130)*1440,0)&gt;設定!$C$42,ROUND(($I1130-$K1130)*1440,0),0))</f>
        <v/>
      </c>
      <c r="Q1130" s="82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79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0">
        <f>IF($G1131="","",IFERROR(INDEX(設定!$D$6:$D$18,MATCH($G1131,設定!$B$6:$B$18,0)),""))</f>
        <v/>
      </c>
      <c r="I1131" s="80">
        <f>IF($G1131="","",IFERROR(INDEX(設定!$E$6:$E$18,MATCH($G1131,設定!$B$6:$B$18,0)),""))</f>
        <v/>
      </c>
      <c r="J1131" s="80">
        <f>IFERROR(INDEX(打卡匯入!$C$3:$C$2002,MATCH($C1131&amp;"|"&amp;DAY($A1131),打卡匯入!$E$3:$E$2002,0)),"")</f>
        <v/>
      </c>
      <c r="K1131" s="80">
        <f>IFERROR(INDEX(打卡匯入!$D$3:$D$2002,MATCH($C1131&amp;"|"&amp;DAY($A1131),打卡匯入!$E$3:$E$2002,0)),"")</f>
        <v/>
      </c>
      <c r="L1131" s="81">
        <f>IF(OR($J1131="",$K1131=""),"",IFERROR(INDEX(設定!$F$6:$F$18,MATCH($G1131,設定!$B$6:$B$18,0)),0))</f>
        <v/>
      </c>
      <c r="M1131" s="82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1">
        <f>IF(OR($C1131="",$H1131="",$J1131=""),0,IF(ROUND(($J1131-$H1131)*1440,0)&gt;設定!$C$42,ROUND(($J1131-$H1131)*1440,0),0))</f>
        <v/>
      </c>
      <c r="P1131" s="81">
        <f>IF(OR($C1131="",$I1131="",$K1131=""),0,IF(ROUND(($I1131-$K1131)*1440,0)&gt;設定!$C$42,ROUND(($I1131-$K1131)*1440,0),0))</f>
        <v/>
      </c>
      <c r="Q1131" s="82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79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0">
        <f>IF($G1132="","",IFERROR(INDEX(設定!$D$6:$D$18,MATCH($G1132,設定!$B$6:$B$18,0)),""))</f>
        <v/>
      </c>
      <c r="I1132" s="80">
        <f>IF($G1132="","",IFERROR(INDEX(設定!$E$6:$E$18,MATCH($G1132,設定!$B$6:$B$18,0)),""))</f>
        <v/>
      </c>
      <c r="J1132" s="80">
        <f>IFERROR(INDEX(打卡匯入!$C$3:$C$2002,MATCH($C1132&amp;"|"&amp;DAY($A1132),打卡匯入!$E$3:$E$2002,0)),"")</f>
        <v/>
      </c>
      <c r="K1132" s="80">
        <f>IFERROR(INDEX(打卡匯入!$D$3:$D$2002,MATCH($C1132&amp;"|"&amp;DAY($A1132),打卡匯入!$E$3:$E$2002,0)),"")</f>
        <v/>
      </c>
      <c r="L1132" s="81">
        <f>IF(OR($J1132="",$K1132=""),"",IFERROR(INDEX(設定!$F$6:$F$18,MATCH($G1132,設定!$B$6:$B$18,0)),0))</f>
        <v/>
      </c>
      <c r="M1132" s="82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1">
        <f>IF(OR($C1132="",$H1132="",$J1132=""),0,IF(ROUND(($J1132-$H1132)*1440,0)&gt;設定!$C$42,ROUND(($J1132-$H1132)*1440,0),0))</f>
        <v/>
      </c>
      <c r="P1132" s="81">
        <f>IF(OR($C1132="",$I1132="",$K1132=""),0,IF(ROUND(($I1132-$K1132)*1440,0)&gt;設定!$C$42,ROUND(($I1132-$K1132)*1440,0),0))</f>
        <v/>
      </c>
      <c r="Q1132" s="82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79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0">
        <f>IF($G1133="","",IFERROR(INDEX(設定!$D$6:$D$18,MATCH($G1133,設定!$B$6:$B$18,0)),""))</f>
        <v/>
      </c>
      <c r="I1133" s="80">
        <f>IF($G1133="","",IFERROR(INDEX(設定!$E$6:$E$18,MATCH($G1133,設定!$B$6:$B$18,0)),""))</f>
        <v/>
      </c>
      <c r="J1133" s="80">
        <f>IFERROR(INDEX(打卡匯入!$C$3:$C$2002,MATCH($C1133&amp;"|"&amp;DAY($A1133),打卡匯入!$E$3:$E$2002,0)),"")</f>
        <v/>
      </c>
      <c r="K1133" s="80">
        <f>IFERROR(INDEX(打卡匯入!$D$3:$D$2002,MATCH($C1133&amp;"|"&amp;DAY($A1133),打卡匯入!$E$3:$E$2002,0)),"")</f>
        <v/>
      </c>
      <c r="L1133" s="81">
        <f>IF(OR($J1133="",$K1133=""),"",IFERROR(INDEX(設定!$F$6:$F$18,MATCH($G1133,設定!$B$6:$B$18,0)),0))</f>
        <v/>
      </c>
      <c r="M1133" s="82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1">
        <f>IF(OR($C1133="",$H1133="",$J1133=""),0,IF(ROUND(($J1133-$H1133)*1440,0)&gt;設定!$C$42,ROUND(($J1133-$H1133)*1440,0),0))</f>
        <v/>
      </c>
      <c r="P1133" s="81">
        <f>IF(OR($C1133="",$I1133="",$K1133=""),0,IF(ROUND(($I1133-$K1133)*1440,0)&gt;設定!$C$42,ROUND(($I1133-$K1133)*1440,0),0))</f>
        <v/>
      </c>
      <c r="Q1133" s="82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79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0">
        <f>IF($G1134="","",IFERROR(INDEX(設定!$D$6:$D$18,MATCH($G1134,設定!$B$6:$B$18,0)),""))</f>
        <v/>
      </c>
      <c r="I1134" s="80">
        <f>IF($G1134="","",IFERROR(INDEX(設定!$E$6:$E$18,MATCH($G1134,設定!$B$6:$B$18,0)),""))</f>
        <v/>
      </c>
      <c r="J1134" s="80">
        <f>IFERROR(INDEX(打卡匯入!$C$3:$C$2002,MATCH($C1134&amp;"|"&amp;DAY($A1134),打卡匯入!$E$3:$E$2002,0)),"")</f>
        <v/>
      </c>
      <c r="K1134" s="80">
        <f>IFERROR(INDEX(打卡匯入!$D$3:$D$2002,MATCH($C1134&amp;"|"&amp;DAY($A1134),打卡匯入!$E$3:$E$2002,0)),"")</f>
        <v/>
      </c>
      <c r="L1134" s="81">
        <f>IF(OR($J1134="",$K1134=""),"",IFERROR(INDEX(設定!$F$6:$F$18,MATCH($G1134,設定!$B$6:$B$18,0)),0))</f>
        <v/>
      </c>
      <c r="M1134" s="82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1">
        <f>IF(OR($C1134="",$H1134="",$J1134=""),0,IF(ROUND(($J1134-$H1134)*1440,0)&gt;設定!$C$42,ROUND(($J1134-$H1134)*1440,0),0))</f>
        <v/>
      </c>
      <c r="P1134" s="81">
        <f>IF(OR($C1134="",$I1134="",$K1134=""),0,IF(ROUND(($I1134-$K1134)*1440,0)&gt;設定!$C$42,ROUND(($I1134-$K1134)*1440,0),0))</f>
        <v/>
      </c>
      <c r="Q1134" s="82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79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0">
        <f>IF($G1135="","",IFERROR(INDEX(設定!$D$6:$D$18,MATCH($G1135,設定!$B$6:$B$18,0)),""))</f>
        <v/>
      </c>
      <c r="I1135" s="80">
        <f>IF($G1135="","",IFERROR(INDEX(設定!$E$6:$E$18,MATCH($G1135,設定!$B$6:$B$18,0)),""))</f>
        <v/>
      </c>
      <c r="J1135" s="80">
        <f>IFERROR(INDEX(打卡匯入!$C$3:$C$2002,MATCH($C1135&amp;"|"&amp;DAY($A1135),打卡匯入!$E$3:$E$2002,0)),"")</f>
        <v/>
      </c>
      <c r="K1135" s="80">
        <f>IFERROR(INDEX(打卡匯入!$D$3:$D$2002,MATCH($C1135&amp;"|"&amp;DAY($A1135),打卡匯入!$E$3:$E$2002,0)),"")</f>
        <v/>
      </c>
      <c r="L1135" s="81">
        <f>IF(OR($J1135="",$K1135=""),"",IFERROR(INDEX(設定!$F$6:$F$18,MATCH($G1135,設定!$B$6:$B$18,0)),0))</f>
        <v/>
      </c>
      <c r="M1135" s="82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1">
        <f>IF(OR($C1135="",$H1135="",$J1135=""),0,IF(ROUND(($J1135-$H1135)*1440,0)&gt;設定!$C$42,ROUND(($J1135-$H1135)*1440,0),0))</f>
        <v/>
      </c>
      <c r="P1135" s="81">
        <f>IF(OR($C1135="",$I1135="",$K1135=""),0,IF(ROUND(($I1135-$K1135)*1440,0)&gt;設定!$C$42,ROUND(($I1135-$K1135)*1440,0),0))</f>
        <v/>
      </c>
      <c r="Q1135" s="82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79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0">
        <f>IF($G1136="","",IFERROR(INDEX(設定!$D$6:$D$18,MATCH($G1136,設定!$B$6:$B$18,0)),""))</f>
        <v/>
      </c>
      <c r="I1136" s="80">
        <f>IF($G1136="","",IFERROR(INDEX(設定!$E$6:$E$18,MATCH($G1136,設定!$B$6:$B$18,0)),""))</f>
        <v/>
      </c>
      <c r="J1136" s="80">
        <f>IFERROR(INDEX(打卡匯入!$C$3:$C$2002,MATCH($C1136&amp;"|"&amp;DAY($A1136),打卡匯入!$E$3:$E$2002,0)),"")</f>
        <v/>
      </c>
      <c r="K1136" s="80">
        <f>IFERROR(INDEX(打卡匯入!$D$3:$D$2002,MATCH($C1136&amp;"|"&amp;DAY($A1136),打卡匯入!$E$3:$E$2002,0)),"")</f>
        <v/>
      </c>
      <c r="L1136" s="81">
        <f>IF(OR($J1136="",$K1136=""),"",IFERROR(INDEX(設定!$F$6:$F$18,MATCH($G1136,設定!$B$6:$B$18,0)),0))</f>
        <v/>
      </c>
      <c r="M1136" s="82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1">
        <f>IF(OR($C1136="",$H1136="",$J1136=""),0,IF(ROUND(($J1136-$H1136)*1440,0)&gt;設定!$C$42,ROUND(($J1136-$H1136)*1440,0),0))</f>
        <v/>
      </c>
      <c r="P1136" s="81">
        <f>IF(OR($C1136="",$I1136="",$K1136=""),0,IF(ROUND(($I1136-$K1136)*1440,0)&gt;設定!$C$42,ROUND(($I1136-$K1136)*1440,0),0))</f>
        <v/>
      </c>
      <c r="Q1136" s="82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79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0">
        <f>IF($G1137="","",IFERROR(INDEX(設定!$D$6:$D$18,MATCH($G1137,設定!$B$6:$B$18,0)),""))</f>
        <v/>
      </c>
      <c r="I1137" s="80">
        <f>IF($G1137="","",IFERROR(INDEX(設定!$E$6:$E$18,MATCH($G1137,設定!$B$6:$B$18,0)),""))</f>
        <v/>
      </c>
      <c r="J1137" s="80">
        <f>IFERROR(INDEX(打卡匯入!$C$3:$C$2002,MATCH($C1137&amp;"|"&amp;DAY($A1137),打卡匯入!$E$3:$E$2002,0)),"")</f>
        <v/>
      </c>
      <c r="K1137" s="80">
        <f>IFERROR(INDEX(打卡匯入!$D$3:$D$2002,MATCH($C1137&amp;"|"&amp;DAY($A1137),打卡匯入!$E$3:$E$2002,0)),"")</f>
        <v/>
      </c>
      <c r="L1137" s="81">
        <f>IF(OR($J1137="",$K1137=""),"",IFERROR(INDEX(設定!$F$6:$F$18,MATCH($G1137,設定!$B$6:$B$18,0)),0))</f>
        <v/>
      </c>
      <c r="M1137" s="82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1">
        <f>IF(OR($C1137="",$H1137="",$J1137=""),0,IF(ROUND(($J1137-$H1137)*1440,0)&gt;設定!$C$42,ROUND(($J1137-$H1137)*1440,0),0))</f>
        <v/>
      </c>
      <c r="P1137" s="81">
        <f>IF(OR($C1137="",$I1137="",$K1137=""),0,IF(ROUND(($I1137-$K1137)*1440,0)&gt;設定!$C$42,ROUND(($I1137-$K1137)*1440,0),0))</f>
        <v/>
      </c>
      <c r="Q1137" s="82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79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0">
        <f>IF($G1138="","",IFERROR(INDEX(設定!$D$6:$D$18,MATCH($G1138,設定!$B$6:$B$18,0)),""))</f>
        <v/>
      </c>
      <c r="I1138" s="80">
        <f>IF($G1138="","",IFERROR(INDEX(設定!$E$6:$E$18,MATCH($G1138,設定!$B$6:$B$18,0)),""))</f>
        <v/>
      </c>
      <c r="J1138" s="80">
        <f>IFERROR(INDEX(打卡匯入!$C$3:$C$2002,MATCH($C1138&amp;"|"&amp;DAY($A1138),打卡匯入!$E$3:$E$2002,0)),"")</f>
        <v/>
      </c>
      <c r="K1138" s="80">
        <f>IFERROR(INDEX(打卡匯入!$D$3:$D$2002,MATCH($C1138&amp;"|"&amp;DAY($A1138),打卡匯入!$E$3:$E$2002,0)),"")</f>
        <v/>
      </c>
      <c r="L1138" s="81">
        <f>IF(OR($J1138="",$K1138=""),"",IFERROR(INDEX(設定!$F$6:$F$18,MATCH($G1138,設定!$B$6:$B$18,0)),0))</f>
        <v/>
      </c>
      <c r="M1138" s="82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1">
        <f>IF(OR($C1138="",$H1138="",$J1138=""),0,IF(ROUND(($J1138-$H1138)*1440,0)&gt;設定!$C$42,ROUND(($J1138-$H1138)*1440,0),0))</f>
        <v/>
      </c>
      <c r="P1138" s="81">
        <f>IF(OR($C1138="",$I1138="",$K1138=""),0,IF(ROUND(($I1138-$K1138)*1440,0)&gt;設定!$C$42,ROUND(($I1138-$K1138)*1440,0),0))</f>
        <v/>
      </c>
      <c r="Q1138" s="82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79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0">
        <f>IF($G1139="","",IFERROR(INDEX(設定!$D$6:$D$18,MATCH($G1139,設定!$B$6:$B$18,0)),""))</f>
        <v/>
      </c>
      <c r="I1139" s="80">
        <f>IF($G1139="","",IFERROR(INDEX(設定!$E$6:$E$18,MATCH($G1139,設定!$B$6:$B$18,0)),""))</f>
        <v/>
      </c>
      <c r="J1139" s="80">
        <f>IFERROR(INDEX(打卡匯入!$C$3:$C$2002,MATCH($C1139&amp;"|"&amp;DAY($A1139),打卡匯入!$E$3:$E$2002,0)),"")</f>
        <v/>
      </c>
      <c r="K1139" s="80">
        <f>IFERROR(INDEX(打卡匯入!$D$3:$D$2002,MATCH($C1139&amp;"|"&amp;DAY($A1139),打卡匯入!$E$3:$E$2002,0)),"")</f>
        <v/>
      </c>
      <c r="L1139" s="81">
        <f>IF(OR($J1139="",$K1139=""),"",IFERROR(INDEX(設定!$F$6:$F$18,MATCH($G1139,設定!$B$6:$B$18,0)),0))</f>
        <v/>
      </c>
      <c r="M1139" s="82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1">
        <f>IF(OR($C1139="",$H1139="",$J1139=""),0,IF(ROUND(($J1139-$H1139)*1440,0)&gt;設定!$C$42,ROUND(($J1139-$H1139)*1440,0),0))</f>
        <v/>
      </c>
      <c r="P1139" s="81">
        <f>IF(OR($C1139="",$I1139="",$K1139=""),0,IF(ROUND(($I1139-$K1139)*1440,0)&gt;設定!$C$42,ROUND(($I1139-$K1139)*1440,0),0))</f>
        <v/>
      </c>
      <c r="Q1139" s="82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79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0">
        <f>IF($G1140="","",IFERROR(INDEX(設定!$D$6:$D$18,MATCH($G1140,設定!$B$6:$B$18,0)),""))</f>
        <v/>
      </c>
      <c r="I1140" s="80">
        <f>IF($G1140="","",IFERROR(INDEX(設定!$E$6:$E$18,MATCH($G1140,設定!$B$6:$B$18,0)),""))</f>
        <v/>
      </c>
      <c r="J1140" s="80">
        <f>IFERROR(INDEX(打卡匯入!$C$3:$C$2002,MATCH($C1140&amp;"|"&amp;DAY($A1140),打卡匯入!$E$3:$E$2002,0)),"")</f>
        <v/>
      </c>
      <c r="K1140" s="80">
        <f>IFERROR(INDEX(打卡匯入!$D$3:$D$2002,MATCH($C1140&amp;"|"&amp;DAY($A1140),打卡匯入!$E$3:$E$2002,0)),"")</f>
        <v/>
      </c>
      <c r="L1140" s="81">
        <f>IF(OR($J1140="",$K1140=""),"",IFERROR(INDEX(設定!$F$6:$F$18,MATCH($G1140,設定!$B$6:$B$18,0)),0))</f>
        <v/>
      </c>
      <c r="M1140" s="82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1">
        <f>IF(OR($C1140="",$H1140="",$J1140=""),0,IF(ROUND(($J1140-$H1140)*1440,0)&gt;設定!$C$42,ROUND(($J1140-$H1140)*1440,0),0))</f>
        <v/>
      </c>
      <c r="P1140" s="81">
        <f>IF(OR($C1140="",$I1140="",$K1140=""),0,IF(ROUND(($I1140-$K1140)*1440,0)&gt;設定!$C$42,ROUND(($I1140-$K1140)*1440,0),0))</f>
        <v/>
      </c>
      <c r="Q1140" s="82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79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0">
        <f>IF($G1141="","",IFERROR(INDEX(設定!$D$6:$D$18,MATCH($G1141,設定!$B$6:$B$18,0)),""))</f>
        <v/>
      </c>
      <c r="I1141" s="80">
        <f>IF($G1141="","",IFERROR(INDEX(設定!$E$6:$E$18,MATCH($G1141,設定!$B$6:$B$18,0)),""))</f>
        <v/>
      </c>
      <c r="J1141" s="80">
        <f>IFERROR(INDEX(打卡匯入!$C$3:$C$2002,MATCH($C1141&amp;"|"&amp;DAY($A1141),打卡匯入!$E$3:$E$2002,0)),"")</f>
        <v/>
      </c>
      <c r="K1141" s="80">
        <f>IFERROR(INDEX(打卡匯入!$D$3:$D$2002,MATCH($C1141&amp;"|"&amp;DAY($A1141),打卡匯入!$E$3:$E$2002,0)),"")</f>
        <v/>
      </c>
      <c r="L1141" s="81">
        <f>IF(OR($J1141="",$K1141=""),"",IFERROR(INDEX(設定!$F$6:$F$18,MATCH($G1141,設定!$B$6:$B$18,0)),0))</f>
        <v/>
      </c>
      <c r="M1141" s="82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1">
        <f>IF(OR($C1141="",$H1141="",$J1141=""),0,IF(ROUND(($J1141-$H1141)*1440,0)&gt;設定!$C$42,ROUND(($J1141-$H1141)*1440,0),0))</f>
        <v/>
      </c>
      <c r="P1141" s="81">
        <f>IF(OR($C1141="",$I1141="",$K1141=""),0,IF(ROUND(($I1141-$K1141)*1440,0)&gt;設定!$C$42,ROUND(($I1141-$K1141)*1440,0),0))</f>
        <v/>
      </c>
      <c r="Q1141" s="82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79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0">
        <f>IF($G1142="","",IFERROR(INDEX(設定!$D$6:$D$18,MATCH($G1142,設定!$B$6:$B$18,0)),""))</f>
        <v/>
      </c>
      <c r="I1142" s="80">
        <f>IF($G1142="","",IFERROR(INDEX(設定!$E$6:$E$18,MATCH($G1142,設定!$B$6:$B$18,0)),""))</f>
        <v/>
      </c>
      <c r="J1142" s="80">
        <f>IFERROR(INDEX(打卡匯入!$C$3:$C$2002,MATCH($C1142&amp;"|"&amp;DAY($A1142),打卡匯入!$E$3:$E$2002,0)),"")</f>
        <v/>
      </c>
      <c r="K1142" s="80">
        <f>IFERROR(INDEX(打卡匯入!$D$3:$D$2002,MATCH($C1142&amp;"|"&amp;DAY($A1142),打卡匯入!$E$3:$E$2002,0)),"")</f>
        <v/>
      </c>
      <c r="L1142" s="81">
        <f>IF(OR($J1142="",$K1142=""),"",IFERROR(INDEX(設定!$F$6:$F$18,MATCH($G1142,設定!$B$6:$B$18,0)),0))</f>
        <v/>
      </c>
      <c r="M1142" s="82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1">
        <f>IF(OR($C1142="",$H1142="",$J1142=""),0,IF(ROUND(($J1142-$H1142)*1440,0)&gt;設定!$C$42,ROUND(($J1142-$H1142)*1440,0),0))</f>
        <v/>
      </c>
      <c r="P1142" s="81">
        <f>IF(OR($C1142="",$I1142="",$K1142=""),0,IF(ROUND(($I1142-$K1142)*1440,0)&gt;設定!$C$42,ROUND(($I1142-$K1142)*1440,0),0))</f>
        <v/>
      </c>
      <c r="Q1142" s="82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79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0">
        <f>IF($G1143="","",IFERROR(INDEX(設定!$D$6:$D$18,MATCH($G1143,設定!$B$6:$B$18,0)),""))</f>
        <v/>
      </c>
      <c r="I1143" s="80">
        <f>IF($G1143="","",IFERROR(INDEX(設定!$E$6:$E$18,MATCH($G1143,設定!$B$6:$B$18,0)),""))</f>
        <v/>
      </c>
      <c r="J1143" s="80">
        <f>IFERROR(INDEX(打卡匯入!$C$3:$C$2002,MATCH($C1143&amp;"|"&amp;DAY($A1143),打卡匯入!$E$3:$E$2002,0)),"")</f>
        <v/>
      </c>
      <c r="K1143" s="80">
        <f>IFERROR(INDEX(打卡匯入!$D$3:$D$2002,MATCH($C1143&amp;"|"&amp;DAY($A1143),打卡匯入!$E$3:$E$2002,0)),"")</f>
        <v/>
      </c>
      <c r="L1143" s="81">
        <f>IF(OR($J1143="",$K1143=""),"",IFERROR(INDEX(設定!$F$6:$F$18,MATCH($G1143,設定!$B$6:$B$18,0)),0))</f>
        <v/>
      </c>
      <c r="M1143" s="82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1">
        <f>IF(OR($C1143="",$H1143="",$J1143=""),0,IF(ROUND(($J1143-$H1143)*1440,0)&gt;設定!$C$42,ROUND(($J1143-$H1143)*1440,0),0))</f>
        <v/>
      </c>
      <c r="P1143" s="81">
        <f>IF(OR($C1143="",$I1143="",$K1143=""),0,IF(ROUND(($I1143-$K1143)*1440,0)&gt;設定!$C$42,ROUND(($I1143-$K1143)*1440,0),0))</f>
        <v/>
      </c>
      <c r="Q1143" s="82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79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0">
        <f>IF($G1144="","",IFERROR(INDEX(設定!$D$6:$D$18,MATCH($G1144,設定!$B$6:$B$18,0)),""))</f>
        <v/>
      </c>
      <c r="I1144" s="80">
        <f>IF($G1144="","",IFERROR(INDEX(設定!$E$6:$E$18,MATCH($G1144,設定!$B$6:$B$18,0)),""))</f>
        <v/>
      </c>
      <c r="J1144" s="80">
        <f>IFERROR(INDEX(打卡匯入!$C$3:$C$2002,MATCH($C1144&amp;"|"&amp;DAY($A1144),打卡匯入!$E$3:$E$2002,0)),"")</f>
        <v/>
      </c>
      <c r="K1144" s="80">
        <f>IFERROR(INDEX(打卡匯入!$D$3:$D$2002,MATCH($C1144&amp;"|"&amp;DAY($A1144),打卡匯入!$E$3:$E$2002,0)),"")</f>
        <v/>
      </c>
      <c r="L1144" s="81">
        <f>IF(OR($J1144="",$K1144=""),"",IFERROR(INDEX(設定!$F$6:$F$18,MATCH($G1144,設定!$B$6:$B$18,0)),0))</f>
        <v/>
      </c>
      <c r="M1144" s="82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1">
        <f>IF(OR($C1144="",$H1144="",$J1144=""),0,IF(ROUND(($J1144-$H1144)*1440,0)&gt;設定!$C$42,ROUND(($J1144-$H1144)*1440,0),0))</f>
        <v/>
      </c>
      <c r="P1144" s="81">
        <f>IF(OR($C1144="",$I1144="",$K1144=""),0,IF(ROUND(($I1144-$K1144)*1440,0)&gt;設定!$C$42,ROUND(($I1144-$K1144)*1440,0),0))</f>
        <v/>
      </c>
      <c r="Q1144" s="82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79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0">
        <f>IF($G1145="","",IFERROR(INDEX(設定!$D$6:$D$18,MATCH($G1145,設定!$B$6:$B$18,0)),""))</f>
        <v/>
      </c>
      <c r="I1145" s="80">
        <f>IF($G1145="","",IFERROR(INDEX(設定!$E$6:$E$18,MATCH($G1145,設定!$B$6:$B$18,0)),""))</f>
        <v/>
      </c>
      <c r="J1145" s="80">
        <f>IFERROR(INDEX(打卡匯入!$C$3:$C$2002,MATCH($C1145&amp;"|"&amp;DAY($A1145),打卡匯入!$E$3:$E$2002,0)),"")</f>
        <v/>
      </c>
      <c r="K1145" s="80">
        <f>IFERROR(INDEX(打卡匯入!$D$3:$D$2002,MATCH($C1145&amp;"|"&amp;DAY($A1145),打卡匯入!$E$3:$E$2002,0)),"")</f>
        <v/>
      </c>
      <c r="L1145" s="81">
        <f>IF(OR($J1145="",$K1145=""),"",IFERROR(INDEX(設定!$F$6:$F$18,MATCH($G1145,設定!$B$6:$B$18,0)),0))</f>
        <v/>
      </c>
      <c r="M1145" s="82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1">
        <f>IF(OR($C1145="",$H1145="",$J1145=""),0,IF(ROUND(($J1145-$H1145)*1440,0)&gt;設定!$C$42,ROUND(($J1145-$H1145)*1440,0),0))</f>
        <v/>
      </c>
      <c r="P1145" s="81">
        <f>IF(OR($C1145="",$I1145="",$K1145=""),0,IF(ROUND(($I1145-$K1145)*1440,0)&gt;設定!$C$42,ROUND(($I1145-$K1145)*1440,0),0))</f>
        <v/>
      </c>
      <c r="Q1145" s="82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79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0">
        <f>IF($G1146="","",IFERROR(INDEX(設定!$D$6:$D$18,MATCH($G1146,設定!$B$6:$B$18,0)),""))</f>
        <v/>
      </c>
      <c r="I1146" s="80">
        <f>IF($G1146="","",IFERROR(INDEX(設定!$E$6:$E$18,MATCH($G1146,設定!$B$6:$B$18,0)),""))</f>
        <v/>
      </c>
      <c r="J1146" s="80">
        <f>IFERROR(INDEX(打卡匯入!$C$3:$C$2002,MATCH($C1146&amp;"|"&amp;DAY($A1146),打卡匯入!$E$3:$E$2002,0)),"")</f>
        <v/>
      </c>
      <c r="K1146" s="80">
        <f>IFERROR(INDEX(打卡匯入!$D$3:$D$2002,MATCH($C1146&amp;"|"&amp;DAY($A1146),打卡匯入!$E$3:$E$2002,0)),"")</f>
        <v/>
      </c>
      <c r="L1146" s="81">
        <f>IF(OR($J1146="",$K1146=""),"",IFERROR(INDEX(設定!$F$6:$F$18,MATCH($G1146,設定!$B$6:$B$18,0)),0))</f>
        <v/>
      </c>
      <c r="M1146" s="82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1">
        <f>IF(OR($C1146="",$H1146="",$J1146=""),0,IF(ROUND(($J1146-$H1146)*1440,0)&gt;設定!$C$42,ROUND(($J1146-$H1146)*1440,0),0))</f>
        <v/>
      </c>
      <c r="P1146" s="81">
        <f>IF(OR($C1146="",$I1146="",$K1146=""),0,IF(ROUND(($I1146-$K1146)*1440,0)&gt;設定!$C$42,ROUND(($I1146-$K1146)*1440,0),0))</f>
        <v/>
      </c>
      <c r="Q1146" s="82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79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0">
        <f>IF($G1147="","",IFERROR(INDEX(設定!$D$6:$D$18,MATCH($G1147,設定!$B$6:$B$18,0)),""))</f>
        <v/>
      </c>
      <c r="I1147" s="80">
        <f>IF($G1147="","",IFERROR(INDEX(設定!$E$6:$E$18,MATCH($G1147,設定!$B$6:$B$18,0)),""))</f>
        <v/>
      </c>
      <c r="J1147" s="80">
        <f>IFERROR(INDEX(打卡匯入!$C$3:$C$2002,MATCH($C1147&amp;"|"&amp;DAY($A1147),打卡匯入!$E$3:$E$2002,0)),"")</f>
        <v/>
      </c>
      <c r="K1147" s="80">
        <f>IFERROR(INDEX(打卡匯入!$D$3:$D$2002,MATCH($C1147&amp;"|"&amp;DAY($A1147),打卡匯入!$E$3:$E$2002,0)),"")</f>
        <v/>
      </c>
      <c r="L1147" s="81">
        <f>IF(OR($J1147="",$K1147=""),"",IFERROR(INDEX(設定!$F$6:$F$18,MATCH($G1147,設定!$B$6:$B$18,0)),0))</f>
        <v/>
      </c>
      <c r="M1147" s="82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1">
        <f>IF(OR($C1147="",$H1147="",$J1147=""),0,IF(ROUND(($J1147-$H1147)*1440,0)&gt;設定!$C$42,ROUND(($J1147-$H1147)*1440,0),0))</f>
        <v/>
      </c>
      <c r="P1147" s="81">
        <f>IF(OR($C1147="",$I1147="",$K1147=""),0,IF(ROUND(($I1147-$K1147)*1440,0)&gt;設定!$C$42,ROUND(($I1147-$K1147)*1440,0),0))</f>
        <v/>
      </c>
      <c r="Q1147" s="82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79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0">
        <f>IF($G1148="","",IFERROR(INDEX(設定!$D$6:$D$18,MATCH($G1148,設定!$B$6:$B$18,0)),""))</f>
        <v/>
      </c>
      <c r="I1148" s="80">
        <f>IF($G1148="","",IFERROR(INDEX(設定!$E$6:$E$18,MATCH($G1148,設定!$B$6:$B$18,0)),""))</f>
        <v/>
      </c>
      <c r="J1148" s="80">
        <f>IFERROR(INDEX(打卡匯入!$C$3:$C$2002,MATCH($C1148&amp;"|"&amp;DAY($A1148),打卡匯入!$E$3:$E$2002,0)),"")</f>
        <v/>
      </c>
      <c r="K1148" s="80">
        <f>IFERROR(INDEX(打卡匯入!$D$3:$D$2002,MATCH($C1148&amp;"|"&amp;DAY($A1148),打卡匯入!$E$3:$E$2002,0)),"")</f>
        <v/>
      </c>
      <c r="L1148" s="81">
        <f>IF(OR($J1148="",$K1148=""),"",IFERROR(INDEX(設定!$F$6:$F$18,MATCH($G1148,設定!$B$6:$B$18,0)),0))</f>
        <v/>
      </c>
      <c r="M1148" s="82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1">
        <f>IF(OR($C1148="",$H1148="",$J1148=""),0,IF(ROUND(($J1148-$H1148)*1440,0)&gt;設定!$C$42,ROUND(($J1148-$H1148)*1440,0),0))</f>
        <v/>
      </c>
      <c r="P1148" s="81">
        <f>IF(OR($C1148="",$I1148="",$K1148=""),0,IF(ROUND(($I1148-$K1148)*1440,0)&gt;設定!$C$42,ROUND(($I1148-$K1148)*1440,0),0))</f>
        <v/>
      </c>
      <c r="Q1148" s="82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79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0">
        <f>IF($G1149="","",IFERROR(INDEX(設定!$D$6:$D$18,MATCH($G1149,設定!$B$6:$B$18,0)),""))</f>
        <v/>
      </c>
      <c r="I1149" s="80">
        <f>IF($G1149="","",IFERROR(INDEX(設定!$E$6:$E$18,MATCH($G1149,設定!$B$6:$B$18,0)),""))</f>
        <v/>
      </c>
      <c r="J1149" s="80">
        <f>IFERROR(INDEX(打卡匯入!$C$3:$C$2002,MATCH($C1149&amp;"|"&amp;DAY($A1149),打卡匯入!$E$3:$E$2002,0)),"")</f>
        <v/>
      </c>
      <c r="K1149" s="80">
        <f>IFERROR(INDEX(打卡匯入!$D$3:$D$2002,MATCH($C1149&amp;"|"&amp;DAY($A1149),打卡匯入!$E$3:$E$2002,0)),"")</f>
        <v/>
      </c>
      <c r="L1149" s="81">
        <f>IF(OR($J1149="",$K1149=""),"",IFERROR(INDEX(設定!$F$6:$F$18,MATCH($G1149,設定!$B$6:$B$18,0)),0))</f>
        <v/>
      </c>
      <c r="M1149" s="82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1">
        <f>IF(OR($C1149="",$H1149="",$J1149=""),0,IF(ROUND(($J1149-$H1149)*1440,0)&gt;設定!$C$42,ROUND(($J1149-$H1149)*1440,0),0))</f>
        <v/>
      </c>
      <c r="P1149" s="81">
        <f>IF(OR($C1149="",$I1149="",$K1149=""),0,IF(ROUND(($I1149-$K1149)*1440,0)&gt;設定!$C$42,ROUND(($I1149-$K1149)*1440,0),0))</f>
        <v/>
      </c>
      <c r="Q1149" s="82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79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0">
        <f>IF($G1150="","",IFERROR(INDEX(設定!$D$6:$D$18,MATCH($G1150,設定!$B$6:$B$18,0)),""))</f>
        <v/>
      </c>
      <c r="I1150" s="80">
        <f>IF($G1150="","",IFERROR(INDEX(設定!$E$6:$E$18,MATCH($G1150,設定!$B$6:$B$18,0)),""))</f>
        <v/>
      </c>
      <c r="J1150" s="80">
        <f>IFERROR(INDEX(打卡匯入!$C$3:$C$2002,MATCH($C1150&amp;"|"&amp;DAY($A1150),打卡匯入!$E$3:$E$2002,0)),"")</f>
        <v/>
      </c>
      <c r="K1150" s="80">
        <f>IFERROR(INDEX(打卡匯入!$D$3:$D$2002,MATCH($C1150&amp;"|"&amp;DAY($A1150),打卡匯入!$E$3:$E$2002,0)),"")</f>
        <v/>
      </c>
      <c r="L1150" s="81">
        <f>IF(OR($J1150="",$K1150=""),"",IFERROR(INDEX(設定!$F$6:$F$18,MATCH($G1150,設定!$B$6:$B$18,0)),0))</f>
        <v/>
      </c>
      <c r="M1150" s="82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1">
        <f>IF(OR($C1150="",$H1150="",$J1150=""),0,IF(ROUND(($J1150-$H1150)*1440,0)&gt;設定!$C$42,ROUND(($J1150-$H1150)*1440,0),0))</f>
        <v/>
      </c>
      <c r="P1150" s="81">
        <f>IF(OR($C1150="",$I1150="",$K1150=""),0,IF(ROUND(($I1150-$K1150)*1440,0)&gt;設定!$C$42,ROUND(($I1150-$K1150)*1440,0),0))</f>
        <v/>
      </c>
      <c r="Q1150" s="82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79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0">
        <f>IF($G1151="","",IFERROR(INDEX(設定!$D$6:$D$18,MATCH($G1151,設定!$B$6:$B$18,0)),""))</f>
        <v/>
      </c>
      <c r="I1151" s="80">
        <f>IF($G1151="","",IFERROR(INDEX(設定!$E$6:$E$18,MATCH($G1151,設定!$B$6:$B$18,0)),""))</f>
        <v/>
      </c>
      <c r="J1151" s="80">
        <f>IFERROR(INDEX(打卡匯入!$C$3:$C$2002,MATCH($C1151&amp;"|"&amp;DAY($A1151),打卡匯入!$E$3:$E$2002,0)),"")</f>
        <v/>
      </c>
      <c r="K1151" s="80">
        <f>IFERROR(INDEX(打卡匯入!$D$3:$D$2002,MATCH($C1151&amp;"|"&amp;DAY($A1151),打卡匯入!$E$3:$E$2002,0)),"")</f>
        <v/>
      </c>
      <c r="L1151" s="81">
        <f>IF(OR($J1151="",$K1151=""),"",IFERROR(INDEX(設定!$F$6:$F$18,MATCH($G1151,設定!$B$6:$B$18,0)),0))</f>
        <v/>
      </c>
      <c r="M1151" s="82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1">
        <f>IF(OR($C1151="",$H1151="",$J1151=""),0,IF(ROUND(($J1151-$H1151)*1440,0)&gt;設定!$C$42,ROUND(($J1151-$H1151)*1440,0),0))</f>
        <v/>
      </c>
      <c r="P1151" s="81">
        <f>IF(OR($C1151="",$I1151="",$K1151=""),0,IF(ROUND(($I1151-$K1151)*1440,0)&gt;設定!$C$42,ROUND(($I1151-$K1151)*1440,0),0))</f>
        <v/>
      </c>
      <c r="Q1151" s="82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79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0">
        <f>IF($G1152="","",IFERROR(INDEX(設定!$D$6:$D$18,MATCH($G1152,設定!$B$6:$B$18,0)),""))</f>
        <v/>
      </c>
      <c r="I1152" s="80">
        <f>IF($G1152="","",IFERROR(INDEX(設定!$E$6:$E$18,MATCH($G1152,設定!$B$6:$B$18,0)),""))</f>
        <v/>
      </c>
      <c r="J1152" s="80">
        <f>IFERROR(INDEX(打卡匯入!$C$3:$C$2002,MATCH($C1152&amp;"|"&amp;DAY($A1152),打卡匯入!$E$3:$E$2002,0)),"")</f>
        <v/>
      </c>
      <c r="K1152" s="80">
        <f>IFERROR(INDEX(打卡匯入!$D$3:$D$2002,MATCH($C1152&amp;"|"&amp;DAY($A1152),打卡匯入!$E$3:$E$2002,0)),"")</f>
        <v/>
      </c>
      <c r="L1152" s="81">
        <f>IF(OR($J1152="",$K1152=""),"",IFERROR(INDEX(設定!$F$6:$F$18,MATCH($G1152,設定!$B$6:$B$18,0)),0))</f>
        <v/>
      </c>
      <c r="M1152" s="82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1">
        <f>IF(OR($C1152="",$H1152="",$J1152=""),0,IF(ROUND(($J1152-$H1152)*1440,0)&gt;設定!$C$42,ROUND(($J1152-$H1152)*1440,0),0))</f>
        <v/>
      </c>
      <c r="P1152" s="81">
        <f>IF(OR($C1152="",$I1152="",$K1152=""),0,IF(ROUND(($I1152-$K1152)*1440,0)&gt;設定!$C$42,ROUND(($I1152-$K1152)*1440,0),0))</f>
        <v/>
      </c>
      <c r="Q1152" s="82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79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0">
        <f>IF($G1153="","",IFERROR(INDEX(設定!$D$6:$D$18,MATCH($G1153,設定!$B$6:$B$18,0)),""))</f>
        <v/>
      </c>
      <c r="I1153" s="80">
        <f>IF($G1153="","",IFERROR(INDEX(設定!$E$6:$E$18,MATCH($G1153,設定!$B$6:$B$18,0)),""))</f>
        <v/>
      </c>
      <c r="J1153" s="80">
        <f>IFERROR(INDEX(打卡匯入!$C$3:$C$2002,MATCH($C1153&amp;"|"&amp;DAY($A1153),打卡匯入!$E$3:$E$2002,0)),"")</f>
        <v/>
      </c>
      <c r="K1153" s="80">
        <f>IFERROR(INDEX(打卡匯入!$D$3:$D$2002,MATCH($C1153&amp;"|"&amp;DAY($A1153),打卡匯入!$E$3:$E$2002,0)),"")</f>
        <v/>
      </c>
      <c r="L1153" s="81">
        <f>IF(OR($J1153="",$K1153=""),"",IFERROR(INDEX(設定!$F$6:$F$18,MATCH($G1153,設定!$B$6:$B$18,0)),0))</f>
        <v/>
      </c>
      <c r="M1153" s="82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1">
        <f>IF(OR($C1153="",$H1153="",$J1153=""),0,IF(ROUND(($J1153-$H1153)*1440,0)&gt;設定!$C$42,ROUND(($J1153-$H1153)*1440,0),0))</f>
        <v/>
      </c>
      <c r="P1153" s="81">
        <f>IF(OR($C1153="",$I1153="",$K1153=""),0,IF(ROUND(($I1153-$K1153)*1440,0)&gt;設定!$C$42,ROUND(($I1153-$K1153)*1440,0),0))</f>
        <v/>
      </c>
      <c r="Q1153" s="82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79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0">
        <f>IF($G1154="","",IFERROR(INDEX(設定!$D$6:$D$18,MATCH($G1154,設定!$B$6:$B$18,0)),""))</f>
        <v/>
      </c>
      <c r="I1154" s="80">
        <f>IF($G1154="","",IFERROR(INDEX(設定!$E$6:$E$18,MATCH($G1154,設定!$B$6:$B$18,0)),""))</f>
        <v/>
      </c>
      <c r="J1154" s="80">
        <f>IFERROR(INDEX(打卡匯入!$C$3:$C$2002,MATCH($C1154&amp;"|"&amp;DAY($A1154),打卡匯入!$E$3:$E$2002,0)),"")</f>
        <v/>
      </c>
      <c r="K1154" s="80">
        <f>IFERROR(INDEX(打卡匯入!$D$3:$D$2002,MATCH($C1154&amp;"|"&amp;DAY($A1154),打卡匯入!$E$3:$E$2002,0)),"")</f>
        <v/>
      </c>
      <c r="L1154" s="81">
        <f>IF(OR($J1154="",$K1154=""),"",IFERROR(INDEX(設定!$F$6:$F$18,MATCH($G1154,設定!$B$6:$B$18,0)),0))</f>
        <v/>
      </c>
      <c r="M1154" s="82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1">
        <f>IF(OR($C1154="",$H1154="",$J1154=""),0,IF(ROUND(($J1154-$H1154)*1440,0)&gt;設定!$C$42,ROUND(($J1154-$H1154)*1440,0),0))</f>
        <v/>
      </c>
      <c r="P1154" s="81">
        <f>IF(OR($C1154="",$I1154="",$K1154=""),0,IF(ROUND(($I1154-$K1154)*1440,0)&gt;設定!$C$42,ROUND(($I1154-$K1154)*1440,0),0))</f>
        <v/>
      </c>
      <c r="Q1154" s="82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79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0">
        <f>IF($G1155="","",IFERROR(INDEX(設定!$D$6:$D$18,MATCH($G1155,設定!$B$6:$B$18,0)),""))</f>
        <v/>
      </c>
      <c r="I1155" s="80">
        <f>IF($G1155="","",IFERROR(INDEX(設定!$E$6:$E$18,MATCH($G1155,設定!$B$6:$B$18,0)),""))</f>
        <v/>
      </c>
      <c r="J1155" s="80">
        <f>IFERROR(INDEX(打卡匯入!$C$3:$C$2002,MATCH($C1155&amp;"|"&amp;DAY($A1155),打卡匯入!$E$3:$E$2002,0)),"")</f>
        <v/>
      </c>
      <c r="K1155" s="80">
        <f>IFERROR(INDEX(打卡匯入!$D$3:$D$2002,MATCH($C1155&amp;"|"&amp;DAY($A1155),打卡匯入!$E$3:$E$2002,0)),"")</f>
        <v/>
      </c>
      <c r="L1155" s="81">
        <f>IF(OR($J1155="",$K1155=""),"",IFERROR(INDEX(設定!$F$6:$F$18,MATCH($G1155,設定!$B$6:$B$18,0)),0))</f>
        <v/>
      </c>
      <c r="M1155" s="82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1">
        <f>IF(OR($C1155="",$H1155="",$J1155=""),0,IF(ROUND(($J1155-$H1155)*1440,0)&gt;設定!$C$42,ROUND(($J1155-$H1155)*1440,0),0))</f>
        <v/>
      </c>
      <c r="P1155" s="81">
        <f>IF(OR($C1155="",$I1155="",$K1155=""),0,IF(ROUND(($I1155-$K1155)*1440,0)&gt;設定!$C$42,ROUND(($I1155-$K1155)*1440,0),0))</f>
        <v/>
      </c>
      <c r="Q1155" s="82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79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0">
        <f>IF($G1156="","",IFERROR(INDEX(設定!$D$6:$D$18,MATCH($G1156,設定!$B$6:$B$18,0)),""))</f>
        <v/>
      </c>
      <c r="I1156" s="80">
        <f>IF($G1156="","",IFERROR(INDEX(設定!$E$6:$E$18,MATCH($G1156,設定!$B$6:$B$18,0)),""))</f>
        <v/>
      </c>
      <c r="J1156" s="80">
        <f>IFERROR(INDEX(打卡匯入!$C$3:$C$2002,MATCH($C1156&amp;"|"&amp;DAY($A1156),打卡匯入!$E$3:$E$2002,0)),"")</f>
        <v/>
      </c>
      <c r="K1156" s="80">
        <f>IFERROR(INDEX(打卡匯入!$D$3:$D$2002,MATCH($C1156&amp;"|"&amp;DAY($A1156),打卡匯入!$E$3:$E$2002,0)),"")</f>
        <v/>
      </c>
      <c r="L1156" s="81">
        <f>IF(OR($J1156="",$K1156=""),"",IFERROR(INDEX(設定!$F$6:$F$18,MATCH($G1156,設定!$B$6:$B$18,0)),0))</f>
        <v/>
      </c>
      <c r="M1156" s="82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1">
        <f>IF(OR($C1156="",$H1156="",$J1156=""),0,IF(ROUND(($J1156-$H1156)*1440,0)&gt;設定!$C$42,ROUND(($J1156-$H1156)*1440,0),0))</f>
        <v/>
      </c>
      <c r="P1156" s="81">
        <f>IF(OR($C1156="",$I1156="",$K1156=""),0,IF(ROUND(($I1156-$K1156)*1440,0)&gt;設定!$C$42,ROUND(($I1156-$K1156)*1440,0),0))</f>
        <v/>
      </c>
      <c r="Q1156" s="82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79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0">
        <f>IF($G1157="","",IFERROR(INDEX(設定!$D$6:$D$18,MATCH($G1157,設定!$B$6:$B$18,0)),""))</f>
        <v/>
      </c>
      <c r="I1157" s="80">
        <f>IF($G1157="","",IFERROR(INDEX(設定!$E$6:$E$18,MATCH($G1157,設定!$B$6:$B$18,0)),""))</f>
        <v/>
      </c>
      <c r="J1157" s="80">
        <f>IFERROR(INDEX(打卡匯入!$C$3:$C$2002,MATCH($C1157&amp;"|"&amp;DAY($A1157),打卡匯入!$E$3:$E$2002,0)),"")</f>
        <v/>
      </c>
      <c r="K1157" s="80">
        <f>IFERROR(INDEX(打卡匯入!$D$3:$D$2002,MATCH($C1157&amp;"|"&amp;DAY($A1157),打卡匯入!$E$3:$E$2002,0)),"")</f>
        <v/>
      </c>
      <c r="L1157" s="81">
        <f>IF(OR($J1157="",$K1157=""),"",IFERROR(INDEX(設定!$F$6:$F$18,MATCH($G1157,設定!$B$6:$B$18,0)),0))</f>
        <v/>
      </c>
      <c r="M1157" s="82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1">
        <f>IF(OR($C1157="",$H1157="",$J1157=""),0,IF(ROUND(($J1157-$H1157)*1440,0)&gt;設定!$C$42,ROUND(($J1157-$H1157)*1440,0),0))</f>
        <v/>
      </c>
      <c r="P1157" s="81">
        <f>IF(OR($C1157="",$I1157="",$K1157=""),0,IF(ROUND(($I1157-$K1157)*1440,0)&gt;設定!$C$42,ROUND(($I1157-$K1157)*1440,0),0))</f>
        <v/>
      </c>
      <c r="Q1157" s="82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79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0">
        <f>IF($G1158="","",IFERROR(INDEX(設定!$D$6:$D$18,MATCH($G1158,設定!$B$6:$B$18,0)),""))</f>
        <v/>
      </c>
      <c r="I1158" s="80">
        <f>IF($G1158="","",IFERROR(INDEX(設定!$E$6:$E$18,MATCH($G1158,設定!$B$6:$B$18,0)),""))</f>
        <v/>
      </c>
      <c r="J1158" s="80">
        <f>IFERROR(INDEX(打卡匯入!$C$3:$C$2002,MATCH($C1158&amp;"|"&amp;DAY($A1158),打卡匯入!$E$3:$E$2002,0)),"")</f>
        <v/>
      </c>
      <c r="K1158" s="80">
        <f>IFERROR(INDEX(打卡匯入!$D$3:$D$2002,MATCH($C1158&amp;"|"&amp;DAY($A1158),打卡匯入!$E$3:$E$2002,0)),"")</f>
        <v/>
      </c>
      <c r="L1158" s="81">
        <f>IF(OR($J1158="",$K1158=""),"",IFERROR(INDEX(設定!$F$6:$F$18,MATCH($G1158,設定!$B$6:$B$18,0)),0))</f>
        <v/>
      </c>
      <c r="M1158" s="82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1">
        <f>IF(OR($C1158="",$H1158="",$J1158=""),0,IF(ROUND(($J1158-$H1158)*1440,0)&gt;設定!$C$42,ROUND(($J1158-$H1158)*1440,0),0))</f>
        <v/>
      </c>
      <c r="P1158" s="81">
        <f>IF(OR($C1158="",$I1158="",$K1158=""),0,IF(ROUND(($I1158-$K1158)*1440,0)&gt;設定!$C$42,ROUND(($I1158-$K1158)*1440,0),0))</f>
        <v/>
      </c>
      <c r="Q1158" s="82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79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0">
        <f>IF($G1159="","",IFERROR(INDEX(設定!$D$6:$D$18,MATCH($G1159,設定!$B$6:$B$18,0)),""))</f>
        <v/>
      </c>
      <c r="I1159" s="80">
        <f>IF($G1159="","",IFERROR(INDEX(設定!$E$6:$E$18,MATCH($G1159,設定!$B$6:$B$18,0)),""))</f>
        <v/>
      </c>
      <c r="J1159" s="80">
        <f>IFERROR(INDEX(打卡匯入!$C$3:$C$2002,MATCH($C1159&amp;"|"&amp;DAY($A1159),打卡匯入!$E$3:$E$2002,0)),"")</f>
        <v/>
      </c>
      <c r="K1159" s="80">
        <f>IFERROR(INDEX(打卡匯入!$D$3:$D$2002,MATCH($C1159&amp;"|"&amp;DAY($A1159),打卡匯入!$E$3:$E$2002,0)),"")</f>
        <v/>
      </c>
      <c r="L1159" s="81">
        <f>IF(OR($J1159="",$K1159=""),"",IFERROR(INDEX(設定!$F$6:$F$18,MATCH($G1159,設定!$B$6:$B$18,0)),0))</f>
        <v/>
      </c>
      <c r="M1159" s="82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1">
        <f>IF(OR($C1159="",$H1159="",$J1159=""),0,IF(ROUND(($J1159-$H1159)*1440,0)&gt;設定!$C$42,ROUND(($J1159-$H1159)*1440,0),0))</f>
        <v/>
      </c>
      <c r="P1159" s="81">
        <f>IF(OR($C1159="",$I1159="",$K1159=""),0,IF(ROUND(($I1159-$K1159)*1440,0)&gt;設定!$C$42,ROUND(($I1159-$K1159)*1440,0),0))</f>
        <v/>
      </c>
      <c r="Q1159" s="82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79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0">
        <f>IF($G1160="","",IFERROR(INDEX(設定!$D$6:$D$18,MATCH($G1160,設定!$B$6:$B$18,0)),""))</f>
        <v/>
      </c>
      <c r="I1160" s="80">
        <f>IF($G1160="","",IFERROR(INDEX(設定!$E$6:$E$18,MATCH($G1160,設定!$B$6:$B$18,0)),""))</f>
        <v/>
      </c>
      <c r="J1160" s="80">
        <f>IFERROR(INDEX(打卡匯入!$C$3:$C$2002,MATCH($C1160&amp;"|"&amp;DAY($A1160),打卡匯入!$E$3:$E$2002,0)),"")</f>
        <v/>
      </c>
      <c r="K1160" s="80">
        <f>IFERROR(INDEX(打卡匯入!$D$3:$D$2002,MATCH($C1160&amp;"|"&amp;DAY($A1160),打卡匯入!$E$3:$E$2002,0)),"")</f>
        <v/>
      </c>
      <c r="L1160" s="81">
        <f>IF(OR($J1160="",$K1160=""),"",IFERROR(INDEX(設定!$F$6:$F$18,MATCH($G1160,設定!$B$6:$B$18,0)),0))</f>
        <v/>
      </c>
      <c r="M1160" s="82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1">
        <f>IF(OR($C1160="",$H1160="",$J1160=""),0,IF(ROUND(($J1160-$H1160)*1440,0)&gt;設定!$C$42,ROUND(($J1160-$H1160)*1440,0),0))</f>
        <v/>
      </c>
      <c r="P1160" s="81">
        <f>IF(OR($C1160="",$I1160="",$K1160=""),0,IF(ROUND(($I1160-$K1160)*1440,0)&gt;設定!$C$42,ROUND(($I1160-$K1160)*1440,0),0))</f>
        <v/>
      </c>
      <c r="Q1160" s="82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79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0">
        <f>IF($G1161="","",IFERROR(INDEX(設定!$D$6:$D$18,MATCH($G1161,設定!$B$6:$B$18,0)),""))</f>
        <v/>
      </c>
      <c r="I1161" s="80">
        <f>IF($G1161="","",IFERROR(INDEX(設定!$E$6:$E$18,MATCH($G1161,設定!$B$6:$B$18,0)),""))</f>
        <v/>
      </c>
      <c r="J1161" s="80">
        <f>IFERROR(INDEX(打卡匯入!$C$3:$C$2002,MATCH($C1161&amp;"|"&amp;DAY($A1161),打卡匯入!$E$3:$E$2002,0)),"")</f>
        <v/>
      </c>
      <c r="K1161" s="80">
        <f>IFERROR(INDEX(打卡匯入!$D$3:$D$2002,MATCH($C1161&amp;"|"&amp;DAY($A1161),打卡匯入!$E$3:$E$2002,0)),"")</f>
        <v/>
      </c>
      <c r="L1161" s="81">
        <f>IF(OR($J1161="",$K1161=""),"",IFERROR(INDEX(設定!$F$6:$F$18,MATCH($G1161,設定!$B$6:$B$18,0)),0))</f>
        <v/>
      </c>
      <c r="M1161" s="82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1">
        <f>IF(OR($C1161="",$H1161="",$J1161=""),0,IF(ROUND(($J1161-$H1161)*1440,0)&gt;設定!$C$42,ROUND(($J1161-$H1161)*1440,0),0))</f>
        <v/>
      </c>
      <c r="P1161" s="81">
        <f>IF(OR($C1161="",$I1161="",$K1161=""),0,IF(ROUND(($I1161-$K1161)*1440,0)&gt;設定!$C$42,ROUND(($I1161-$K1161)*1440,0),0))</f>
        <v/>
      </c>
      <c r="Q1161" s="82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79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0">
        <f>IF($G1162="","",IFERROR(INDEX(設定!$D$6:$D$18,MATCH($G1162,設定!$B$6:$B$18,0)),""))</f>
        <v/>
      </c>
      <c r="I1162" s="80">
        <f>IF($G1162="","",IFERROR(INDEX(設定!$E$6:$E$18,MATCH($G1162,設定!$B$6:$B$18,0)),""))</f>
        <v/>
      </c>
      <c r="J1162" s="80">
        <f>IFERROR(INDEX(打卡匯入!$C$3:$C$2002,MATCH($C1162&amp;"|"&amp;DAY($A1162),打卡匯入!$E$3:$E$2002,0)),"")</f>
        <v/>
      </c>
      <c r="K1162" s="80">
        <f>IFERROR(INDEX(打卡匯入!$D$3:$D$2002,MATCH($C1162&amp;"|"&amp;DAY($A1162),打卡匯入!$E$3:$E$2002,0)),"")</f>
        <v/>
      </c>
      <c r="L1162" s="81">
        <f>IF(OR($J1162="",$K1162=""),"",IFERROR(INDEX(設定!$F$6:$F$18,MATCH($G1162,設定!$B$6:$B$18,0)),0))</f>
        <v/>
      </c>
      <c r="M1162" s="82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1">
        <f>IF(OR($C1162="",$H1162="",$J1162=""),0,IF(ROUND(($J1162-$H1162)*1440,0)&gt;設定!$C$42,ROUND(($J1162-$H1162)*1440,0),0))</f>
        <v/>
      </c>
      <c r="P1162" s="81">
        <f>IF(OR($C1162="",$I1162="",$K1162=""),0,IF(ROUND(($I1162-$K1162)*1440,0)&gt;設定!$C$42,ROUND(($I1162-$K1162)*1440,0),0))</f>
        <v/>
      </c>
      <c r="Q1162" s="82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79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0">
        <f>IF($G1163="","",IFERROR(INDEX(設定!$D$6:$D$18,MATCH($G1163,設定!$B$6:$B$18,0)),""))</f>
        <v/>
      </c>
      <c r="I1163" s="80">
        <f>IF($G1163="","",IFERROR(INDEX(設定!$E$6:$E$18,MATCH($G1163,設定!$B$6:$B$18,0)),""))</f>
        <v/>
      </c>
      <c r="J1163" s="80">
        <f>IFERROR(INDEX(打卡匯入!$C$3:$C$2002,MATCH($C1163&amp;"|"&amp;DAY($A1163),打卡匯入!$E$3:$E$2002,0)),"")</f>
        <v/>
      </c>
      <c r="K1163" s="80">
        <f>IFERROR(INDEX(打卡匯入!$D$3:$D$2002,MATCH($C1163&amp;"|"&amp;DAY($A1163),打卡匯入!$E$3:$E$2002,0)),"")</f>
        <v/>
      </c>
      <c r="L1163" s="81">
        <f>IF(OR($J1163="",$K1163=""),"",IFERROR(INDEX(設定!$F$6:$F$18,MATCH($G1163,設定!$B$6:$B$18,0)),0))</f>
        <v/>
      </c>
      <c r="M1163" s="82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1">
        <f>IF(OR($C1163="",$H1163="",$J1163=""),0,IF(ROUND(($J1163-$H1163)*1440,0)&gt;設定!$C$42,ROUND(($J1163-$H1163)*1440,0),0))</f>
        <v/>
      </c>
      <c r="P1163" s="81">
        <f>IF(OR($C1163="",$I1163="",$K1163=""),0,IF(ROUND(($I1163-$K1163)*1440,0)&gt;設定!$C$42,ROUND(($I1163-$K1163)*1440,0),0))</f>
        <v/>
      </c>
      <c r="Q1163" s="82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79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0">
        <f>IF($G1164="","",IFERROR(INDEX(設定!$D$6:$D$18,MATCH($G1164,設定!$B$6:$B$18,0)),""))</f>
        <v/>
      </c>
      <c r="I1164" s="80">
        <f>IF($G1164="","",IFERROR(INDEX(設定!$E$6:$E$18,MATCH($G1164,設定!$B$6:$B$18,0)),""))</f>
        <v/>
      </c>
      <c r="J1164" s="80">
        <f>IFERROR(INDEX(打卡匯入!$C$3:$C$2002,MATCH($C1164&amp;"|"&amp;DAY($A1164),打卡匯入!$E$3:$E$2002,0)),"")</f>
        <v/>
      </c>
      <c r="K1164" s="80">
        <f>IFERROR(INDEX(打卡匯入!$D$3:$D$2002,MATCH($C1164&amp;"|"&amp;DAY($A1164),打卡匯入!$E$3:$E$2002,0)),"")</f>
        <v/>
      </c>
      <c r="L1164" s="81">
        <f>IF(OR($J1164="",$K1164=""),"",IFERROR(INDEX(設定!$F$6:$F$18,MATCH($G1164,設定!$B$6:$B$18,0)),0))</f>
        <v/>
      </c>
      <c r="M1164" s="82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1">
        <f>IF(OR($C1164="",$H1164="",$J1164=""),0,IF(ROUND(($J1164-$H1164)*1440,0)&gt;設定!$C$42,ROUND(($J1164-$H1164)*1440,0),0))</f>
        <v/>
      </c>
      <c r="P1164" s="81">
        <f>IF(OR($C1164="",$I1164="",$K1164=""),0,IF(ROUND(($I1164-$K1164)*1440,0)&gt;設定!$C$42,ROUND(($I1164-$K1164)*1440,0),0))</f>
        <v/>
      </c>
      <c r="Q1164" s="82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79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0">
        <f>IF($G1165="","",IFERROR(INDEX(設定!$D$6:$D$18,MATCH($G1165,設定!$B$6:$B$18,0)),""))</f>
        <v/>
      </c>
      <c r="I1165" s="80">
        <f>IF($G1165="","",IFERROR(INDEX(設定!$E$6:$E$18,MATCH($G1165,設定!$B$6:$B$18,0)),""))</f>
        <v/>
      </c>
      <c r="J1165" s="80">
        <f>IFERROR(INDEX(打卡匯入!$C$3:$C$2002,MATCH($C1165&amp;"|"&amp;DAY($A1165),打卡匯入!$E$3:$E$2002,0)),"")</f>
        <v/>
      </c>
      <c r="K1165" s="80">
        <f>IFERROR(INDEX(打卡匯入!$D$3:$D$2002,MATCH($C1165&amp;"|"&amp;DAY($A1165),打卡匯入!$E$3:$E$2002,0)),"")</f>
        <v/>
      </c>
      <c r="L1165" s="81">
        <f>IF(OR($J1165="",$K1165=""),"",IFERROR(INDEX(設定!$F$6:$F$18,MATCH($G1165,設定!$B$6:$B$18,0)),0))</f>
        <v/>
      </c>
      <c r="M1165" s="82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1">
        <f>IF(OR($C1165="",$H1165="",$J1165=""),0,IF(ROUND(($J1165-$H1165)*1440,0)&gt;設定!$C$42,ROUND(($J1165-$H1165)*1440,0),0))</f>
        <v/>
      </c>
      <c r="P1165" s="81">
        <f>IF(OR($C1165="",$I1165="",$K1165=""),0,IF(ROUND(($I1165-$K1165)*1440,0)&gt;設定!$C$42,ROUND(($I1165-$K1165)*1440,0),0))</f>
        <v/>
      </c>
      <c r="Q1165" s="82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79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0">
        <f>IF($G1166="","",IFERROR(INDEX(設定!$D$6:$D$18,MATCH($G1166,設定!$B$6:$B$18,0)),""))</f>
        <v/>
      </c>
      <c r="I1166" s="80">
        <f>IF($G1166="","",IFERROR(INDEX(設定!$E$6:$E$18,MATCH($G1166,設定!$B$6:$B$18,0)),""))</f>
        <v/>
      </c>
      <c r="J1166" s="80">
        <f>IFERROR(INDEX(打卡匯入!$C$3:$C$2002,MATCH($C1166&amp;"|"&amp;DAY($A1166),打卡匯入!$E$3:$E$2002,0)),"")</f>
        <v/>
      </c>
      <c r="K1166" s="80">
        <f>IFERROR(INDEX(打卡匯入!$D$3:$D$2002,MATCH($C1166&amp;"|"&amp;DAY($A1166),打卡匯入!$E$3:$E$2002,0)),"")</f>
        <v/>
      </c>
      <c r="L1166" s="81">
        <f>IF(OR($J1166="",$K1166=""),"",IFERROR(INDEX(設定!$F$6:$F$18,MATCH($G1166,設定!$B$6:$B$18,0)),0))</f>
        <v/>
      </c>
      <c r="M1166" s="82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1">
        <f>IF(OR($C1166="",$H1166="",$J1166=""),0,IF(ROUND(($J1166-$H1166)*1440,0)&gt;設定!$C$42,ROUND(($J1166-$H1166)*1440,0),0))</f>
        <v/>
      </c>
      <c r="P1166" s="81">
        <f>IF(OR($C1166="",$I1166="",$K1166=""),0,IF(ROUND(($I1166-$K1166)*1440,0)&gt;設定!$C$42,ROUND(($I1166-$K1166)*1440,0),0))</f>
        <v/>
      </c>
      <c r="Q1166" s="82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79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0">
        <f>IF($G1167="","",IFERROR(INDEX(設定!$D$6:$D$18,MATCH($G1167,設定!$B$6:$B$18,0)),""))</f>
        <v/>
      </c>
      <c r="I1167" s="80">
        <f>IF($G1167="","",IFERROR(INDEX(設定!$E$6:$E$18,MATCH($G1167,設定!$B$6:$B$18,0)),""))</f>
        <v/>
      </c>
      <c r="J1167" s="80">
        <f>IFERROR(INDEX(打卡匯入!$C$3:$C$2002,MATCH($C1167&amp;"|"&amp;DAY($A1167),打卡匯入!$E$3:$E$2002,0)),"")</f>
        <v/>
      </c>
      <c r="K1167" s="80">
        <f>IFERROR(INDEX(打卡匯入!$D$3:$D$2002,MATCH($C1167&amp;"|"&amp;DAY($A1167),打卡匯入!$E$3:$E$2002,0)),"")</f>
        <v/>
      </c>
      <c r="L1167" s="81">
        <f>IF(OR($J1167="",$K1167=""),"",IFERROR(INDEX(設定!$F$6:$F$18,MATCH($G1167,設定!$B$6:$B$18,0)),0))</f>
        <v/>
      </c>
      <c r="M1167" s="82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1">
        <f>IF(OR($C1167="",$H1167="",$J1167=""),0,IF(ROUND(($J1167-$H1167)*1440,0)&gt;設定!$C$42,ROUND(($J1167-$H1167)*1440,0),0))</f>
        <v/>
      </c>
      <c r="P1167" s="81">
        <f>IF(OR($C1167="",$I1167="",$K1167=""),0,IF(ROUND(($I1167-$K1167)*1440,0)&gt;設定!$C$42,ROUND(($I1167-$K1167)*1440,0),0))</f>
        <v/>
      </c>
      <c r="Q1167" s="82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79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0">
        <f>IF($G1168="","",IFERROR(INDEX(設定!$D$6:$D$18,MATCH($G1168,設定!$B$6:$B$18,0)),""))</f>
        <v/>
      </c>
      <c r="I1168" s="80">
        <f>IF($G1168="","",IFERROR(INDEX(設定!$E$6:$E$18,MATCH($G1168,設定!$B$6:$B$18,0)),""))</f>
        <v/>
      </c>
      <c r="J1168" s="80">
        <f>IFERROR(INDEX(打卡匯入!$C$3:$C$2002,MATCH($C1168&amp;"|"&amp;DAY($A1168),打卡匯入!$E$3:$E$2002,0)),"")</f>
        <v/>
      </c>
      <c r="K1168" s="80">
        <f>IFERROR(INDEX(打卡匯入!$D$3:$D$2002,MATCH($C1168&amp;"|"&amp;DAY($A1168),打卡匯入!$E$3:$E$2002,0)),"")</f>
        <v/>
      </c>
      <c r="L1168" s="81">
        <f>IF(OR($J1168="",$K1168=""),"",IFERROR(INDEX(設定!$F$6:$F$18,MATCH($G1168,設定!$B$6:$B$18,0)),0))</f>
        <v/>
      </c>
      <c r="M1168" s="82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1">
        <f>IF(OR($C1168="",$H1168="",$J1168=""),0,IF(ROUND(($J1168-$H1168)*1440,0)&gt;設定!$C$42,ROUND(($J1168-$H1168)*1440,0),0))</f>
        <v/>
      </c>
      <c r="P1168" s="81">
        <f>IF(OR($C1168="",$I1168="",$K1168=""),0,IF(ROUND(($I1168-$K1168)*1440,0)&gt;設定!$C$42,ROUND(($I1168-$K1168)*1440,0),0))</f>
        <v/>
      </c>
      <c r="Q1168" s="82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79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0">
        <f>IF($G1169="","",IFERROR(INDEX(設定!$D$6:$D$18,MATCH($G1169,設定!$B$6:$B$18,0)),""))</f>
        <v/>
      </c>
      <c r="I1169" s="80">
        <f>IF($G1169="","",IFERROR(INDEX(設定!$E$6:$E$18,MATCH($G1169,設定!$B$6:$B$18,0)),""))</f>
        <v/>
      </c>
      <c r="J1169" s="80">
        <f>IFERROR(INDEX(打卡匯入!$C$3:$C$2002,MATCH($C1169&amp;"|"&amp;DAY($A1169),打卡匯入!$E$3:$E$2002,0)),"")</f>
        <v/>
      </c>
      <c r="K1169" s="80">
        <f>IFERROR(INDEX(打卡匯入!$D$3:$D$2002,MATCH($C1169&amp;"|"&amp;DAY($A1169),打卡匯入!$E$3:$E$2002,0)),"")</f>
        <v/>
      </c>
      <c r="L1169" s="81">
        <f>IF(OR($J1169="",$K1169=""),"",IFERROR(INDEX(設定!$F$6:$F$18,MATCH($G1169,設定!$B$6:$B$18,0)),0))</f>
        <v/>
      </c>
      <c r="M1169" s="82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1">
        <f>IF(OR($C1169="",$H1169="",$J1169=""),0,IF(ROUND(($J1169-$H1169)*1440,0)&gt;設定!$C$42,ROUND(($J1169-$H1169)*1440,0),0))</f>
        <v/>
      </c>
      <c r="P1169" s="81">
        <f>IF(OR($C1169="",$I1169="",$K1169=""),0,IF(ROUND(($I1169-$K1169)*1440,0)&gt;設定!$C$42,ROUND(($I1169-$K1169)*1440,0),0))</f>
        <v/>
      </c>
      <c r="Q1169" s="82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79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0">
        <f>IF($G1170="","",IFERROR(INDEX(設定!$D$6:$D$18,MATCH($G1170,設定!$B$6:$B$18,0)),""))</f>
        <v/>
      </c>
      <c r="I1170" s="80">
        <f>IF($G1170="","",IFERROR(INDEX(設定!$E$6:$E$18,MATCH($G1170,設定!$B$6:$B$18,0)),""))</f>
        <v/>
      </c>
      <c r="J1170" s="80">
        <f>IFERROR(INDEX(打卡匯入!$C$3:$C$2002,MATCH($C1170&amp;"|"&amp;DAY($A1170),打卡匯入!$E$3:$E$2002,0)),"")</f>
        <v/>
      </c>
      <c r="K1170" s="80">
        <f>IFERROR(INDEX(打卡匯入!$D$3:$D$2002,MATCH($C1170&amp;"|"&amp;DAY($A1170),打卡匯入!$E$3:$E$2002,0)),"")</f>
        <v/>
      </c>
      <c r="L1170" s="81">
        <f>IF(OR($J1170="",$K1170=""),"",IFERROR(INDEX(設定!$F$6:$F$18,MATCH($G1170,設定!$B$6:$B$18,0)),0))</f>
        <v/>
      </c>
      <c r="M1170" s="82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1">
        <f>IF(OR($C1170="",$H1170="",$J1170=""),0,IF(ROUND(($J1170-$H1170)*1440,0)&gt;設定!$C$42,ROUND(($J1170-$H1170)*1440,0),0))</f>
        <v/>
      </c>
      <c r="P1170" s="81">
        <f>IF(OR($C1170="",$I1170="",$K1170=""),0,IF(ROUND(($I1170-$K1170)*1440,0)&gt;設定!$C$42,ROUND(($I1170-$K1170)*1440,0),0))</f>
        <v/>
      </c>
      <c r="Q1170" s="82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79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0">
        <f>IF($G1171="","",IFERROR(INDEX(設定!$D$6:$D$18,MATCH($G1171,設定!$B$6:$B$18,0)),""))</f>
        <v/>
      </c>
      <c r="I1171" s="80">
        <f>IF($G1171="","",IFERROR(INDEX(設定!$E$6:$E$18,MATCH($G1171,設定!$B$6:$B$18,0)),""))</f>
        <v/>
      </c>
      <c r="J1171" s="80">
        <f>IFERROR(INDEX(打卡匯入!$C$3:$C$2002,MATCH($C1171&amp;"|"&amp;DAY($A1171),打卡匯入!$E$3:$E$2002,0)),"")</f>
        <v/>
      </c>
      <c r="K1171" s="80">
        <f>IFERROR(INDEX(打卡匯入!$D$3:$D$2002,MATCH($C1171&amp;"|"&amp;DAY($A1171),打卡匯入!$E$3:$E$2002,0)),"")</f>
        <v/>
      </c>
      <c r="L1171" s="81">
        <f>IF(OR($J1171="",$K1171=""),"",IFERROR(INDEX(設定!$F$6:$F$18,MATCH($G1171,設定!$B$6:$B$18,0)),0))</f>
        <v/>
      </c>
      <c r="M1171" s="82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1">
        <f>IF(OR($C1171="",$H1171="",$J1171=""),0,IF(ROUND(($J1171-$H1171)*1440,0)&gt;設定!$C$42,ROUND(($J1171-$H1171)*1440,0),0))</f>
        <v/>
      </c>
      <c r="P1171" s="81">
        <f>IF(OR($C1171="",$I1171="",$K1171=""),0,IF(ROUND(($I1171-$K1171)*1440,0)&gt;設定!$C$42,ROUND(($I1171-$K1171)*1440,0),0))</f>
        <v/>
      </c>
      <c r="Q1171" s="82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79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0">
        <f>IF($G1172="","",IFERROR(INDEX(設定!$D$6:$D$18,MATCH($G1172,設定!$B$6:$B$18,0)),""))</f>
        <v/>
      </c>
      <c r="I1172" s="80">
        <f>IF($G1172="","",IFERROR(INDEX(設定!$E$6:$E$18,MATCH($G1172,設定!$B$6:$B$18,0)),""))</f>
        <v/>
      </c>
      <c r="J1172" s="80">
        <f>IFERROR(INDEX(打卡匯入!$C$3:$C$2002,MATCH($C1172&amp;"|"&amp;DAY($A1172),打卡匯入!$E$3:$E$2002,0)),"")</f>
        <v/>
      </c>
      <c r="K1172" s="80">
        <f>IFERROR(INDEX(打卡匯入!$D$3:$D$2002,MATCH($C1172&amp;"|"&amp;DAY($A1172),打卡匯入!$E$3:$E$2002,0)),"")</f>
        <v/>
      </c>
      <c r="L1172" s="81">
        <f>IF(OR($J1172="",$K1172=""),"",IFERROR(INDEX(設定!$F$6:$F$18,MATCH($G1172,設定!$B$6:$B$18,0)),0))</f>
        <v/>
      </c>
      <c r="M1172" s="82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1">
        <f>IF(OR($C1172="",$H1172="",$J1172=""),0,IF(ROUND(($J1172-$H1172)*1440,0)&gt;設定!$C$42,ROUND(($J1172-$H1172)*1440,0),0))</f>
        <v/>
      </c>
      <c r="P1172" s="81">
        <f>IF(OR($C1172="",$I1172="",$K1172=""),0,IF(ROUND(($I1172-$K1172)*1440,0)&gt;設定!$C$42,ROUND(($I1172-$K1172)*1440,0),0))</f>
        <v/>
      </c>
      <c r="Q1172" s="82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79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0">
        <f>IF($G1173="","",IFERROR(INDEX(設定!$D$6:$D$18,MATCH($G1173,設定!$B$6:$B$18,0)),""))</f>
        <v/>
      </c>
      <c r="I1173" s="80">
        <f>IF($G1173="","",IFERROR(INDEX(設定!$E$6:$E$18,MATCH($G1173,設定!$B$6:$B$18,0)),""))</f>
        <v/>
      </c>
      <c r="J1173" s="80">
        <f>IFERROR(INDEX(打卡匯入!$C$3:$C$2002,MATCH($C1173&amp;"|"&amp;DAY($A1173),打卡匯入!$E$3:$E$2002,0)),"")</f>
        <v/>
      </c>
      <c r="K1173" s="80">
        <f>IFERROR(INDEX(打卡匯入!$D$3:$D$2002,MATCH($C1173&amp;"|"&amp;DAY($A1173),打卡匯入!$E$3:$E$2002,0)),"")</f>
        <v/>
      </c>
      <c r="L1173" s="81">
        <f>IF(OR($J1173="",$K1173=""),"",IFERROR(INDEX(設定!$F$6:$F$18,MATCH($G1173,設定!$B$6:$B$18,0)),0))</f>
        <v/>
      </c>
      <c r="M1173" s="82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1">
        <f>IF(OR($C1173="",$H1173="",$J1173=""),0,IF(ROUND(($J1173-$H1173)*1440,0)&gt;設定!$C$42,ROUND(($J1173-$H1173)*1440,0),0))</f>
        <v/>
      </c>
      <c r="P1173" s="81">
        <f>IF(OR($C1173="",$I1173="",$K1173=""),0,IF(ROUND(($I1173-$K1173)*1440,0)&gt;設定!$C$42,ROUND(($I1173-$K1173)*1440,0),0))</f>
        <v/>
      </c>
      <c r="Q1173" s="82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79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0">
        <f>IF($G1174="","",IFERROR(INDEX(設定!$D$6:$D$18,MATCH($G1174,設定!$B$6:$B$18,0)),""))</f>
        <v/>
      </c>
      <c r="I1174" s="80">
        <f>IF($G1174="","",IFERROR(INDEX(設定!$E$6:$E$18,MATCH($G1174,設定!$B$6:$B$18,0)),""))</f>
        <v/>
      </c>
      <c r="J1174" s="80">
        <f>IFERROR(INDEX(打卡匯入!$C$3:$C$2002,MATCH($C1174&amp;"|"&amp;DAY($A1174),打卡匯入!$E$3:$E$2002,0)),"")</f>
        <v/>
      </c>
      <c r="K1174" s="80">
        <f>IFERROR(INDEX(打卡匯入!$D$3:$D$2002,MATCH($C1174&amp;"|"&amp;DAY($A1174),打卡匯入!$E$3:$E$2002,0)),"")</f>
        <v/>
      </c>
      <c r="L1174" s="81">
        <f>IF(OR($J1174="",$K1174=""),"",IFERROR(INDEX(設定!$F$6:$F$18,MATCH($G1174,設定!$B$6:$B$18,0)),0))</f>
        <v/>
      </c>
      <c r="M1174" s="82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1">
        <f>IF(OR($C1174="",$H1174="",$J1174=""),0,IF(ROUND(($J1174-$H1174)*1440,0)&gt;設定!$C$42,ROUND(($J1174-$H1174)*1440,0),0))</f>
        <v/>
      </c>
      <c r="P1174" s="81">
        <f>IF(OR($C1174="",$I1174="",$K1174=""),0,IF(ROUND(($I1174-$K1174)*1440,0)&gt;設定!$C$42,ROUND(($I1174-$K1174)*1440,0),0))</f>
        <v/>
      </c>
      <c r="Q1174" s="82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79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0">
        <f>IF($G1175="","",IFERROR(INDEX(設定!$D$6:$D$18,MATCH($G1175,設定!$B$6:$B$18,0)),""))</f>
        <v/>
      </c>
      <c r="I1175" s="80">
        <f>IF($G1175="","",IFERROR(INDEX(設定!$E$6:$E$18,MATCH($G1175,設定!$B$6:$B$18,0)),""))</f>
        <v/>
      </c>
      <c r="J1175" s="80">
        <f>IFERROR(INDEX(打卡匯入!$C$3:$C$2002,MATCH($C1175&amp;"|"&amp;DAY($A1175),打卡匯入!$E$3:$E$2002,0)),"")</f>
        <v/>
      </c>
      <c r="K1175" s="80">
        <f>IFERROR(INDEX(打卡匯入!$D$3:$D$2002,MATCH($C1175&amp;"|"&amp;DAY($A1175),打卡匯入!$E$3:$E$2002,0)),"")</f>
        <v/>
      </c>
      <c r="L1175" s="81">
        <f>IF(OR($J1175="",$K1175=""),"",IFERROR(INDEX(設定!$F$6:$F$18,MATCH($G1175,設定!$B$6:$B$18,0)),0))</f>
        <v/>
      </c>
      <c r="M1175" s="82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1">
        <f>IF(OR($C1175="",$H1175="",$J1175=""),0,IF(ROUND(($J1175-$H1175)*1440,0)&gt;設定!$C$42,ROUND(($J1175-$H1175)*1440,0),0))</f>
        <v/>
      </c>
      <c r="P1175" s="81">
        <f>IF(OR($C1175="",$I1175="",$K1175=""),0,IF(ROUND(($I1175-$K1175)*1440,0)&gt;設定!$C$42,ROUND(($I1175-$K1175)*1440,0),0))</f>
        <v/>
      </c>
      <c r="Q1175" s="82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79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0">
        <f>IF($G1176="","",IFERROR(INDEX(設定!$D$6:$D$18,MATCH($G1176,設定!$B$6:$B$18,0)),""))</f>
        <v/>
      </c>
      <c r="I1176" s="80">
        <f>IF($G1176="","",IFERROR(INDEX(設定!$E$6:$E$18,MATCH($G1176,設定!$B$6:$B$18,0)),""))</f>
        <v/>
      </c>
      <c r="J1176" s="80">
        <f>IFERROR(INDEX(打卡匯入!$C$3:$C$2002,MATCH($C1176&amp;"|"&amp;DAY($A1176),打卡匯入!$E$3:$E$2002,0)),"")</f>
        <v/>
      </c>
      <c r="K1176" s="80">
        <f>IFERROR(INDEX(打卡匯入!$D$3:$D$2002,MATCH($C1176&amp;"|"&amp;DAY($A1176),打卡匯入!$E$3:$E$2002,0)),"")</f>
        <v/>
      </c>
      <c r="L1176" s="81">
        <f>IF(OR($J1176="",$K1176=""),"",IFERROR(INDEX(設定!$F$6:$F$18,MATCH($G1176,設定!$B$6:$B$18,0)),0))</f>
        <v/>
      </c>
      <c r="M1176" s="82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1">
        <f>IF(OR($C1176="",$H1176="",$J1176=""),0,IF(ROUND(($J1176-$H1176)*1440,0)&gt;設定!$C$42,ROUND(($J1176-$H1176)*1440,0),0))</f>
        <v/>
      </c>
      <c r="P1176" s="81">
        <f>IF(OR($C1176="",$I1176="",$K1176=""),0,IF(ROUND(($I1176-$K1176)*1440,0)&gt;設定!$C$42,ROUND(($I1176-$K1176)*1440,0),0))</f>
        <v/>
      </c>
      <c r="Q1176" s="82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79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0">
        <f>IF($G1177="","",IFERROR(INDEX(設定!$D$6:$D$18,MATCH($G1177,設定!$B$6:$B$18,0)),""))</f>
        <v/>
      </c>
      <c r="I1177" s="80">
        <f>IF($G1177="","",IFERROR(INDEX(設定!$E$6:$E$18,MATCH($G1177,設定!$B$6:$B$18,0)),""))</f>
        <v/>
      </c>
      <c r="J1177" s="80">
        <f>IFERROR(INDEX(打卡匯入!$C$3:$C$2002,MATCH($C1177&amp;"|"&amp;DAY($A1177),打卡匯入!$E$3:$E$2002,0)),"")</f>
        <v/>
      </c>
      <c r="K1177" s="80">
        <f>IFERROR(INDEX(打卡匯入!$D$3:$D$2002,MATCH($C1177&amp;"|"&amp;DAY($A1177),打卡匯入!$E$3:$E$2002,0)),"")</f>
        <v/>
      </c>
      <c r="L1177" s="81">
        <f>IF(OR($J1177="",$K1177=""),"",IFERROR(INDEX(設定!$F$6:$F$18,MATCH($G1177,設定!$B$6:$B$18,0)),0))</f>
        <v/>
      </c>
      <c r="M1177" s="82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1">
        <f>IF(OR($C1177="",$H1177="",$J1177=""),0,IF(ROUND(($J1177-$H1177)*1440,0)&gt;設定!$C$42,ROUND(($J1177-$H1177)*1440,0),0))</f>
        <v/>
      </c>
      <c r="P1177" s="81">
        <f>IF(OR($C1177="",$I1177="",$K1177=""),0,IF(ROUND(($I1177-$K1177)*1440,0)&gt;設定!$C$42,ROUND(($I1177-$K1177)*1440,0),0))</f>
        <v/>
      </c>
      <c r="Q1177" s="82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79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0">
        <f>IF($G1178="","",IFERROR(INDEX(設定!$D$6:$D$18,MATCH($G1178,設定!$B$6:$B$18,0)),""))</f>
        <v/>
      </c>
      <c r="I1178" s="80">
        <f>IF($G1178="","",IFERROR(INDEX(設定!$E$6:$E$18,MATCH($G1178,設定!$B$6:$B$18,0)),""))</f>
        <v/>
      </c>
      <c r="J1178" s="80">
        <f>IFERROR(INDEX(打卡匯入!$C$3:$C$2002,MATCH($C1178&amp;"|"&amp;DAY($A1178),打卡匯入!$E$3:$E$2002,0)),"")</f>
        <v/>
      </c>
      <c r="K1178" s="80">
        <f>IFERROR(INDEX(打卡匯入!$D$3:$D$2002,MATCH($C1178&amp;"|"&amp;DAY($A1178),打卡匯入!$E$3:$E$2002,0)),"")</f>
        <v/>
      </c>
      <c r="L1178" s="81">
        <f>IF(OR($J1178="",$K1178=""),"",IFERROR(INDEX(設定!$F$6:$F$18,MATCH($G1178,設定!$B$6:$B$18,0)),0))</f>
        <v/>
      </c>
      <c r="M1178" s="82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1">
        <f>IF(OR($C1178="",$H1178="",$J1178=""),0,IF(ROUND(($J1178-$H1178)*1440,0)&gt;設定!$C$42,ROUND(($J1178-$H1178)*1440,0),0))</f>
        <v/>
      </c>
      <c r="P1178" s="81">
        <f>IF(OR($C1178="",$I1178="",$K1178=""),0,IF(ROUND(($I1178-$K1178)*1440,0)&gt;設定!$C$42,ROUND(($I1178-$K1178)*1440,0),0))</f>
        <v/>
      </c>
      <c r="Q1178" s="82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79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0">
        <f>IF($G1179="","",IFERROR(INDEX(設定!$D$6:$D$18,MATCH($G1179,設定!$B$6:$B$18,0)),""))</f>
        <v/>
      </c>
      <c r="I1179" s="80">
        <f>IF($G1179="","",IFERROR(INDEX(設定!$E$6:$E$18,MATCH($G1179,設定!$B$6:$B$18,0)),""))</f>
        <v/>
      </c>
      <c r="J1179" s="80">
        <f>IFERROR(INDEX(打卡匯入!$C$3:$C$2002,MATCH($C1179&amp;"|"&amp;DAY($A1179),打卡匯入!$E$3:$E$2002,0)),"")</f>
        <v/>
      </c>
      <c r="K1179" s="80">
        <f>IFERROR(INDEX(打卡匯入!$D$3:$D$2002,MATCH($C1179&amp;"|"&amp;DAY($A1179),打卡匯入!$E$3:$E$2002,0)),"")</f>
        <v/>
      </c>
      <c r="L1179" s="81">
        <f>IF(OR($J1179="",$K1179=""),"",IFERROR(INDEX(設定!$F$6:$F$18,MATCH($G1179,設定!$B$6:$B$18,0)),0))</f>
        <v/>
      </c>
      <c r="M1179" s="82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1">
        <f>IF(OR($C1179="",$H1179="",$J1179=""),0,IF(ROUND(($J1179-$H1179)*1440,0)&gt;設定!$C$42,ROUND(($J1179-$H1179)*1440,0),0))</f>
        <v/>
      </c>
      <c r="P1179" s="81">
        <f>IF(OR($C1179="",$I1179="",$K1179=""),0,IF(ROUND(($I1179-$K1179)*1440,0)&gt;設定!$C$42,ROUND(($I1179-$K1179)*1440,0),0))</f>
        <v/>
      </c>
      <c r="Q1179" s="82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79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0">
        <f>IF($G1180="","",IFERROR(INDEX(設定!$D$6:$D$18,MATCH($G1180,設定!$B$6:$B$18,0)),""))</f>
        <v/>
      </c>
      <c r="I1180" s="80">
        <f>IF($G1180="","",IFERROR(INDEX(設定!$E$6:$E$18,MATCH($G1180,設定!$B$6:$B$18,0)),""))</f>
        <v/>
      </c>
      <c r="J1180" s="80">
        <f>IFERROR(INDEX(打卡匯入!$C$3:$C$2002,MATCH($C1180&amp;"|"&amp;DAY($A1180),打卡匯入!$E$3:$E$2002,0)),"")</f>
        <v/>
      </c>
      <c r="K1180" s="80">
        <f>IFERROR(INDEX(打卡匯入!$D$3:$D$2002,MATCH($C1180&amp;"|"&amp;DAY($A1180),打卡匯入!$E$3:$E$2002,0)),"")</f>
        <v/>
      </c>
      <c r="L1180" s="81">
        <f>IF(OR($J1180="",$K1180=""),"",IFERROR(INDEX(設定!$F$6:$F$18,MATCH($G1180,設定!$B$6:$B$18,0)),0))</f>
        <v/>
      </c>
      <c r="M1180" s="82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1">
        <f>IF(OR($C1180="",$H1180="",$J1180=""),0,IF(ROUND(($J1180-$H1180)*1440,0)&gt;設定!$C$42,ROUND(($J1180-$H1180)*1440,0),0))</f>
        <v/>
      </c>
      <c r="P1180" s="81">
        <f>IF(OR($C1180="",$I1180="",$K1180=""),0,IF(ROUND(($I1180-$K1180)*1440,0)&gt;設定!$C$42,ROUND(($I1180-$K1180)*1440,0),0))</f>
        <v/>
      </c>
      <c r="Q1180" s="82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79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0">
        <f>IF($G1181="","",IFERROR(INDEX(設定!$D$6:$D$18,MATCH($G1181,設定!$B$6:$B$18,0)),""))</f>
        <v/>
      </c>
      <c r="I1181" s="80">
        <f>IF($G1181="","",IFERROR(INDEX(設定!$E$6:$E$18,MATCH($G1181,設定!$B$6:$B$18,0)),""))</f>
        <v/>
      </c>
      <c r="J1181" s="80">
        <f>IFERROR(INDEX(打卡匯入!$C$3:$C$2002,MATCH($C1181&amp;"|"&amp;DAY($A1181),打卡匯入!$E$3:$E$2002,0)),"")</f>
        <v/>
      </c>
      <c r="K1181" s="80">
        <f>IFERROR(INDEX(打卡匯入!$D$3:$D$2002,MATCH($C1181&amp;"|"&amp;DAY($A1181),打卡匯入!$E$3:$E$2002,0)),"")</f>
        <v/>
      </c>
      <c r="L1181" s="81">
        <f>IF(OR($J1181="",$K1181=""),"",IFERROR(INDEX(設定!$F$6:$F$18,MATCH($G1181,設定!$B$6:$B$18,0)),0))</f>
        <v/>
      </c>
      <c r="M1181" s="82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1">
        <f>IF(OR($C1181="",$H1181="",$J1181=""),0,IF(ROUND(($J1181-$H1181)*1440,0)&gt;設定!$C$42,ROUND(($J1181-$H1181)*1440,0),0))</f>
        <v/>
      </c>
      <c r="P1181" s="81">
        <f>IF(OR($C1181="",$I1181="",$K1181=""),0,IF(ROUND(($I1181-$K1181)*1440,0)&gt;設定!$C$42,ROUND(($I1181-$K1181)*1440,0),0))</f>
        <v/>
      </c>
      <c r="Q1181" s="82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79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0">
        <f>IF($G1182="","",IFERROR(INDEX(設定!$D$6:$D$18,MATCH($G1182,設定!$B$6:$B$18,0)),""))</f>
        <v/>
      </c>
      <c r="I1182" s="80">
        <f>IF($G1182="","",IFERROR(INDEX(設定!$E$6:$E$18,MATCH($G1182,設定!$B$6:$B$18,0)),""))</f>
        <v/>
      </c>
      <c r="J1182" s="80">
        <f>IFERROR(INDEX(打卡匯入!$C$3:$C$2002,MATCH($C1182&amp;"|"&amp;DAY($A1182),打卡匯入!$E$3:$E$2002,0)),"")</f>
        <v/>
      </c>
      <c r="K1182" s="80">
        <f>IFERROR(INDEX(打卡匯入!$D$3:$D$2002,MATCH($C1182&amp;"|"&amp;DAY($A1182),打卡匯入!$E$3:$E$2002,0)),"")</f>
        <v/>
      </c>
      <c r="L1182" s="81">
        <f>IF(OR($J1182="",$K1182=""),"",IFERROR(INDEX(設定!$F$6:$F$18,MATCH($G1182,設定!$B$6:$B$18,0)),0))</f>
        <v/>
      </c>
      <c r="M1182" s="82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1">
        <f>IF(OR($C1182="",$H1182="",$J1182=""),0,IF(ROUND(($J1182-$H1182)*1440,0)&gt;設定!$C$42,ROUND(($J1182-$H1182)*1440,0),0))</f>
        <v/>
      </c>
      <c r="P1182" s="81">
        <f>IF(OR($C1182="",$I1182="",$K1182=""),0,IF(ROUND(($I1182-$K1182)*1440,0)&gt;設定!$C$42,ROUND(($I1182-$K1182)*1440,0),0))</f>
        <v/>
      </c>
      <c r="Q1182" s="82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79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0">
        <f>IF($G1183="","",IFERROR(INDEX(設定!$D$6:$D$18,MATCH($G1183,設定!$B$6:$B$18,0)),""))</f>
        <v/>
      </c>
      <c r="I1183" s="80">
        <f>IF($G1183="","",IFERROR(INDEX(設定!$E$6:$E$18,MATCH($G1183,設定!$B$6:$B$18,0)),""))</f>
        <v/>
      </c>
      <c r="J1183" s="80">
        <f>IFERROR(INDEX(打卡匯入!$C$3:$C$2002,MATCH($C1183&amp;"|"&amp;DAY($A1183),打卡匯入!$E$3:$E$2002,0)),"")</f>
        <v/>
      </c>
      <c r="K1183" s="80">
        <f>IFERROR(INDEX(打卡匯入!$D$3:$D$2002,MATCH($C1183&amp;"|"&amp;DAY($A1183),打卡匯入!$E$3:$E$2002,0)),"")</f>
        <v/>
      </c>
      <c r="L1183" s="81">
        <f>IF(OR($J1183="",$K1183=""),"",IFERROR(INDEX(設定!$F$6:$F$18,MATCH($G1183,設定!$B$6:$B$18,0)),0))</f>
        <v/>
      </c>
      <c r="M1183" s="82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1">
        <f>IF(OR($C1183="",$H1183="",$J1183=""),0,IF(ROUND(($J1183-$H1183)*1440,0)&gt;設定!$C$42,ROUND(($J1183-$H1183)*1440,0),0))</f>
        <v/>
      </c>
      <c r="P1183" s="81">
        <f>IF(OR($C1183="",$I1183="",$K1183=""),0,IF(ROUND(($I1183-$K1183)*1440,0)&gt;設定!$C$42,ROUND(($I1183-$K1183)*1440,0),0))</f>
        <v/>
      </c>
      <c r="Q1183" s="82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79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0">
        <f>IF($G1184="","",IFERROR(INDEX(設定!$D$6:$D$18,MATCH($G1184,設定!$B$6:$B$18,0)),""))</f>
        <v/>
      </c>
      <c r="I1184" s="80">
        <f>IF($G1184="","",IFERROR(INDEX(設定!$E$6:$E$18,MATCH($G1184,設定!$B$6:$B$18,0)),""))</f>
        <v/>
      </c>
      <c r="J1184" s="80">
        <f>IFERROR(INDEX(打卡匯入!$C$3:$C$2002,MATCH($C1184&amp;"|"&amp;DAY($A1184),打卡匯入!$E$3:$E$2002,0)),"")</f>
        <v/>
      </c>
      <c r="K1184" s="80">
        <f>IFERROR(INDEX(打卡匯入!$D$3:$D$2002,MATCH($C1184&amp;"|"&amp;DAY($A1184),打卡匯入!$E$3:$E$2002,0)),"")</f>
        <v/>
      </c>
      <c r="L1184" s="81">
        <f>IF(OR($J1184="",$K1184=""),"",IFERROR(INDEX(設定!$F$6:$F$18,MATCH($G1184,設定!$B$6:$B$18,0)),0))</f>
        <v/>
      </c>
      <c r="M1184" s="82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1">
        <f>IF(OR($C1184="",$H1184="",$J1184=""),0,IF(ROUND(($J1184-$H1184)*1440,0)&gt;設定!$C$42,ROUND(($J1184-$H1184)*1440,0),0))</f>
        <v/>
      </c>
      <c r="P1184" s="81">
        <f>IF(OR($C1184="",$I1184="",$K1184=""),0,IF(ROUND(($I1184-$K1184)*1440,0)&gt;設定!$C$42,ROUND(($I1184-$K1184)*1440,0),0))</f>
        <v/>
      </c>
      <c r="Q1184" s="82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79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0">
        <f>IF($G1185="","",IFERROR(INDEX(設定!$D$6:$D$18,MATCH($G1185,設定!$B$6:$B$18,0)),""))</f>
        <v/>
      </c>
      <c r="I1185" s="80">
        <f>IF($G1185="","",IFERROR(INDEX(設定!$E$6:$E$18,MATCH($G1185,設定!$B$6:$B$18,0)),""))</f>
        <v/>
      </c>
      <c r="J1185" s="80">
        <f>IFERROR(INDEX(打卡匯入!$C$3:$C$2002,MATCH($C1185&amp;"|"&amp;DAY($A1185),打卡匯入!$E$3:$E$2002,0)),"")</f>
        <v/>
      </c>
      <c r="K1185" s="80">
        <f>IFERROR(INDEX(打卡匯入!$D$3:$D$2002,MATCH($C1185&amp;"|"&amp;DAY($A1185),打卡匯入!$E$3:$E$2002,0)),"")</f>
        <v/>
      </c>
      <c r="L1185" s="81">
        <f>IF(OR($J1185="",$K1185=""),"",IFERROR(INDEX(設定!$F$6:$F$18,MATCH($G1185,設定!$B$6:$B$18,0)),0))</f>
        <v/>
      </c>
      <c r="M1185" s="82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1">
        <f>IF(OR($C1185="",$H1185="",$J1185=""),0,IF(ROUND(($J1185-$H1185)*1440,0)&gt;設定!$C$42,ROUND(($J1185-$H1185)*1440,0),0))</f>
        <v/>
      </c>
      <c r="P1185" s="81">
        <f>IF(OR($C1185="",$I1185="",$K1185=""),0,IF(ROUND(($I1185-$K1185)*1440,0)&gt;設定!$C$42,ROUND(($I1185-$K1185)*1440,0),0))</f>
        <v/>
      </c>
      <c r="Q1185" s="82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79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0">
        <f>IF($G1186="","",IFERROR(INDEX(設定!$D$6:$D$18,MATCH($G1186,設定!$B$6:$B$18,0)),""))</f>
        <v/>
      </c>
      <c r="I1186" s="80">
        <f>IF($G1186="","",IFERROR(INDEX(設定!$E$6:$E$18,MATCH($G1186,設定!$B$6:$B$18,0)),""))</f>
        <v/>
      </c>
      <c r="J1186" s="80">
        <f>IFERROR(INDEX(打卡匯入!$C$3:$C$2002,MATCH($C1186&amp;"|"&amp;DAY($A1186),打卡匯入!$E$3:$E$2002,0)),"")</f>
        <v/>
      </c>
      <c r="K1186" s="80">
        <f>IFERROR(INDEX(打卡匯入!$D$3:$D$2002,MATCH($C1186&amp;"|"&amp;DAY($A1186),打卡匯入!$E$3:$E$2002,0)),"")</f>
        <v/>
      </c>
      <c r="L1186" s="81">
        <f>IF(OR($J1186="",$K1186=""),"",IFERROR(INDEX(設定!$F$6:$F$18,MATCH($G1186,設定!$B$6:$B$18,0)),0))</f>
        <v/>
      </c>
      <c r="M1186" s="82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1">
        <f>IF(OR($C1186="",$H1186="",$J1186=""),0,IF(ROUND(($J1186-$H1186)*1440,0)&gt;設定!$C$42,ROUND(($J1186-$H1186)*1440,0),0))</f>
        <v/>
      </c>
      <c r="P1186" s="81">
        <f>IF(OR($C1186="",$I1186="",$K1186=""),0,IF(ROUND(($I1186-$K1186)*1440,0)&gt;設定!$C$42,ROUND(($I1186-$K1186)*1440,0),0))</f>
        <v/>
      </c>
      <c r="Q1186" s="82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79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0">
        <f>IF($G1187="","",IFERROR(INDEX(設定!$D$6:$D$18,MATCH($G1187,設定!$B$6:$B$18,0)),""))</f>
        <v/>
      </c>
      <c r="I1187" s="80">
        <f>IF($G1187="","",IFERROR(INDEX(設定!$E$6:$E$18,MATCH($G1187,設定!$B$6:$B$18,0)),""))</f>
        <v/>
      </c>
      <c r="J1187" s="80">
        <f>IFERROR(INDEX(打卡匯入!$C$3:$C$2002,MATCH($C1187&amp;"|"&amp;DAY($A1187),打卡匯入!$E$3:$E$2002,0)),"")</f>
        <v/>
      </c>
      <c r="K1187" s="80">
        <f>IFERROR(INDEX(打卡匯入!$D$3:$D$2002,MATCH($C1187&amp;"|"&amp;DAY($A1187),打卡匯入!$E$3:$E$2002,0)),"")</f>
        <v/>
      </c>
      <c r="L1187" s="81">
        <f>IF(OR($J1187="",$K1187=""),"",IFERROR(INDEX(設定!$F$6:$F$18,MATCH($G1187,設定!$B$6:$B$18,0)),0))</f>
        <v/>
      </c>
      <c r="M1187" s="82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1">
        <f>IF(OR($C1187="",$H1187="",$J1187=""),0,IF(ROUND(($J1187-$H1187)*1440,0)&gt;設定!$C$42,ROUND(($J1187-$H1187)*1440,0),0))</f>
        <v/>
      </c>
      <c r="P1187" s="81">
        <f>IF(OR($C1187="",$I1187="",$K1187=""),0,IF(ROUND(($I1187-$K1187)*1440,0)&gt;設定!$C$42,ROUND(($I1187-$K1187)*1440,0),0))</f>
        <v/>
      </c>
      <c r="Q1187" s="82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79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0">
        <f>IF($G1188="","",IFERROR(INDEX(設定!$D$6:$D$18,MATCH($G1188,設定!$B$6:$B$18,0)),""))</f>
        <v/>
      </c>
      <c r="I1188" s="80">
        <f>IF($G1188="","",IFERROR(INDEX(設定!$E$6:$E$18,MATCH($G1188,設定!$B$6:$B$18,0)),""))</f>
        <v/>
      </c>
      <c r="J1188" s="80">
        <f>IFERROR(INDEX(打卡匯入!$C$3:$C$2002,MATCH($C1188&amp;"|"&amp;DAY($A1188),打卡匯入!$E$3:$E$2002,0)),"")</f>
        <v/>
      </c>
      <c r="K1188" s="80">
        <f>IFERROR(INDEX(打卡匯入!$D$3:$D$2002,MATCH($C1188&amp;"|"&amp;DAY($A1188),打卡匯入!$E$3:$E$2002,0)),"")</f>
        <v/>
      </c>
      <c r="L1188" s="81">
        <f>IF(OR($J1188="",$K1188=""),"",IFERROR(INDEX(設定!$F$6:$F$18,MATCH($G1188,設定!$B$6:$B$18,0)),0))</f>
        <v/>
      </c>
      <c r="M1188" s="82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1">
        <f>IF(OR($C1188="",$H1188="",$J1188=""),0,IF(ROUND(($J1188-$H1188)*1440,0)&gt;設定!$C$42,ROUND(($J1188-$H1188)*1440,0),0))</f>
        <v/>
      </c>
      <c r="P1188" s="81">
        <f>IF(OR($C1188="",$I1188="",$K1188=""),0,IF(ROUND(($I1188-$K1188)*1440,0)&gt;設定!$C$42,ROUND(($I1188-$K1188)*1440,0),0))</f>
        <v/>
      </c>
      <c r="Q1188" s="82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79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0">
        <f>IF($G1189="","",IFERROR(INDEX(設定!$D$6:$D$18,MATCH($G1189,設定!$B$6:$B$18,0)),""))</f>
        <v/>
      </c>
      <c r="I1189" s="80">
        <f>IF($G1189="","",IFERROR(INDEX(設定!$E$6:$E$18,MATCH($G1189,設定!$B$6:$B$18,0)),""))</f>
        <v/>
      </c>
      <c r="J1189" s="80">
        <f>IFERROR(INDEX(打卡匯入!$C$3:$C$2002,MATCH($C1189&amp;"|"&amp;DAY($A1189),打卡匯入!$E$3:$E$2002,0)),"")</f>
        <v/>
      </c>
      <c r="K1189" s="80">
        <f>IFERROR(INDEX(打卡匯入!$D$3:$D$2002,MATCH($C1189&amp;"|"&amp;DAY($A1189),打卡匯入!$E$3:$E$2002,0)),"")</f>
        <v/>
      </c>
      <c r="L1189" s="81">
        <f>IF(OR($J1189="",$K1189=""),"",IFERROR(INDEX(設定!$F$6:$F$18,MATCH($G1189,設定!$B$6:$B$18,0)),0))</f>
        <v/>
      </c>
      <c r="M1189" s="82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1">
        <f>IF(OR($C1189="",$H1189="",$J1189=""),0,IF(ROUND(($J1189-$H1189)*1440,0)&gt;設定!$C$42,ROUND(($J1189-$H1189)*1440,0),0))</f>
        <v/>
      </c>
      <c r="P1189" s="81">
        <f>IF(OR($C1189="",$I1189="",$K1189=""),0,IF(ROUND(($I1189-$K1189)*1440,0)&gt;設定!$C$42,ROUND(($I1189-$K1189)*1440,0),0))</f>
        <v/>
      </c>
      <c r="Q1189" s="82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79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0">
        <f>IF($G1190="","",IFERROR(INDEX(設定!$D$6:$D$18,MATCH($G1190,設定!$B$6:$B$18,0)),""))</f>
        <v/>
      </c>
      <c r="I1190" s="80">
        <f>IF($G1190="","",IFERROR(INDEX(設定!$E$6:$E$18,MATCH($G1190,設定!$B$6:$B$18,0)),""))</f>
        <v/>
      </c>
      <c r="J1190" s="80">
        <f>IFERROR(INDEX(打卡匯入!$C$3:$C$2002,MATCH($C1190&amp;"|"&amp;DAY($A1190),打卡匯入!$E$3:$E$2002,0)),"")</f>
        <v/>
      </c>
      <c r="K1190" s="80">
        <f>IFERROR(INDEX(打卡匯入!$D$3:$D$2002,MATCH($C1190&amp;"|"&amp;DAY($A1190),打卡匯入!$E$3:$E$2002,0)),"")</f>
        <v/>
      </c>
      <c r="L1190" s="81">
        <f>IF(OR($J1190="",$K1190=""),"",IFERROR(INDEX(設定!$F$6:$F$18,MATCH($G1190,設定!$B$6:$B$18,0)),0))</f>
        <v/>
      </c>
      <c r="M1190" s="82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1">
        <f>IF(OR($C1190="",$H1190="",$J1190=""),0,IF(ROUND(($J1190-$H1190)*1440,0)&gt;設定!$C$42,ROUND(($J1190-$H1190)*1440,0),0))</f>
        <v/>
      </c>
      <c r="P1190" s="81">
        <f>IF(OR($C1190="",$I1190="",$K1190=""),0,IF(ROUND(($I1190-$K1190)*1440,0)&gt;設定!$C$42,ROUND(($I1190-$K1190)*1440,0),0))</f>
        <v/>
      </c>
      <c r="Q1190" s="82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79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0">
        <f>IF($G1191="","",IFERROR(INDEX(設定!$D$6:$D$18,MATCH($G1191,設定!$B$6:$B$18,0)),""))</f>
        <v/>
      </c>
      <c r="I1191" s="80">
        <f>IF($G1191="","",IFERROR(INDEX(設定!$E$6:$E$18,MATCH($G1191,設定!$B$6:$B$18,0)),""))</f>
        <v/>
      </c>
      <c r="J1191" s="80">
        <f>IFERROR(INDEX(打卡匯入!$C$3:$C$2002,MATCH($C1191&amp;"|"&amp;DAY($A1191),打卡匯入!$E$3:$E$2002,0)),"")</f>
        <v/>
      </c>
      <c r="K1191" s="80">
        <f>IFERROR(INDEX(打卡匯入!$D$3:$D$2002,MATCH($C1191&amp;"|"&amp;DAY($A1191),打卡匯入!$E$3:$E$2002,0)),"")</f>
        <v/>
      </c>
      <c r="L1191" s="81">
        <f>IF(OR($J1191="",$K1191=""),"",IFERROR(INDEX(設定!$F$6:$F$18,MATCH($G1191,設定!$B$6:$B$18,0)),0))</f>
        <v/>
      </c>
      <c r="M1191" s="82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1">
        <f>IF(OR($C1191="",$H1191="",$J1191=""),0,IF(ROUND(($J1191-$H1191)*1440,0)&gt;設定!$C$42,ROUND(($J1191-$H1191)*1440,0),0))</f>
        <v/>
      </c>
      <c r="P1191" s="81">
        <f>IF(OR($C1191="",$I1191="",$K1191=""),0,IF(ROUND(($I1191-$K1191)*1440,0)&gt;設定!$C$42,ROUND(($I1191-$K1191)*1440,0),0))</f>
        <v/>
      </c>
      <c r="Q1191" s="82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79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0">
        <f>IF($G1192="","",IFERROR(INDEX(設定!$D$6:$D$18,MATCH($G1192,設定!$B$6:$B$18,0)),""))</f>
        <v/>
      </c>
      <c r="I1192" s="80">
        <f>IF($G1192="","",IFERROR(INDEX(設定!$E$6:$E$18,MATCH($G1192,設定!$B$6:$B$18,0)),""))</f>
        <v/>
      </c>
      <c r="J1192" s="80">
        <f>IFERROR(INDEX(打卡匯入!$C$3:$C$2002,MATCH($C1192&amp;"|"&amp;DAY($A1192),打卡匯入!$E$3:$E$2002,0)),"")</f>
        <v/>
      </c>
      <c r="K1192" s="80">
        <f>IFERROR(INDEX(打卡匯入!$D$3:$D$2002,MATCH($C1192&amp;"|"&amp;DAY($A1192),打卡匯入!$E$3:$E$2002,0)),"")</f>
        <v/>
      </c>
      <c r="L1192" s="81">
        <f>IF(OR($J1192="",$K1192=""),"",IFERROR(INDEX(設定!$F$6:$F$18,MATCH($G1192,設定!$B$6:$B$18,0)),0))</f>
        <v/>
      </c>
      <c r="M1192" s="82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1">
        <f>IF(OR($C1192="",$H1192="",$J1192=""),0,IF(ROUND(($J1192-$H1192)*1440,0)&gt;設定!$C$42,ROUND(($J1192-$H1192)*1440,0),0))</f>
        <v/>
      </c>
      <c r="P1192" s="81">
        <f>IF(OR($C1192="",$I1192="",$K1192=""),0,IF(ROUND(($I1192-$K1192)*1440,0)&gt;設定!$C$42,ROUND(($I1192-$K1192)*1440,0),0))</f>
        <v/>
      </c>
      <c r="Q1192" s="82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79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0">
        <f>IF($G1193="","",IFERROR(INDEX(設定!$D$6:$D$18,MATCH($G1193,設定!$B$6:$B$18,0)),""))</f>
        <v/>
      </c>
      <c r="I1193" s="80">
        <f>IF($G1193="","",IFERROR(INDEX(設定!$E$6:$E$18,MATCH($G1193,設定!$B$6:$B$18,0)),""))</f>
        <v/>
      </c>
      <c r="J1193" s="80">
        <f>IFERROR(INDEX(打卡匯入!$C$3:$C$2002,MATCH($C1193&amp;"|"&amp;DAY($A1193),打卡匯入!$E$3:$E$2002,0)),"")</f>
        <v/>
      </c>
      <c r="K1193" s="80">
        <f>IFERROR(INDEX(打卡匯入!$D$3:$D$2002,MATCH($C1193&amp;"|"&amp;DAY($A1193),打卡匯入!$E$3:$E$2002,0)),"")</f>
        <v/>
      </c>
      <c r="L1193" s="81">
        <f>IF(OR($J1193="",$K1193=""),"",IFERROR(INDEX(設定!$F$6:$F$18,MATCH($G1193,設定!$B$6:$B$18,0)),0))</f>
        <v/>
      </c>
      <c r="M1193" s="82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1">
        <f>IF(OR($C1193="",$H1193="",$J1193=""),0,IF(ROUND(($J1193-$H1193)*1440,0)&gt;設定!$C$42,ROUND(($J1193-$H1193)*1440,0),0))</f>
        <v/>
      </c>
      <c r="P1193" s="81">
        <f>IF(OR($C1193="",$I1193="",$K1193=""),0,IF(ROUND(($I1193-$K1193)*1440,0)&gt;設定!$C$42,ROUND(($I1193-$K1193)*1440,0),0))</f>
        <v/>
      </c>
      <c r="Q1193" s="82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79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0">
        <f>IF($G1194="","",IFERROR(INDEX(設定!$D$6:$D$18,MATCH($G1194,設定!$B$6:$B$18,0)),""))</f>
        <v/>
      </c>
      <c r="I1194" s="80">
        <f>IF($G1194="","",IFERROR(INDEX(設定!$E$6:$E$18,MATCH($G1194,設定!$B$6:$B$18,0)),""))</f>
        <v/>
      </c>
      <c r="J1194" s="80">
        <f>IFERROR(INDEX(打卡匯入!$C$3:$C$2002,MATCH($C1194&amp;"|"&amp;DAY($A1194),打卡匯入!$E$3:$E$2002,0)),"")</f>
        <v/>
      </c>
      <c r="K1194" s="80">
        <f>IFERROR(INDEX(打卡匯入!$D$3:$D$2002,MATCH($C1194&amp;"|"&amp;DAY($A1194),打卡匯入!$E$3:$E$2002,0)),"")</f>
        <v/>
      </c>
      <c r="L1194" s="81">
        <f>IF(OR($J1194="",$K1194=""),"",IFERROR(INDEX(設定!$F$6:$F$18,MATCH($G1194,設定!$B$6:$B$18,0)),0))</f>
        <v/>
      </c>
      <c r="M1194" s="82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1">
        <f>IF(OR($C1194="",$H1194="",$J1194=""),0,IF(ROUND(($J1194-$H1194)*1440,0)&gt;設定!$C$42,ROUND(($J1194-$H1194)*1440,0),0))</f>
        <v/>
      </c>
      <c r="P1194" s="81">
        <f>IF(OR($C1194="",$I1194="",$K1194=""),0,IF(ROUND(($I1194-$K1194)*1440,0)&gt;設定!$C$42,ROUND(($I1194-$K1194)*1440,0),0))</f>
        <v/>
      </c>
      <c r="Q1194" s="82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79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0">
        <f>IF($G1195="","",IFERROR(INDEX(設定!$D$6:$D$18,MATCH($G1195,設定!$B$6:$B$18,0)),""))</f>
        <v/>
      </c>
      <c r="I1195" s="80">
        <f>IF($G1195="","",IFERROR(INDEX(設定!$E$6:$E$18,MATCH($G1195,設定!$B$6:$B$18,0)),""))</f>
        <v/>
      </c>
      <c r="J1195" s="80">
        <f>IFERROR(INDEX(打卡匯入!$C$3:$C$2002,MATCH($C1195&amp;"|"&amp;DAY($A1195),打卡匯入!$E$3:$E$2002,0)),"")</f>
        <v/>
      </c>
      <c r="K1195" s="80">
        <f>IFERROR(INDEX(打卡匯入!$D$3:$D$2002,MATCH($C1195&amp;"|"&amp;DAY($A1195),打卡匯入!$E$3:$E$2002,0)),"")</f>
        <v/>
      </c>
      <c r="L1195" s="81">
        <f>IF(OR($J1195="",$K1195=""),"",IFERROR(INDEX(設定!$F$6:$F$18,MATCH($G1195,設定!$B$6:$B$18,0)),0))</f>
        <v/>
      </c>
      <c r="M1195" s="82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1">
        <f>IF(OR($C1195="",$H1195="",$J1195=""),0,IF(ROUND(($J1195-$H1195)*1440,0)&gt;設定!$C$42,ROUND(($J1195-$H1195)*1440,0),0))</f>
        <v/>
      </c>
      <c r="P1195" s="81">
        <f>IF(OR($C1195="",$I1195="",$K1195=""),0,IF(ROUND(($I1195-$K1195)*1440,0)&gt;設定!$C$42,ROUND(($I1195-$K1195)*1440,0),0))</f>
        <v/>
      </c>
      <c r="Q1195" s="82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79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0">
        <f>IF($G1196="","",IFERROR(INDEX(設定!$D$6:$D$18,MATCH($G1196,設定!$B$6:$B$18,0)),""))</f>
        <v/>
      </c>
      <c r="I1196" s="80">
        <f>IF($G1196="","",IFERROR(INDEX(設定!$E$6:$E$18,MATCH($G1196,設定!$B$6:$B$18,0)),""))</f>
        <v/>
      </c>
      <c r="J1196" s="80">
        <f>IFERROR(INDEX(打卡匯入!$C$3:$C$2002,MATCH($C1196&amp;"|"&amp;DAY($A1196),打卡匯入!$E$3:$E$2002,0)),"")</f>
        <v/>
      </c>
      <c r="K1196" s="80">
        <f>IFERROR(INDEX(打卡匯入!$D$3:$D$2002,MATCH($C1196&amp;"|"&amp;DAY($A1196),打卡匯入!$E$3:$E$2002,0)),"")</f>
        <v/>
      </c>
      <c r="L1196" s="81">
        <f>IF(OR($J1196="",$K1196=""),"",IFERROR(INDEX(設定!$F$6:$F$18,MATCH($G1196,設定!$B$6:$B$18,0)),0))</f>
        <v/>
      </c>
      <c r="M1196" s="82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1">
        <f>IF(OR($C1196="",$H1196="",$J1196=""),0,IF(ROUND(($J1196-$H1196)*1440,0)&gt;設定!$C$42,ROUND(($J1196-$H1196)*1440,0),0))</f>
        <v/>
      </c>
      <c r="P1196" s="81">
        <f>IF(OR($C1196="",$I1196="",$K1196=""),0,IF(ROUND(($I1196-$K1196)*1440,0)&gt;設定!$C$42,ROUND(($I1196-$K1196)*1440,0),0))</f>
        <v/>
      </c>
      <c r="Q1196" s="82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79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0">
        <f>IF($G1197="","",IFERROR(INDEX(設定!$D$6:$D$18,MATCH($G1197,設定!$B$6:$B$18,0)),""))</f>
        <v/>
      </c>
      <c r="I1197" s="80">
        <f>IF($G1197="","",IFERROR(INDEX(設定!$E$6:$E$18,MATCH($G1197,設定!$B$6:$B$18,0)),""))</f>
        <v/>
      </c>
      <c r="J1197" s="80">
        <f>IFERROR(INDEX(打卡匯入!$C$3:$C$2002,MATCH($C1197&amp;"|"&amp;DAY($A1197),打卡匯入!$E$3:$E$2002,0)),"")</f>
        <v/>
      </c>
      <c r="K1197" s="80">
        <f>IFERROR(INDEX(打卡匯入!$D$3:$D$2002,MATCH($C1197&amp;"|"&amp;DAY($A1197),打卡匯入!$E$3:$E$2002,0)),"")</f>
        <v/>
      </c>
      <c r="L1197" s="81">
        <f>IF(OR($J1197="",$K1197=""),"",IFERROR(INDEX(設定!$F$6:$F$18,MATCH($G1197,設定!$B$6:$B$18,0)),0))</f>
        <v/>
      </c>
      <c r="M1197" s="82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1">
        <f>IF(OR($C1197="",$H1197="",$J1197=""),0,IF(ROUND(($J1197-$H1197)*1440,0)&gt;設定!$C$42,ROUND(($J1197-$H1197)*1440,0),0))</f>
        <v/>
      </c>
      <c r="P1197" s="81">
        <f>IF(OR($C1197="",$I1197="",$K1197=""),0,IF(ROUND(($I1197-$K1197)*1440,0)&gt;設定!$C$42,ROUND(($I1197-$K1197)*1440,0),0))</f>
        <v/>
      </c>
      <c r="Q1197" s="82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79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0">
        <f>IF($G1198="","",IFERROR(INDEX(設定!$D$6:$D$18,MATCH($G1198,設定!$B$6:$B$18,0)),""))</f>
        <v/>
      </c>
      <c r="I1198" s="80">
        <f>IF($G1198="","",IFERROR(INDEX(設定!$E$6:$E$18,MATCH($G1198,設定!$B$6:$B$18,0)),""))</f>
        <v/>
      </c>
      <c r="J1198" s="80">
        <f>IFERROR(INDEX(打卡匯入!$C$3:$C$2002,MATCH($C1198&amp;"|"&amp;DAY($A1198),打卡匯入!$E$3:$E$2002,0)),"")</f>
        <v/>
      </c>
      <c r="K1198" s="80">
        <f>IFERROR(INDEX(打卡匯入!$D$3:$D$2002,MATCH($C1198&amp;"|"&amp;DAY($A1198),打卡匯入!$E$3:$E$2002,0)),"")</f>
        <v/>
      </c>
      <c r="L1198" s="81">
        <f>IF(OR($J1198="",$K1198=""),"",IFERROR(INDEX(設定!$F$6:$F$18,MATCH($G1198,設定!$B$6:$B$18,0)),0))</f>
        <v/>
      </c>
      <c r="M1198" s="82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1">
        <f>IF(OR($C1198="",$H1198="",$J1198=""),0,IF(ROUND(($J1198-$H1198)*1440,0)&gt;設定!$C$42,ROUND(($J1198-$H1198)*1440,0),0))</f>
        <v/>
      </c>
      <c r="P1198" s="81">
        <f>IF(OR($C1198="",$I1198="",$K1198=""),0,IF(ROUND(($I1198-$K1198)*1440,0)&gt;設定!$C$42,ROUND(($I1198-$K1198)*1440,0),0))</f>
        <v/>
      </c>
      <c r="Q1198" s="82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79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0">
        <f>IF($G1199="","",IFERROR(INDEX(設定!$D$6:$D$18,MATCH($G1199,設定!$B$6:$B$18,0)),""))</f>
        <v/>
      </c>
      <c r="I1199" s="80">
        <f>IF($G1199="","",IFERROR(INDEX(設定!$E$6:$E$18,MATCH($G1199,設定!$B$6:$B$18,0)),""))</f>
        <v/>
      </c>
      <c r="J1199" s="80">
        <f>IFERROR(INDEX(打卡匯入!$C$3:$C$2002,MATCH($C1199&amp;"|"&amp;DAY($A1199),打卡匯入!$E$3:$E$2002,0)),"")</f>
        <v/>
      </c>
      <c r="K1199" s="80">
        <f>IFERROR(INDEX(打卡匯入!$D$3:$D$2002,MATCH($C1199&amp;"|"&amp;DAY($A1199),打卡匯入!$E$3:$E$2002,0)),"")</f>
        <v/>
      </c>
      <c r="L1199" s="81">
        <f>IF(OR($J1199="",$K1199=""),"",IFERROR(INDEX(設定!$F$6:$F$18,MATCH($G1199,設定!$B$6:$B$18,0)),0))</f>
        <v/>
      </c>
      <c r="M1199" s="82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1">
        <f>IF(OR($C1199="",$H1199="",$J1199=""),0,IF(ROUND(($J1199-$H1199)*1440,0)&gt;設定!$C$42,ROUND(($J1199-$H1199)*1440,0),0))</f>
        <v/>
      </c>
      <c r="P1199" s="81">
        <f>IF(OR($C1199="",$I1199="",$K1199=""),0,IF(ROUND(($I1199-$K1199)*1440,0)&gt;設定!$C$42,ROUND(($I1199-$K1199)*1440,0),0))</f>
        <v/>
      </c>
      <c r="Q1199" s="82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79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0">
        <f>IF($G1200="","",IFERROR(INDEX(設定!$D$6:$D$18,MATCH($G1200,設定!$B$6:$B$18,0)),""))</f>
        <v/>
      </c>
      <c r="I1200" s="80">
        <f>IF($G1200="","",IFERROR(INDEX(設定!$E$6:$E$18,MATCH($G1200,設定!$B$6:$B$18,0)),""))</f>
        <v/>
      </c>
      <c r="J1200" s="80">
        <f>IFERROR(INDEX(打卡匯入!$C$3:$C$2002,MATCH($C1200&amp;"|"&amp;DAY($A1200),打卡匯入!$E$3:$E$2002,0)),"")</f>
        <v/>
      </c>
      <c r="K1200" s="80">
        <f>IFERROR(INDEX(打卡匯入!$D$3:$D$2002,MATCH($C1200&amp;"|"&amp;DAY($A1200),打卡匯入!$E$3:$E$2002,0)),"")</f>
        <v/>
      </c>
      <c r="L1200" s="81">
        <f>IF(OR($J1200="",$K1200=""),"",IFERROR(INDEX(設定!$F$6:$F$18,MATCH($G1200,設定!$B$6:$B$18,0)),0))</f>
        <v/>
      </c>
      <c r="M1200" s="82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1">
        <f>IF(OR($C1200="",$H1200="",$J1200=""),0,IF(ROUND(($J1200-$H1200)*1440,0)&gt;設定!$C$42,ROUND(($J1200-$H1200)*1440,0),0))</f>
        <v/>
      </c>
      <c r="P1200" s="81">
        <f>IF(OR($C1200="",$I1200="",$K1200=""),0,IF(ROUND(($I1200-$K1200)*1440,0)&gt;設定!$C$42,ROUND(($I1200-$K1200)*1440,0),0))</f>
        <v/>
      </c>
      <c r="Q1200" s="82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79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0">
        <f>IF($G1201="","",IFERROR(INDEX(設定!$D$6:$D$18,MATCH($G1201,設定!$B$6:$B$18,0)),""))</f>
        <v/>
      </c>
      <c r="I1201" s="80">
        <f>IF($G1201="","",IFERROR(INDEX(設定!$E$6:$E$18,MATCH($G1201,設定!$B$6:$B$18,0)),""))</f>
        <v/>
      </c>
      <c r="J1201" s="80">
        <f>IFERROR(INDEX(打卡匯入!$C$3:$C$2002,MATCH($C1201&amp;"|"&amp;DAY($A1201),打卡匯入!$E$3:$E$2002,0)),"")</f>
        <v/>
      </c>
      <c r="K1201" s="80">
        <f>IFERROR(INDEX(打卡匯入!$D$3:$D$2002,MATCH($C1201&amp;"|"&amp;DAY($A1201),打卡匯入!$E$3:$E$2002,0)),"")</f>
        <v/>
      </c>
      <c r="L1201" s="81">
        <f>IF(OR($J1201="",$K1201=""),"",IFERROR(INDEX(設定!$F$6:$F$18,MATCH($G1201,設定!$B$6:$B$18,0)),0))</f>
        <v/>
      </c>
      <c r="M1201" s="82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1">
        <f>IF(OR($C1201="",$H1201="",$J1201=""),0,IF(ROUND(($J1201-$H1201)*1440,0)&gt;設定!$C$42,ROUND(($J1201-$H1201)*1440,0),0))</f>
        <v/>
      </c>
      <c r="P1201" s="81">
        <f>IF(OR($C1201="",$I1201="",$K1201=""),0,IF(ROUND(($I1201-$K1201)*1440,0)&gt;設定!$C$42,ROUND(($I1201-$K1201)*1440,0),0))</f>
        <v/>
      </c>
      <c r="Q1201" s="82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79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0">
        <f>IF($G1202="","",IFERROR(INDEX(設定!$D$6:$D$18,MATCH($G1202,設定!$B$6:$B$18,0)),""))</f>
        <v/>
      </c>
      <c r="I1202" s="80">
        <f>IF($G1202="","",IFERROR(INDEX(設定!$E$6:$E$18,MATCH($G1202,設定!$B$6:$B$18,0)),""))</f>
        <v/>
      </c>
      <c r="J1202" s="80">
        <f>IFERROR(INDEX(打卡匯入!$C$3:$C$2002,MATCH($C1202&amp;"|"&amp;DAY($A1202),打卡匯入!$E$3:$E$2002,0)),"")</f>
        <v/>
      </c>
      <c r="K1202" s="80">
        <f>IFERROR(INDEX(打卡匯入!$D$3:$D$2002,MATCH($C1202&amp;"|"&amp;DAY($A1202),打卡匯入!$E$3:$E$2002,0)),"")</f>
        <v/>
      </c>
      <c r="L1202" s="81">
        <f>IF(OR($J1202="",$K1202=""),"",IFERROR(INDEX(設定!$F$6:$F$18,MATCH($G1202,設定!$B$6:$B$18,0)),0))</f>
        <v/>
      </c>
      <c r="M1202" s="82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1">
        <f>IF(OR($C1202="",$H1202="",$J1202=""),0,IF(ROUND(($J1202-$H1202)*1440,0)&gt;設定!$C$42,ROUND(($J1202-$H1202)*1440,0),0))</f>
        <v/>
      </c>
      <c r="P1202" s="81">
        <f>IF(OR($C1202="",$I1202="",$K1202=""),0,IF(ROUND(($I1202-$K1202)*1440,0)&gt;設定!$C$42,ROUND(($I1202-$K1202)*1440,0),0))</f>
        <v/>
      </c>
      <c r="Q1202" s="82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79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0">
        <f>IF($G1203="","",IFERROR(INDEX(設定!$D$6:$D$18,MATCH($G1203,設定!$B$6:$B$18,0)),""))</f>
        <v/>
      </c>
      <c r="I1203" s="80">
        <f>IF($G1203="","",IFERROR(INDEX(設定!$E$6:$E$18,MATCH($G1203,設定!$B$6:$B$18,0)),""))</f>
        <v/>
      </c>
      <c r="J1203" s="80">
        <f>IFERROR(INDEX(打卡匯入!$C$3:$C$2002,MATCH($C1203&amp;"|"&amp;DAY($A1203),打卡匯入!$E$3:$E$2002,0)),"")</f>
        <v/>
      </c>
      <c r="K1203" s="80">
        <f>IFERROR(INDEX(打卡匯入!$D$3:$D$2002,MATCH($C1203&amp;"|"&amp;DAY($A1203),打卡匯入!$E$3:$E$2002,0)),"")</f>
        <v/>
      </c>
      <c r="L1203" s="81">
        <f>IF(OR($J1203="",$K1203=""),"",IFERROR(INDEX(設定!$F$6:$F$18,MATCH($G1203,設定!$B$6:$B$18,0)),0))</f>
        <v/>
      </c>
      <c r="M1203" s="82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1">
        <f>IF(OR($C1203="",$H1203="",$J1203=""),0,IF(ROUND(($J1203-$H1203)*1440,0)&gt;設定!$C$42,ROUND(($J1203-$H1203)*1440,0),0))</f>
        <v/>
      </c>
      <c r="P1203" s="81">
        <f>IF(OR($C1203="",$I1203="",$K1203=""),0,IF(ROUND(($I1203-$K1203)*1440,0)&gt;設定!$C$42,ROUND(($I1203-$K1203)*1440,0),0))</f>
        <v/>
      </c>
      <c r="Q1203" s="82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79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0">
        <f>IF($G1204="","",IFERROR(INDEX(設定!$D$6:$D$18,MATCH($G1204,設定!$B$6:$B$18,0)),""))</f>
        <v/>
      </c>
      <c r="I1204" s="80">
        <f>IF($G1204="","",IFERROR(INDEX(設定!$E$6:$E$18,MATCH($G1204,設定!$B$6:$B$18,0)),""))</f>
        <v/>
      </c>
      <c r="J1204" s="80">
        <f>IFERROR(INDEX(打卡匯入!$C$3:$C$2002,MATCH($C1204&amp;"|"&amp;DAY($A1204),打卡匯入!$E$3:$E$2002,0)),"")</f>
        <v/>
      </c>
      <c r="K1204" s="80">
        <f>IFERROR(INDEX(打卡匯入!$D$3:$D$2002,MATCH($C1204&amp;"|"&amp;DAY($A1204),打卡匯入!$E$3:$E$2002,0)),"")</f>
        <v/>
      </c>
      <c r="L1204" s="81">
        <f>IF(OR($J1204="",$K1204=""),"",IFERROR(INDEX(設定!$F$6:$F$18,MATCH($G1204,設定!$B$6:$B$18,0)),0))</f>
        <v/>
      </c>
      <c r="M1204" s="82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1">
        <f>IF(OR($C1204="",$H1204="",$J1204=""),0,IF(ROUND(($J1204-$H1204)*1440,0)&gt;設定!$C$42,ROUND(($J1204-$H1204)*1440,0),0))</f>
        <v/>
      </c>
      <c r="P1204" s="81">
        <f>IF(OR($C1204="",$I1204="",$K1204=""),0,IF(ROUND(($I1204-$K1204)*1440,0)&gt;設定!$C$42,ROUND(($I1204-$K1204)*1440,0),0))</f>
        <v/>
      </c>
      <c r="Q1204" s="82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79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0">
        <f>IF($G1205="","",IFERROR(INDEX(設定!$D$6:$D$18,MATCH($G1205,設定!$B$6:$B$18,0)),""))</f>
        <v/>
      </c>
      <c r="I1205" s="80">
        <f>IF($G1205="","",IFERROR(INDEX(設定!$E$6:$E$18,MATCH($G1205,設定!$B$6:$B$18,0)),""))</f>
        <v/>
      </c>
      <c r="J1205" s="80">
        <f>IFERROR(INDEX(打卡匯入!$C$3:$C$2002,MATCH($C1205&amp;"|"&amp;DAY($A1205),打卡匯入!$E$3:$E$2002,0)),"")</f>
        <v/>
      </c>
      <c r="K1205" s="80">
        <f>IFERROR(INDEX(打卡匯入!$D$3:$D$2002,MATCH($C1205&amp;"|"&amp;DAY($A1205),打卡匯入!$E$3:$E$2002,0)),"")</f>
        <v/>
      </c>
      <c r="L1205" s="81">
        <f>IF(OR($J1205="",$K1205=""),"",IFERROR(INDEX(設定!$F$6:$F$18,MATCH($G1205,設定!$B$6:$B$18,0)),0))</f>
        <v/>
      </c>
      <c r="M1205" s="82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1">
        <f>IF(OR($C1205="",$H1205="",$J1205=""),0,IF(ROUND(($J1205-$H1205)*1440,0)&gt;設定!$C$42,ROUND(($J1205-$H1205)*1440,0),0))</f>
        <v/>
      </c>
      <c r="P1205" s="81">
        <f>IF(OR($C1205="",$I1205="",$K1205=""),0,IF(ROUND(($I1205-$K1205)*1440,0)&gt;設定!$C$42,ROUND(($I1205-$K1205)*1440,0),0))</f>
        <v/>
      </c>
      <c r="Q1205" s="82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79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0">
        <f>IF($G1206="","",IFERROR(INDEX(設定!$D$6:$D$18,MATCH($G1206,設定!$B$6:$B$18,0)),""))</f>
        <v/>
      </c>
      <c r="I1206" s="80">
        <f>IF($G1206="","",IFERROR(INDEX(設定!$E$6:$E$18,MATCH($G1206,設定!$B$6:$B$18,0)),""))</f>
        <v/>
      </c>
      <c r="J1206" s="80">
        <f>IFERROR(INDEX(打卡匯入!$C$3:$C$2002,MATCH($C1206&amp;"|"&amp;DAY($A1206),打卡匯入!$E$3:$E$2002,0)),"")</f>
        <v/>
      </c>
      <c r="K1206" s="80">
        <f>IFERROR(INDEX(打卡匯入!$D$3:$D$2002,MATCH($C1206&amp;"|"&amp;DAY($A1206),打卡匯入!$E$3:$E$2002,0)),"")</f>
        <v/>
      </c>
      <c r="L1206" s="81">
        <f>IF(OR($J1206="",$K1206=""),"",IFERROR(INDEX(設定!$F$6:$F$18,MATCH($G1206,設定!$B$6:$B$18,0)),0))</f>
        <v/>
      </c>
      <c r="M1206" s="82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1">
        <f>IF(OR($C1206="",$H1206="",$J1206=""),0,IF(ROUND(($J1206-$H1206)*1440,0)&gt;設定!$C$42,ROUND(($J1206-$H1206)*1440,0),0))</f>
        <v/>
      </c>
      <c r="P1206" s="81">
        <f>IF(OR($C1206="",$I1206="",$K1206=""),0,IF(ROUND(($I1206-$K1206)*1440,0)&gt;設定!$C$42,ROUND(($I1206-$K1206)*1440,0),0))</f>
        <v/>
      </c>
      <c r="Q1206" s="82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79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0">
        <f>IF($G1207="","",IFERROR(INDEX(設定!$D$6:$D$18,MATCH($G1207,設定!$B$6:$B$18,0)),""))</f>
        <v/>
      </c>
      <c r="I1207" s="80">
        <f>IF($G1207="","",IFERROR(INDEX(設定!$E$6:$E$18,MATCH($G1207,設定!$B$6:$B$18,0)),""))</f>
        <v/>
      </c>
      <c r="J1207" s="80">
        <f>IFERROR(INDEX(打卡匯入!$C$3:$C$2002,MATCH($C1207&amp;"|"&amp;DAY($A1207),打卡匯入!$E$3:$E$2002,0)),"")</f>
        <v/>
      </c>
      <c r="K1207" s="80">
        <f>IFERROR(INDEX(打卡匯入!$D$3:$D$2002,MATCH($C1207&amp;"|"&amp;DAY($A1207),打卡匯入!$E$3:$E$2002,0)),"")</f>
        <v/>
      </c>
      <c r="L1207" s="81">
        <f>IF(OR($J1207="",$K1207=""),"",IFERROR(INDEX(設定!$F$6:$F$18,MATCH($G1207,設定!$B$6:$B$18,0)),0))</f>
        <v/>
      </c>
      <c r="M1207" s="82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1">
        <f>IF(OR($C1207="",$H1207="",$J1207=""),0,IF(ROUND(($J1207-$H1207)*1440,0)&gt;設定!$C$42,ROUND(($J1207-$H1207)*1440,0),0))</f>
        <v/>
      </c>
      <c r="P1207" s="81">
        <f>IF(OR($C1207="",$I1207="",$K1207=""),0,IF(ROUND(($I1207-$K1207)*1440,0)&gt;設定!$C$42,ROUND(($I1207-$K1207)*1440,0),0))</f>
        <v/>
      </c>
      <c r="Q1207" s="82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79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0">
        <f>IF($G1208="","",IFERROR(INDEX(設定!$D$6:$D$18,MATCH($G1208,設定!$B$6:$B$18,0)),""))</f>
        <v/>
      </c>
      <c r="I1208" s="80">
        <f>IF($G1208="","",IFERROR(INDEX(設定!$E$6:$E$18,MATCH($G1208,設定!$B$6:$B$18,0)),""))</f>
        <v/>
      </c>
      <c r="J1208" s="80">
        <f>IFERROR(INDEX(打卡匯入!$C$3:$C$2002,MATCH($C1208&amp;"|"&amp;DAY($A1208),打卡匯入!$E$3:$E$2002,0)),"")</f>
        <v/>
      </c>
      <c r="K1208" s="80">
        <f>IFERROR(INDEX(打卡匯入!$D$3:$D$2002,MATCH($C1208&amp;"|"&amp;DAY($A1208),打卡匯入!$E$3:$E$2002,0)),"")</f>
        <v/>
      </c>
      <c r="L1208" s="81">
        <f>IF(OR($J1208="",$K1208=""),"",IFERROR(INDEX(設定!$F$6:$F$18,MATCH($G1208,設定!$B$6:$B$18,0)),0))</f>
        <v/>
      </c>
      <c r="M1208" s="82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1">
        <f>IF(OR($C1208="",$H1208="",$J1208=""),0,IF(ROUND(($J1208-$H1208)*1440,0)&gt;設定!$C$42,ROUND(($J1208-$H1208)*1440,0),0))</f>
        <v/>
      </c>
      <c r="P1208" s="81">
        <f>IF(OR($C1208="",$I1208="",$K1208=""),0,IF(ROUND(($I1208-$K1208)*1440,0)&gt;設定!$C$42,ROUND(($I1208-$K1208)*1440,0),0))</f>
        <v/>
      </c>
      <c r="Q1208" s="82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79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0">
        <f>IF($G1209="","",IFERROR(INDEX(設定!$D$6:$D$18,MATCH($G1209,設定!$B$6:$B$18,0)),""))</f>
        <v/>
      </c>
      <c r="I1209" s="80">
        <f>IF($G1209="","",IFERROR(INDEX(設定!$E$6:$E$18,MATCH($G1209,設定!$B$6:$B$18,0)),""))</f>
        <v/>
      </c>
      <c r="J1209" s="80">
        <f>IFERROR(INDEX(打卡匯入!$C$3:$C$2002,MATCH($C1209&amp;"|"&amp;DAY($A1209),打卡匯入!$E$3:$E$2002,0)),"")</f>
        <v/>
      </c>
      <c r="K1209" s="80">
        <f>IFERROR(INDEX(打卡匯入!$D$3:$D$2002,MATCH($C1209&amp;"|"&amp;DAY($A1209),打卡匯入!$E$3:$E$2002,0)),"")</f>
        <v/>
      </c>
      <c r="L1209" s="81">
        <f>IF(OR($J1209="",$K1209=""),"",IFERROR(INDEX(設定!$F$6:$F$18,MATCH($G1209,設定!$B$6:$B$18,0)),0))</f>
        <v/>
      </c>
      <c r="M1209" s="82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1">
        <f>IF(OR($C1209="",$H1209="",$J1209=""),0,IF(ROUND(($J1209-$H1209)*1440,0)&gt;設定!$C$42,ROUND(($J1209-$H1209)*1440,0),0))</f>
        <v/>
      </c>
      <c r="P1209" s="81">
        <f>IF(OR($C1209="",$I1209="",$K1209=""),0,IF(ROUND(($I1209-$K1209)*1440,0)&gt;設定!$C$42,ROUND(($I1209-$K1209)*1440,0),0))</f>
        <v/>
      </c>
      <c r="Q1209" s="82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79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0">
        <f>IF($G1210="","",IFERROR(INDEX(設定!$D$6:$D$18,MATCH($G1210,設定!$B$6:$B$18,0)),""))</f>
        <v/>
      </c>
      <c r="I1210" s="80">
        <f>IF($G1210="","",IFERROR(INDEX(設定!$E$6:$E$18,MATCH($G1210,設定!$B$6:$B$18,0)),""))</f>
        <v/>
      </c>
      <c r="J1210" s="80">
        <f>IFERROR(INDEX(打卡匯入!$C$3:$C$2002,MATCH($C1210&amp;"|"&amp;DAY($A1210),打卡匯入!$E$3:$E$2002,0)),"")</f>
        <v/>
      </c>
      <c r="K1210" s="80">
        <f>IFERROR(INDEX(打卡匯入!$D$3:$D$2002,MATCH($C1210&amp;"|"&amp;DAY($A1210),打卡匯入!$E$3:$E$2002,0)),"")</f>
        <v/>
      </c>
      <c r="L1210" s="81">
        <f>IF(OR($J1210="",$K1210=""),"",IFERROR(INDEX(設定!$F$6:$F$18,MATCH($G1210,設定!$B$6:$B$18,0)),0))</f>
        <v/>
      </c>
      <c r="M1210" s="82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1">
        <f>IF(OR($C1210="",$H1210="",$J1210=""),0,IF(ROUND(($J1210-$H1210)*1440,0)&gt;設定!$C$42,ROUND(($J1210-$H1210)*1440,0),0))</f>
        <v/>
      </c>
      <c r="P1210" s="81">
        <f>IF(OR($C1210="",$I1210="",$K1210=""),0,IF(ROUND(($I1210-$K1210)*1440,0)&gt;設定!$C$42,ROUND(($I1210-$K1210)*1440,0),0))</f>
        <v/>
      </c>
      <c r="Q1210" s="82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79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0">
        <f>IF($G1211="","",IFERROR(INDEX(設定!$D$6:$D$18,MATCH($G1211,設定!$B$6:$B$18,0)),""))</f>
        <v/>
      </c>
      <c r="I1211" s="80">
        <f>IF($G1211="","",IFERROR(INDEX(設定!$E$6:$E$18,MATCH($G1211,設定!$B$6:$B$18,0)),""))</f>
        <v/>
      </c>
      <c r="J1211" s="80">
        <f>IFERROR(INDEX(打卡匯入!$C$3:$C$2002,MATCH($C1211&amp;"|"&amp;DAY($A1211),打卡匯入!$E$3:$E$2002,0)),"")</f>
        <v/>
      </c>
      <c r="K1211" s="80">
        <f>IFERROR(INDEX(打卡匯入!$D$3:$D$2002,MATCH($C1211&amp;"|"&amp;DAY($A1211),打卡匯入!$E$3:$E$2002,0)),"")</f>
        <v/>
      </c>
      <c r="L1211" s="81">
        <f>IF(OR($J1211="",$K1211=""),"",IFERROR(INDEX(設定!$F$6:$F$18,MATCH($G1211,設定!$B$6:$B$18,0)),0))</f>
        <v/>
      </c>
      <c r="M1211" s="82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1">
        <f>IF(OR($C1211="",$H1211="",$J1211=""),0,IF(ROUND(($J1211-$H1211)*1440,0)&gt;設定!$C$42,ROUND(($J1211-$H1211)*1440,0),0))</f>
        <v/>
      </c>
      <c r="P1211" s="81">
        <f>IF(OR($C1211="",$I1211="",$K1211=""),0,IF(ROUND(($I1211-$K1211)*1440,0)&gt;設定!$C$42,ROUND(($I1211-$K1211)*1440,0),0))</f>
        <v/>
      </c>
      <c r="Q1211" s="82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79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0">
        <f>IF($G1212="","",IFERROR(INDEX(設定!$D$6:$D$18,MATCH($G1212,設定!$B$6:$B$18,0)),""))</f>
        <v/>
      </c>
      <c r="I1212" s="80">
        <f>IF($G1212="","",IFERROR(INDEX(設定!$E$6:$E$18,MATCH($G1212,設定!$B$6:$B$18,0)),""))</f>
        <v/>
      </c>
      <c r="J1212" s="80">
        <f>IFERROR(INDEX(打卡匯入!$C$3:$C$2002,MATCH($C1212&amp;"|"&amp;DAY($A1212),打卡匯入!$E$3:$E$2002,0)),"")</f>
        <v/>
      </c>
      <c r="K1212" s="80">
        <f>IFERROR(INDEX(打卡匯入!$D$3:$D$2002,MATCH($C1212&amp;"|"&amp;DAY($A1212),打卡匯入!$E$3:$E$2002,0)),"")</f>
        <v/>
      </c>
      <c r="L1212" s="81">
        <f>IF(OR($J1212="",$K1212=""),"",IFERROR(INDEX(設定!$F$6:$F$18,MATCH($G1212,設定!$B$6:$B$18,0)),0))</f>
        <v/>
      </c>
      <c r="M1212" s="82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1">
        <f>IF(OR($C1212="",$H1212="",$J1212=""),0,IF(ROUND(($J1212-$H1212)*1440,0)&gt;設定!$C$42,ROUND(($J1212-$H1212)*1440,0),0))</f>
        <v/>
      </c>
      <c r="P1212" s="81">
        <f>IF(OR($C1212="",$I1212="",$K1212=""),0,IF(ROUND(($I1212-$K1212)*1440,0)&gt;設定!$C$42,ROUND(($I1212-$K1212)*1440,0),0))</f>
        <v/>
      </c>
      <c r="Q1212" s="82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79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0">
        <f>IF($G1213="","",IFERROR(INDEX(設定!$D$6:$D$18,MATCH($G1213,設定!$B$6:$B$18,0)),""))</f>
        <v/>
      </c>
      <c r="I1213" s="80">
        <f>IF($G1213="","",IFERROR(INDEX(設定!$E$6:$E$18,MATCH($G1213,設定!$B$6:$B$18,0)),""))</f>
        <v/>
      </c>
      <c r="J1213" s="80">
        <f>IFERROR(INDEX(打卡匯入!$C$3:$C$2002,MATCH($C1213&amp;"|"&amp;DAY($A1213),打卡匯入!$E$3:$E$2002,0)),"")</f>
        <v/>
      </c>
      <c r="K1213" s="80">
        <f>IFERROR(INDEX(打卡匯入!$D$3:$D$2002,MATCH($C1213&amp;"|"&amp;DAY($A1213),打卡匯入!$E$3:$E$2002,0)),"")</f>
        <v/>
      </c>
      <c r="L1213" s="81">
        <f>IF(OR($J1213="",$K1213=""),"",IFERROR(INDEX(設定!$F$6:$F$18,MATCH($G1213,設定!$B$6:$B$18,0)),0))</f>
        <v/>
      </c>
      <c r="M1213" s="82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1">
        <f>IF(OR($C1213="",$H1213="",$J1213=""),0,IF(ROUND(($J1213-$H1213)*1440,0)&gt;設定!$C$42,ROUND(($J1213-$H1213)*1440,0),0))</f>
        <v/>
      </c>
      <c r="P1213" s="81">
        <f>IF(OR($C1213="",$I1213="",$K1213=""),0,IF(ROUND(($I1213-$K1213)*1440,0)&gt;設定!$C$42,ROUND(($I1213-$K1213)*1440,0),0))</f>
        <v/>
      </c>
      <c r="Q1213" s="82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79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0">
        <f>IF($G1214="","",IFERROR(INDEX(設定!$D$6:$D$18,MATCH($G1214,設定!$B$6:$B$18,0)),""))</f>
        <v/>
      </c>
      <c r="I1214" s="80">
        <f>IF($G1214="","",IFERROR(INDEX(設定!$E$6:$E$18,MATCH($G1214,設定!$B$6:$B$18,0)),""))</f>
        <v/>
      </c>
      <c r="J1214" s="80">
        <f>IFERROR(INDEX(打卡匯入!$C$3:$C$2002,MATCH($C1214&amp;"|"&amp;DAY($A1214),打卡匯入!$E$3:$E$2002,0)),"")</f>
        <v/>
      </c>
      <c r="K1214" s="80">
        <f>IFERROR(INDEX(打卡匯入!$D$3:$D$2002,MATCH($C1214&amp;"|"&amp;DAY($A1214),打卡匯入!$E$3:$E$2002,0)),"")</f>
        <v/>
      </c>
      <c r="L1214" s="81">
        <f>IF(OR($J1214="",$K1214=""),"",IFERROR(INDEX(設定!$F$6:$F$18,MATCH($G1214,設定!$B$6:$B$18,0)),0))</f>
        <v/>
      </c>
      <c r="M1214" s="82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1">
        <f>IF(OR($C1214="",$H1214="",$J1214=""),0,IF(ROUND(($J1214-$H1214)*1440,0)&gt;設定!$C$42,ROUND(($J1214-$H1214)*1440,0),0))</f>
        <v/>
      </c>
      <c r="P1214" s="81">
        <f>IF(OR($C1214="",$I1214="",$K1214=""),0,IF(ROUND(($I1214-$K1214)*1440,0)&gt;設定!$C$42,ROUND(($I1214-$K1214)*1440,0),0))</f>
        <v/>
      </c>
      <c r="Q1214" s="82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79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0">
        <f>IF($G1215="","",IFERROR(INDEX(設定!$D$6:$D$18,MATCH($G1215,設定!$B$6:$B$18,0)),""))</f>
        <v/>
      </c>
      <c r="I1215" s="80">
        <f>IF($G1215="","",IFERROR(INDEX(設定!$E$6:$E$18,MATCH($G1215,設定!$B$6:$B$18,0)),""))</f>
        <v/>
      </c>
      <c r="J1215" s="80">
        <f>IFERROR(INDEX(打卡匯入!$C$3:$C$2002,MATCH($C1215&amp;"|"&amp;DAY($A1215),打卡匯入!$E$3:$E$2002,0)),"")</f>
        <v/>
      </c>
      <c r="K1215" s="80">
        <f>IFERROR(INDEX(打卡匯入!$D$3:$D$2002,MATCH($C1215&amp;"|"&amp;DAY($A1215),打卡匯入!$E$3:$E$2002,0)),"")</f>
        <v/>
      </c>
      <c r="L1215" s="81">
        <f>IF(OR($J1215="",$K1215=""),"",IFERROR(INDEX(設定!$F$6:$F$18,MATCH($G1215,設定!$B$6:$B$18,0)),0))</f>
        <v/>
      </c>
      <c r="M1215" s="82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1">
        <f>IF(OR($C1215="",$H1215="",$J1215=""),0,IF(ROUND(($J1215-$H1215)*1440,0)&gt;設定!$C$42,ROUND(($J1215-$H1215)*1440,0),0))</f>
        <v/>
      </c>
      <c r="P1215" s="81">
        <f>IF(OR($C1215="",$I1215="",$K1215=""),0,IF(ROUND(($I1215-$K1215)*1440,0)&gt;設定!$C$42,ROUND(($I1215-$K1215)*1440,0),0))</f>
        <v/>
      </c>
      <c r="Q1215" s="82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79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0">
        <f>IF($G1216="","",IFERROR(INDEX(設定!$D$6:$D$18,MATCH($G1216,設定!$B$6:$B$18,0)),""))</f>
        <v/>
      </c>
      <c r="I1216" s="80">
        <f>IF($G1216="","",IFERROR(INDEX(設定!$E$6:$E$18,MATCH($G1216,設定!$B$6:$B$18,0)),""))</f>
        <v/>
      </c>
      <c r="J1216" s="80">
        <f>IFERROR(INDEX(打卡匯入!$C$3:$C$2002,MATCH($C1216&amp;"|"&amp;DAY($A1216),打卡匯入!$E$3:$E$2002,0)),"")</f>
        <v/>
      </c>
      <c r="K1216" s="80">
        <f>IFERROR(INDEX(打卡匯入!$D$3:$D$2002,MATCH($C1216&amp;"|"&amp;DAY($A1216),打卡匯入!$E$3:$E$2002,0)),"")</f>
        <v/>
      </c>
      <c r="L1216" s="81">
        <f>IF(OR($J1216="",$K1216=""),"",IFERROR(INDEX(設定!$F$6:$F$18,MATCH($G1216,設定!$B$6:$B$18,0)),0))</f>
        <v/>
      </c>
      <c r="M1216" s="82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1">
        <f>IF(OR($C1216="",$H1216="",$J1216=""),0,IF(ROUND(($J1216-$H1216)*1440,0)&gt;設定!$C$42,ROUND(($J1216-$H1216)*1440,0),0))</f>
        <v/>
      </c>
      <c r="P1216" s="81">
        <f>IF(OR($C1216="",$I1216="",$K1216=""),0,IF(ROUND(($I1216-$K1216)*1440,0)&gt;設定!$C$42,ROUND(($I1216-$K1216)*1440,0),0))</f>
        <v/>
      </c>
      <c r="Q1216" s="82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79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0">
        <f>IF($G1217="","",IFERROR(INDEX(設定!$D$6:$D$18,MATCH($G1217,設定!$B$6:$B$18,0)),""))</f>
        <v/>
      </c>
      <c r="I1217" s="80">
        <f>IF($G1217="","",IFERROR(INDEX(設定!$E$6:$E$18,MATCH($G1217,設定!$B$6:$B$18,0)),""))</f>
        <v/>
      </c>
      <c r="J1217" s="80">
        <f>IFERROR(INDEX(打卡匯入!$C$3:$C$2002,MATCH($C1217&amp;"|"&amp;DAY($A1217),打卡匯入!$E$3:$E$2002,0)),"")</f>
        <v/>
      </c>
      <c r="K1217" s="80">
        <f>IFERROR(INDEX(打卡匯入!$D$3:$D$2002,MATCH($C1217&amp;"|"&amp;DAY($A1217),打卡匯入!$E$3:$E$2002,0)),"")</f>
        <v/>
      </c>
      <c r="L1217" s="81">
        <f>IF(OR($J1217="",$K1217=""),"",IFERROR(INDEX(設定!$F$6:$F$18,MATCH($G1217,設定!$B$6:$B$18,0)),0))</f>
        <v/>
      </c>
      <c r="M1217" s="82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1">
        <f>IF(OR($C1217="",$H1217="",$J1217=""),0,IF(ROUND(($J1217-$H1217)*1440,0)&gt;設定!$C$42,ROUND(($J1217-$H1217)*1440,0),0))</f>
        <v/>
      </c>
      <c r="P1217" s="81">
        <f>IF(OR($C1217="",$I1217="",$K1217=""),0,IF(ROUND(($I1217-$K1217)*1440,0)&gt;設定!$C$42,ROUND(($I1217-$K1217)*1440,0),0))</f>
        <v/>
      </c>
      <c r="Q1217" s="82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79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0">
        <f>IF($G1218="","",IFERROR(INDEX(設定!$D$6:$D$18,MATCH($G1218,設定!$B$6:$B$18,0)),""))</f>
        <v/>
      </c>
      <c r="I1218" s="80">
        <f>IF($G1218="","",IFERROR(INDEX(設定!$E$6:$E$18,MATCH($G1218,設定!$B$6:$B$18,0)),""))</f>
        <v/>
      </c>
      <c r="J1218" s="80">
        <f>IFERROR(INDEX(打卡匯入!$C$3:$C$2002,MATCH($C1218&amp;"|"&amp;DAY($A1218),打卡匯入!$E$3:$E$2002,0)),"")</f>
        <v/>
      </c>
      <c r="K1218" s="80">
        <f>IFERROR(INDEX(打卡匯入!$D$3:$D$2002,MATCH($C1218&amp;"|"&amp;DAY($A1218),打卡匯入!$E$3:$E$2002,0)),"")</f>
        <v/>
      </c>
      <c r="L1218" s="81">
        <f>IF(OR($J1218="",$K1218=""),"",IFERROR(INDEX(設定!$F$6:$F$18,MATCH($G1218,設定!$B$6:$B$18,0)),0))</f>
        <v/>
      </c>
      <c r="M1218" s="82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1">
        <f>IF(OR($C1218="",$H1218="",$J1218=""),0,IF(ROUND(($J1218-$H1218)*1440,0)&gt;設定!$C$42,ROUND(($J1218-$H1218)*1440,0),0))</f>
        <v/>
      </c>
      <c r="P1218" s="81">
        <f>IF(OR($C1218="",$I1218="",$K1218=""),0,IF(ROUND(($I1218-$K1218)*1440,0)&gt;設定!$C$42,ROUND(($I1218-$K1218)*1440,0),0))</f>
        <v/>
      </c>
      <c r="Q1218" s="82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79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0">
        <f>IF($G1219="","",IFERROR(INDEX(設定!$D$6:$D$18,MATCH($G1219,設定!$B$6:$B$18,0)),""))</f>
        <v/>
      </c>
      <c r="I1219" s="80">
        <f>IF($G1219="","",IFERROR(INDEX(設定!$E$6:$E$18,MATCH($G1219,設定!$B$6:$B$18,0)),""))</f>
        <v/>
      </c>
      <c r="J1219" s="80">
        <f>IFERROR(INDEX(打卡匯入!$C$3:$C$2002,MATCH($C1219&amp;"|"&amp;DAY($A1219),打卡匯入!$E$3:$E$2002,0)),"")</f>
        <v/>
      </c>
      <c r="K1219" s="80">
        <f>IFERROR(INDEX(打卡匯入!$D$3:$D$2002,MATCH($C1219&amp;"|"&amp;DAY($A1219),打卡匯入!$E$3:$E$2002,0)),"")</f>
        <v/>
      </c>
      <c r="L1219" s="81">
        <f>IF(OR($J1219="",$K1219=""),"",IFERROR(INDEX(設定!$F$6:$F$18,MATCH($G1219,設定!$B$6:$B$18,0)),0))</f>
        <v/>
      </c>
      <c r="M1219" s="82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1">
        <f>IF(OR($C1219="",$H1219="",$J1219=""),0,IF(ROUND(($J1219-$H1219)*1440,0)&gt;設定!$C$42,ROUND(($J1219-$H1219)*1440,0),0))</f>
        <v/>
      </c>
      <c r="P1219" s="81">
        <f>IF(OR($C1219="",$I1219="",$K1219=""),0,IF(ROUND(($I1219-$K1219)*1440,0)&gt;設定!$C$42,ROUND(($I1219-$K1219)*1440,0),0))</f>
        <v/>
      </c>
      <c r="Q1219" s="82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79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0">
        <f>IF($G1220="","",IFERROR(INDEX(設定!$D$6:$D$18,MATCH($G1220,設定!$B$6:$B$18,0)),""))</f>
        <v/>
      </c>
      <c r="I1220" s="80">
        <f>IF($G1220="","",IFERROR(INDEX(設定!$E$6:$E$18,MATCH($G1220,設定!$B$6:$B$18,0)),""))</f>
        <v/>
      </c>
      <c r="J1220" s="80">
        <f>IFERROR(INDEX(打卡匯入!$C$3:$C$2002,MATCH($C1220&amp;"|"&amp;DAY($A1220),打卡匯入!$E$3:$E$2002,0)),"")</f>
        <v/>
      </c>
      <c r="K1220" s="80">
        <f>IFERROR(INDEX(打卡匯入!$D$3:$D$2002,MATCH($C1220&amp;"|"&amp;DAY($A1220),打卡匯入!$E$3:$E$2002,0)),"")</f>
        <v/>
      </c>
      <c r="L1220" s="81">
        <f>IF(OR($J1220="",$K1220=""),"",IFERROR(INDEX(設定!$F$6:$F$18,MATCH($G1220,設定!$B$6:$B$18,0)),0))</f>
        <v/>
      </c>
      <c r="M1220" s="82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1">
        <f>IF(OR($C1220="",$H1220="",$J1220=""),0,IF(ROUND(($J1220-$H1220)*1440,0)&gt;設定!$C$42,ROUND(($J1220-$H1220)*1440,0),0))</f>
        <v/>
      </c>
      <c r="P1220" s="81">
        <f>IF(OR($C1220="",$I1220="",$K1220=""),0,IF(ROUND(($I1220-$K1220)*1440,0)&gt;設定!$C$42,ROUND(($I1220-$K1220)*1440,0),0))</f>
        <v/>
      </c>
      <c r="Q1220" s="82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79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0">
        <f>IF($G1221="","",IFERROR(INDEX(設定!$D$6:$D$18,MATCH($G1221,設定!$B$6:$B$18,0)),""))</f>
        <v/>
      </c>
      <c r="I1221" s="80">
        <f>IF($G1221="","",IFERROR(INDEX(設定!$E$6:$E$18,MATCH($G1221,設定!$B$6:$B$18,0)),""))</f>
        <v/>
      </c>
      <c r="J1221" s="80">
        <f>IFERROR(INDEX(打卡匯入!$C$3:$C$2002,MATCH($C1221&amp;"|"&amp;DAY($A1221),打卡匯入!$E$3:$E$2002,0)),"")</f>
        <v/>
      </c>
      <c r="K1221" s="80">
        <f>IFERROR(INDEX(打卡匯入!$D$3:$D$2002,MATCH($C1221&amp;"|"&amp;DAY($A1221),打卡匯入!$E$3:$E$2002,0)),"")</f>
        <v/>
      </c>
      <c r="L1221" s="81">
        <f>IF(OR($J1221="",$K1221=""),"",IFERROR(INDEX(設定!$F$6:$F$18,MATCH($G1221,設定!$B$6:$B$18,0)),0))</f>
        <v/>
      </c>
      <c r="M1221" s="82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1">
        <f>IF(OR($C1221="",$H1221="",$J1221=""),0,IF(ROUND(($J1221-$H1221)*1440,0)&gt;設定!$C$42,ROUND(($J1221-$H1221)*1440,0),0))</f>
        <v/>
      </c>
      <c r="P1221" s="81">
        <f>IF(OR($C1221="",$I1221="",$K1221=""),0,IF(ROUND(($I1221-$K1221)*1440,0)&gt;設定!$C$42,ROUND(($I1221-$K1221)*1440,0),0))</f>
        <v/>
      </c>
      <c r="Q1221" s="82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79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0">
        <f>IF($G1222="","",IFERROR(INDEX(設定!$D$6:$D$18,MATCH($G1222,設定!$B$6:$B$18,0)),""))</f>
        <v/>
      </c>
      <c r="I1222" s="80">
        <f>IF($G1222="","",IFERROR(INDEX(設定!$E$6:$E$18,MATCH($G1222,設定!$B$6:$B$18,0)),""))</f>
        <v/>
      </c>
      <c r="J1222" s="80">
        <f>IFERROR(INDEX(打卡匯入!$C$3:$C$2002,MATCH($C1222&amp;"|"&amp;DAY($A1222),打卡匯入!$E$3:$E$2002,0)),"")</f>
        <v/>
      </c>
      <c r="K1222" s="80">
        <f>IFERROR(INDEX(打卡匯入!$D$3:$D$2002,MATCH($C1222&amp;"|"&amp;DAY($A1222),打卡匯入!$E$3:$E$2002,0)),"")</f>
        <v/>
      </c>
      <c r="L1222" s="81">
        <f>IF(OR($J1222="",$K1222=""),"",IFERROR(INDEX(設定!$F$6:$F$18,MATCH($G1222,設定!$B$6:$B$18,0)),0))</f>
        <v/>
      </c>
      <c r="M1222" s="82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1">
        <f>IF(OR($C1222="",$H1222="",$J1222=""),0,IF(ROUND(($J1222-$H1222)*1440,0)&gt;設定!$C$42,ROUND(($J1222-$H1222)*1440,0),0))</f>
        <v/>
      </c>
      <c r="P1222" s="81">
        <f>IF(OR($C1222="",$I1222="",$K1222=""),0,IF(ROUND(($I1222-$K1222)*1440,0)&gt;設定!$C$42,ROUND(($I1222-$K1222)*1440,0),0))</f>
        <v/>
      </c>
      <c r="Q1222" s="82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79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0">
        <f>IF($G1223="","",IFERROR(INDEX(設定!$D$6:$D$18,MATCH($G1223,設定!$B$6:$B$18,0)),""))</f>
        <v/>
      </c>
      <c r="I1223" s="80">
        <f>IF($G1223="","",IFERROR(INDEX(設定!$E$6:$E$18,MATCH($G1223,設定!$B$6:$B$18,0)),""))</f>
        <v/>
      </c>
      <c r="J1223" s="80">
        <f>IFERROR(INDEX(打卡匯入!$C$3:$C$2002,MATCH($C1223&amp;"|"&amp;DAY($A1223),打卡匯入!$E$3:$E$2002,0)),"")</f>
        <v/>
      </c>
      <c r="K1223" s="80">
        <f>IFERROR(INDEX(打卡匯入!$D$3:$D$2002,MATCH($C1223&amp;"|"&amp;DAY($A1223),打卡匯入!$E$3:$E$2002,0)),"")</f>
        <v/>
      </c>
      <c r="L1223" s="81">
        <f>IF(OR($J1223="",$K1223=""),"",IFERROR(INDEX(設定!$F$6:$F$18,MATCH($G1223,設定!$B$6:$B$18,0)),0))</f>
        <v/>
      </c>
      <c r="M1223" s="82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1">
        <f>IF(OR($C1223="",$H1223="",$J1223=""),0,IF(ROUND(($J1223-$H1223)*1440,0)&gt;設定!$C$42,ROUND(($J1223-$H1223)*1440,0),0))</f>
        <v/>
      </c>
      <c r="P1223" s="81">
        <f>IF(OR($C1223="",$I1223="",$K1223=""),0,IF(ROUND(($I1223-$K1223)*1440,0)&gt;設定!$C$42,ROUND(($I1223-$K1223)*1440,0),0))</f>
        <v/>
      </c>
      <c r="Q1223" s="82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79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0">
        <f>IF($G1224="","",IFERROR(INDEX(設定!$D$6:$D$18,MATCH($G1224,設定!$B$6:$B$18,0)),""))</f>
        <v/>
      </c>
      <c r="I1224" s="80">
        <f>IF($G1224="","",IFERROR(INDEX(設定!$E$6:$E$18,MATCH($G1224,設定!$B$6:$B$18,0)),""))</f>
        <v/>
      </c>
      <c r="J1224" s="80">
        <f>IFERROR(INDEX(打卡匯入!$C$3:$C$2002,MATCH($C1224&amp;"|"&amp;DAY($A1224),打卡匯入!$E$3:$E$2002,0)),"")</f>
        <v/>
      </c>
      <c r="K1224" s="80">
        <f>IFERROR(INDEX(打卡匯入!$D$3:$D$2002,MATCH($C1224&amp;"|"&amp;DAY($A1224),打卡匯入!$E$3:$E$2002,0)),"")</f>
        <v/>
      </c>
      <c r="L1224" s="81">
        <f>IF(OR($J1224="",$K1224=""),"",IFERROR(INDEX(設定!$F$6:$F$18,MATCH($G1224,設定!$B$6:$B$18,0)),0))</f>
        <v/>
      </c>
      <c r="M1224" s="82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1">
        <f>IF(OR($C1224="",$H1224="",$J1224=""),0,IF(ROUND(($J1224-$H1224)*1440,0)&gt;設定!$C$42,ROUND(($J1224-$H1224)*1440,0),0))</f>
        <v/>
      </c>
      <c r="P1224" s="81">
        <f>IF(OR($C1224="",$I1224="",$K1224=""),0,IF(ROUND(($I1224-$K1224)*1440,0)&gt;設定!$C$42,ROUND(($I1224-$K1224)*1440,0),0))</f>
        <v/>
      </c>
      <c r="Q1224" s="82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79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0">
        <f>IF($G1225="","",IFERROR(INDEX(設定!$D$6:$D$18,MATCH($G1225,設定!$B$6:$B$18,0)),""))</f>
        <v/>
      </c>
      <c r="I1225" s="80">
        <f>IF($G1225="","",IFERROR(INDEX(設定!$E$6:$E$18,MATCH($G1225,設定!$B$6:$B$18,0)),""))</f>
        <v/>
      </c>
      <c r="J1225" s="80">
        <f>IFERROR(INDEX(打卡匯入!$C$3:$C$2002,MATCH($C1225&amp;"|"&amp;DAY($A1225),打卡匯入!$E$3:$E$2002,0)),"")</f>
        <v/>
      </c>
      <c r="K1225" s="80">
        <f>IFERROR(INDEX(打卡匯入!$D$3:$D$2002,MATCH($C1225&amp;"|"&amp;DAY($A1225),打卡匯入!$E$3:$E$2002,0)),"")</f>
        <v/>
      </c>
      <c r="L1225" s="81">
        <f>IF(OR($J1225="",$K1225=""),"",IFERROR(INDEX(設定!$F$6:$F$18,MATCH($G1225,設定!$B$6:$B$18,0)),0))</f>
        <v/>
      </c>
      <c r="M1225" s="82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1">
        <f>IF(OR($C1225="",$H1225="",$J1225=""),0,IF(ROUND(($J1225-$H1225)*1440,0)&gt;設定!$C$42,ROUND(($J1225-$H1225)*1440,0),0))</f>
        <v/>
      </c>
      <c r="P1225" s="81">
        <f>IF(OR($C1225="",$I1225="",$K1225=""),0,IF(ROUND(($I1225-$K1225)*1440,0)&gt;設定!$C$42,ROUND(($I1225-$K1225)*1440,0),0))</f>
        <v/>
      </c>
      <c r="Q1225" s="82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79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0">
        <f>IF($G1226="","",IFERROR(INDEX(設定!$D$6:$D$18,MATCH($G1226,設定!$B$6:$B$18,0)),""))</f>
        <v/>
      </c>
      <c r="I1226" s="80">
        <f>IF($G1226="","",IFERROR(INDEX(設定!$E$6:$E$18,MATCH($G1226,設定!$B$6:$B$18,0)),""))</f>
        <v/>
      </c>
      <c r="J1226" s="80">
        <f>IFERROR(INDEX(打卡匯入!$C$3:$C$2002,MATCH($C1226&amp;"|"&amp;DAY($A1226),打卡匯入!$E$3:$E$2002,0)),"")</f>
        <v/>
      </c>
      <c r="K1226" s="80">
        <f>IFERROR(INDEX(打卡匯入!$D$3:$D$2002,MATCH($C1226&amp;"|"&amp;DAY($A1226),打卡匯入!$E$3:$E$2002,0)),"")</f>
        <v/>
      </c>
      <c r="L1226" s="81">
        <f>IF(OR($J1226="",$K1226=""),"",IFERROR(INDEX(設定!$F$6:$F$18,MATCH($G1226,設定!$B$6:$B$18,0)),0))</f>
        <v/>
      </c>
      <c r="M1226" s="82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1">
        <f>IF(OR($C1226="",$H1226="",$J1226=""),0,IF(ROUND(($J1226-$H1226)*1440,0)&gt;設定!$C$42,ROUND(($J1226-$H1226)*1440,0),0))</f>
        <v/>
      </c>
      <c r="P1226" s="81">
        <f>IF(OR($C1226="",$I1226="",$K1226=""),0,IF(ROUND(($I1226-$K1226)*1440,0)&gt;設定!$C$42,ROUND(($I1226-$K1226)*1440,0),0))</f>
        <v/>
      </c>
      <c r="Q1226" s="82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79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0">
        <f>IF($G1227="","",IFERROR(INDEX(設定!$D$6:$D$18,MATCH($G1227,設定!$B$6:$B$18,0)),""))</f>
        <v/>
      </c>
      <c r="I1227" s="80">
        <f>IF($G1227="","",IFERROR(INDEX(設定!$E$6:$E$18,MATCH($G1227,設定!$B$6:$B$18,0)),""))</f>
        <v/>
      </c>
      <c r="J1227" s="80">
        <f>IFERROR(INDEX(打卡匯入!$C$3:$C$2002,MATCH($C1227&amp;"|"&amp;DAY($A1227),打卡匯入!$E$3:$E$2002,0)),"")</f>
        <v/>
      </c>
      <c r="K1227" s="80">
        <f>IFERROR(INDEX(打卡匯入!$D$3:$D$2002,MATCH($C1227&amp;"|"&amp;DAY($A1227),打卡匯入!$E$3:$E$2002,0)),"")</f>
        <v/>
      </c>
      <c r="L1227" s="81">
        <f>IF(OR($J1227="",$K1227=""),"",IFERROR(INDEX(設定!$F$6:$F$18,MATCH($G1227,設定!$B$6:$B$18,0)),0))</f>
        <v/>
      </c>
      <c r="M1227" s="82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1">
        <f>IF(OR($C1227="",$H1227="",$J1227=""),0,IF(ROUND(($J1227-$H1227)*1440,0)&gt;設定!$C$42,ROUND(($J1227-$H1227)*1440,0),0))</f>
        <v/>
      </c>
      <c r="P1227" s="81">
        <f>IF(OR($C1227="",$I1227="",$K1227=""),0,IF(ROUND(($I1227-$K1227)*1440,0)&gt;設定!$C$42,ROUND(($I1227-$K1227)*1440,0),0))</f>
        <v/>
      </c>
      <c r="Q1227" s="82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79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0">
        <f>IF($G1228="","",IFERROR(INDEX(設定!$D$6:$D$18,MATCH($G1228,設定!$B$6:$B$18,0)),""))</f>
        <v/>
      </c>
      <c r="I1228" s="80">
        <f>IF($G1228="","",IFERROR(INDEX(設定!$E$6:$E$18,MATCH($G1228,設定!$B$6:$B$18,0)),""))</f>
        <v/>
      </c>
      <c r="J1228" s="80">
        <f>IFERROR(INDEX(打卡匯入!$C$3:$C$2002,MATCH($C1228&amp;"|"&amp;DAY($A1228),打卡匯入!$E$3:$E$2002,0)),"")</f>
        <v/>
      </c>
      <c r="K1228" s="80">
        <f>IFERROR(INDEX(打卡匯入!$D$3:$D$2002,MATCH($C1228&amp;"|"&amp;DAY($A1228),打卡匯入!$E$3:$E$2002,0)),"")</f>
        <v/>
      </c>
      <c r="L1228" s="81">
        <f>IF(OR($J1228="",$K1228=""),"",IFERROR(INDEX(設定!$F$6:$F$18,MATCH($G1228,設定!$B$6:$B$18,0)),0))</f>
        <v/>
      </c>
      <c r="M1228" s="82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1">
        <f>IF(OR($C1228="",$H1228="",$J1228=""),0,IF(ROUND(($J1228-$H1228)*1440,0)&gt;設定!$C$42,ROUND(($J1228-$H1228)*1440,0),0))</f>
        <v/>
      </c>
      <c r="P1228" s="81">
        <f>IF(OR($C1228="",$I1228="",$K1228=""),0,IF(ROUND(($I1228-$K1228)*1440,0)&gt;設定!$C$42,ROUND(($I1228-$K1228)*1440,0),0))</f>
        <v/>
      </c>
      <c r="Q1228" s="82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79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0">
        <f>IF($G1229="","",IFERROR(INDEX(設定!$D$6:$D$18,MATCH($G1229,設定!$B$6:$B$18,0)),""))</f>
        <v/>
      </c>
      <c r="I1229" s="80">
        <f>IF($G1229="","",IFERROR(INDEX(設定!$E$6:$E$18,MATCH($G1229,設定!$B$6:$B$18,0)),""))</f>
        <v/>
      </c>
      <c r="J1229" s="80">
        <f>IFERROR(INDEX(打卡匯入!$C$3:$C$2002,MATCH($C1229&amp;"|"&amp;DAY($A1229),打卡匯入!$E$3:$E$2002,0)),"")</f>
        <v/>
      </c>
      <c r="K1229" s="80">
        <f>IFERROR(INDEX(打卡匯入!$D$3:$D$2002,MATCH($C1229&amp;"|"&amp;DAY($A1229),打卡匯入!$E$3:$E$2002,0)),"")</f>
        <v/>
      </c>
      <c r="L1229" s="81">
        <f>IF(OR($J1229="",$K1229=""),"",IFERROR(INDEX(設定!$F$6:$F$18,MATCH($G1229,設定!$B$6:$B$18,0)),0))</f>
        <v/>
      </c>
      <c r="M1229" s="82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1">
        <f>IF(OR($C1229="",$H1229="",$J1229=""),0,IF(ROUND(($J1229-$H1229)*1440,0)&gt;設定!$C$42,ROUND(($J1229-$H1229)*1440,0),0))</f>
        <v/>
      </c>
      <c r="P1229" s="81">
        <f>IF(OR($C1229="",$I1229="",$K1229=""),0,IF(ROUND(($I1229-$K1229)*1440,0)&gt;設定!$C$42,ROUND(($I1229-$K1229)*1440,0),0))</f>
        <v/>
      </c>
      <c r="Q1229" s="82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79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0">
        <f>IF($G1230="","",IFERROR(INDEX(設定!$D$6:$D$18,MATCH($G1230,設定!$B$6:$B$18,0)),""))</f>
        <v/>
      </c>
      <c r="I1230" s="80">
        <f>IF($G1230="","",IFERROR(INDEX(設定!$E$6:$E$18,MATCH($G1230,設定!$B$6:$B$18,0)),""))</f>
        <v/>
      </c>
      <c r="J1230" s="80">
        <f>IFERROR(INDEX(打卡匯入!$C$3:$C$2002,MATCH($C1230&amp;"|"&amp;DAY($A1230),打卡匯入!$E$3:$E$2002,0)),"")</f>
        <v/>
      </c>
      <c r="K1230" s="80">
        <f>IFERROR(INDEX(打卡匯入!$D$3:$D$2002,MATCH($C1230&amp;"|"&amp;DAY($A1230),打卡匯入!$E$3:$E$2002,0)),"")</f>
        <v/>
      </c>
      <c r="L1230" s="81">
        <f>IF(OR($J1230="",$K1230=""),"",IFERROR(INDEX(設定!$F$6:$F$18,MATCH($G1230,設定!$B$6:$B$18,0)),0))</f>
        <v/>
      </c>
      <c r="M1230" s="82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1">
        <f>IF(OR($C1230="",$H1230="",$J1230=""),0,IF(ROUND(($J1230-$H1230)*1440,0)&gt;設定!$C$42,ROUND(($J1230-$H1230)*1440,0),0))</f>
        <v/>
      </c>
      <c r="P1230" s="81">
        <f>IF(OR($C1230="",$I1230="",$K1230=""),0,IF(ROUND(($I1230-$K1230)*1440,0)&gt;設定!$C$42,ROUND(($I1230-$K1230)*1440,0),0))</f>
        <v/>
      </c>
      <c r="Q1230" s="82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79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0">
        <f>IF($G1231="","",IFERROR(INDEX(設定!$D$6:$D$18,MATCH($G1231,設定!$B$6:$B$18,0)),""))</f>
        <v/>
      </c>
      <c r="I1231" s="80">
        <f>IF($G1231="","",IFERROR(INDEX(設定!$E$6:$E$18,MATCH($G1231,設定!$B$6:$B$18,0)),""))</f>
        <v/>
      </c>
      <c r="J1231" s="80">
        <f>IFERROR(INDEX(打卡匯入!$C$3:$C$2002,MATCH($C1231&amp;"|"&amp;DAY($A1231),打卡匯入!$E$3:$E$2002,0)),"")</f>
        <v/>
      </c>
      <c r="K1231" s="80">
        <f>IFERROR(INDEX(打卡匯入!$D$3:$D$2002,MATCH($C1231&amp;"|"&amp;DAY($A1231),打卡匯入!$E$3:$E$2002,0)),"")</f>
        <v/>
      </c>
      <c r="L1231" s="81">
        <f>IF(OR($J1231="",$K1231=""),"",IFERROR(INDEX(設定!$F$6:$F$18,MATCH($G1231,設定!$B$6:$B$18,0)),0))</f>
        <v/>
      </c>
      <c r="M1231" s="82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1">
        <f>IF(OR($C1231="",$H1231="",$J1231=""),0,IF(ROUND(($J1231-$H1231)*1440,0)&gt;設定!$C$42,ROUND(($J1231-$H1231)*1440,0),0))</f>
        <v/>
      </c>
      <c r="P1231" s="81">
        <f>IF(OR($C1231="",$I1231="",$K1231=""),0,IF(ROUND(($I1231-$K1231)*1440,0)&gt;設定!$C$42,ROUND(($I1231-$K1231)*1440,0),0))</f>
        <v/>
      </c>
      <c r="Q1231" s="82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79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0">
        <f>IF($G1232="","",IFERROR(INDEX(設定!$D$6:$D$18,MATCH($G1232,設定!$B$6:$B$18,0)),""))</f>
        <v/>
      </c>
      <c r="I1232" s="80">
        <f>IF($G1232="","",IFERROR(INDEX(設定!$E$6:$E$18,MATCH($G1232,設定!$B$6:$B$18,0)),""))</f>
        <v/>
      </c>
      <c r="J1232" s="80">
        <f>IFERROR(INDEX(打卡匯入!$C$3:$C$2002,MATCH($C1232&amp;"|"&amp;DAY($A1232),打卡匯入!$E$3:$E$2002,0)),"")</f>
        <v/>
      </c>
      <c r="K1232" s="80">
        <f>IFERROR(INDEX(打卡匯入!$D$3:$D$2002,MATCH($C1232&amp;"|"&amp;DAY($A1232),打卡匯入!$E$3:$E$2002,0)),"")</f>
        <v/>
      </c>
      <c r="L1232" s="81">
        <f>IF(OR($J1232="",$K1232=""),"",IFERROR(INDEX(設定!$F$6:$F$18,MATCH($G1232,設定!$B$6:$B$18,0)),0))</f>
        <v/>
      </c>
      <c r="M1232" s="82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1">
        <f>IF(OR($C1232="",$H1232="",$J1232=""),0,IF(ROUND(($J1232-$H1232)*1440,0)&gt;設定!$C$42,ROUND(($J1232-$H1232)*1440,0),0))</f>
        <v/>
      </c>
      <c r="P1232" s="81">
        <f>IF(OR($C1232="",$I1232="",$K1232=""),0,IF(ROUND(($I1232-$K1232)*1440,0)&gt;設定!$C$42,ROUND(($I1232-$K1232)*1440,0),0))</f>
        <v/>
      </c>
      <c r="Q1232" s="82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79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0">
        <f>IF($G1233="","",IFERROR(INDEX(設定!$D$6:$D$18,MATCH($G1233,設定!$B$6:$B$18,0)),""))</f>
        <v/>
      </c>
      <c r="I1233" s="80">
        <f>IF($G1233="","",IFERROR(INDEX(設定!$E$6:$E$18,MATCH($G1233,設定!$B$6:$B$18,0)),""))</f>
        <v/>
      </c>
      <c r="J1233" s="80">
        <f>IFERROR(INDEX(打卡匯入!$C$3:$C$2002,MATCH($C1233&amp;"|"&amp;DAY($A1233),打卡匯入!$E$3:$E$2002,0)),"")</f>
        <v/>
      </c>
      <c r="K1233" s="80">
        <f>IFERROR(INDEX(打卡匯入!$D$3:$D$2002,MATCH($C1233&amp;"|"&amp;DAY($A1233),打卡匯入!$E$3:$E$2002,0)),"")</f>
        <v/>
      </c>
      <c r="L1233" s="81">
        <f>IF(OR($J1233="",$K1233=""),"",IFERROR(INDEX(設定!$F$6:$F$18,MATCH($G1233,設定!$B$6:$B$18,0)),0))</f>
        <v/>
      </c>
      <c r="M1233" s="82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1">
        <f>IF(OR($C1233="",$H1233="",$J1233=""),0,IF(ROUND(($J1233-$H1233)*1440,0)&gt;設定!$C$42,ROUND(($J1233-$H1233)*1440,0),0))</f>
        <v/>
      </c>
      <c r="P1233" s="81">
        <f>IF(OR($C1233="",$I1233="",$K1233=""),0,IF(ROUND(($I1233-$K1233)*1440,0)&gt;設定!$C$42,ROUND(($I1233-$K1233)*1440,0),0))</f>
        <v/>
      </c>
      <c r="Q1233" s="82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79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0">
        <f>IF($G1234="","",IFERROR(INDEX(設定!$D$6:$D$18,MATCH($G1234,設定!$B$6:$B$18,0)),""))</f>
        <v/>
      </c>
      <c r="I1234" s="80">
        <f>IF($G1234="","",IFERROR(INDEX(設定!$E$6:$E$18,MATCH($G1234,設定!$B$6:$B$18,0)),""))</f>
        <v/>
      </c>
      <c r="J1234" s="80">
        <f>IFERROR(INDEX(打卡匯入!$C$3:$C$2002,MATCH($C1234&amp;"|"&amp;DAY($A1234),打卡匯入!$E$3:$E$2002,0)),"")</f>
        <v/>
      </c>
      <c r="K1234" s="80">
        <f>IFERROR(INDEX(打卡匯入!$D$3:$D$2002,MATCH($C1234&amp;"|"&amp;DAY($A1234),打卡匯入!$E$3:$E$2002,0)),"")</f>
        <v/>
      </c>
      <c r="L1234" s="81">
        <f>IF(OR($J1234="",$K1234=""),"",IFERROR(INDEX(設定!$F$6:$F$18,MATCH($G1234,設定!$B$6:$B$18,0)),0))</f>
        <v/>
      </c>
      <c r="M1234" s="82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1">
        <f>IF(OR($C1234="",$H1234="",$J1234=""),0,IF(ROUND(($J1234-$H1234)*1440,0)&gt;設定!$C$42,ROUND(($J1234-$H1234)*1440,0),0))</f>
        <v/>
      </c>
      <c r="P1234" s="81">
        <f>IF(OR($C1234="",$I1234="",$K1234=""),0,IF(ROUND(($I1234-$K1234)*1440,0)&gt;設定!$C$42,ROUND(($I1234-$K1234)*1440,0),0))</f>
        <v/>
      </c>
      <c r="Q1234" s="82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79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0">
        <f>IF($G1235="","",IFERROR(INDEX(設定!$D$6:$D$18,MATCH($G1235,設定!$B$6:$B$18,0)),""))</f>
        <v/>
      </c>
      <c r="I1235" s="80">
        <f>IF($G1235="","",IFERROR(INDEX(設定!$E$6:$E$18,MATCH($G1235,設定!$B$6:$B$18,0)),""))</f>
        <v/>
      </c>
      <c r="J1235" s="80">
        <f>IFERROR(INDEX(打卡匯入!$C$3:$C$2002,MATCH($C1235&amp;"|"&amp;DAY($A1235),打卡匯入!$E$3:$E$2002,0)),"")</f>
        <v/>
      </c>
      <c r="K1235" s="80">
        <f>IFERROR(INDEX(打卡匯入!$D$3:$D$2002,MATCH($C1235&amp;"|"&amp;DAY($A1235),打卡匯入!$E$3:$E$2002,0)),"")</f>
        <v/>
      </c>
      <c r="L1235" s="81">
        <f>IF(OR($J1235="",$K1235=""),"",IFERROR(INDEX(設定!$F$6:$F$18,MATCH($G1235,設定!$B$6:$B$18,0)),0))</f>
        <v/>
      </c>
      <c r="M1235" s="82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1">
        <f>IF(OR($C1235="",$H1235="",$J1235=""),0,IF(ROUND(($J1235-$H1235)*1440,0)&gt;設定!$C$42,ROUND(($J1235-$H1235)*1440,0),0))</f>
        <v/>
      </c>
      <c r="P1235" s="81">
        <f>IF(OR($C1235="",$I1235="",$K1235=""),0,IF(ROUND(($I1235-$K1235)*1440,0)&gt;設定!$C$42,ROUND(($I1235-$K1235)*1440,0),0))</f>
        <v/>
      </c>
      <c r="Q1235" s="82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79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0">
        <f>IF($G1236="","",IFERROR(INDEX(設定!$D$6:$D$18,MATCH($G1236,設定!$B$6:$B$18,0)),""))</f>
        <v/>
      </c>
      <c r="I1236" s="80">
        <f>IF($G1236="","",IFERROR(INDEX(設定!$E$6:$E$18,MATCH($G1236,設定!$B$6:$B$18,0)),""))</f>
        <v/>
      </c>
      <c r="J1236" s="80">
        <f>IFERROR(INDEX(打卡匯入!$C$3:$C$2002,MATCH($C1236&amp;"|"&amp;DAY($A1236),打卡匯入!$E$3:$E$2002,0)),"")</f>
        <v/>
      </c>
      <c r="K1236" s="80">
        <f>IFERROR(INDEX(打卡匯入!$D$3:$D$2002,MATCH($C1236&amp;"|"&amp;DAY($A1236),打卡匯入!$E$3:$E$2002,0)),"")</f>
        <v/>
      </c>
      <c r="L1236" s="81">
        <f>IF(OR($J1236="",$K1236=""),"",IFERROR(INDEX(設定!$F$6:$F$18,MATCH($G1236,設定!$B$6:$B$18,0)),0))</f>
        <v/>
      </c>
      <c r="M1236" s="82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1">
        <f>IF(OR($C1236="",$H1236="",$J1236=""),0,IF(ROUND(($J1236-$H1236)*1440,0)&gt;設定!$C$42,ROUND(($J1236-$H1236)*1440,0),0))</f>
        <v/>
      </c>
      <c r="P1236" s="81">
        <f>IF(OR($C1236="",$I1236="",$K1236=""),0,IF(ROUND(($I1236-$K1236)*1440,0)&gt;設定!$C$42,ROUND(($I1236-$K1236)*1440,0),0))</f>
        <v/>
      </c>
      <c r="Q1236" s="82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79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0">
        <f>IF($G1237="","",IFERROR(INDEX(設定!$D$6:$D$18,MATCH($G1237,設定!$B$6:$B$18,0)),""))</f>
        <v/>
      </c>
      <c r="I1237" s="80">
        <f>IF($G1237="","",IFERROR(INDEX(設定!$E$6:$E$18,MATCH($G1237,設定!$B$6:$B$18,0)),""))</f>
        <v/>
      </c>
      <c r="J1237" s="80">
        <f>IFERROR(INDEX(打卡匯入!$C$3:$C$2002,MATCH($C1237&amp;"|"&amp;DAY($A1237),打卡匯入!$E$3:$E$2002,0)),"")</f>
        <v/>
      </c>
      <c r="K1237" s="80">
        <f>IFERROR(INDEX(打卡匯入!$D$3:$D$2002,MATCH($C1237&amp;"|"&amp;DAY($A1237),打卡匯入!$E$3:$E$2002,0)),"")</f>
        <v/>
      </c>
      <c r="L1237" s="81">
        <f>IF(OR($J1237="",$K1237=""),"",IFERROR(INDEX(設定!$F$6:$F$18,MATCH($G1237,設定!$B$6:$B$18,0)),0))</f>
        <v/>
      </c>
      <c r="M1237" s="82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1">
        <f>IF(OR($C1237="",$H1237="",$J1237=""),0,IF(ROUND(($J1237-$H1237)*1440,0)&gt;設定!$C$42,ROUND(($J1237-$H1237)*1440,0),0))</f>
        <v/>
      </c>
      <c r="P1237" s="81">
        <f>IF(OR($C1237="",$I1237="",$K1237=""),0,IF(ROUND(($I1237-$K1237)*1440,0)&gt;設定!$C$42,ROUND(($I1237-$K1237)*1440,0),0))</f>
        <v/>
      </c>
      <c r="Q1237" s="82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79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0">
        <f>IF($G1238="","",IFERROR(INDEX(設定!$D$6:$D$18,MATCH($G1238,設定!$B$6:$B$18,0)),""))</f>
        <v/>
      </c>
      <c r="I1238" s="80">
        <f>IF($G1238="","",IFERROR(INDEX(設定!$E$6:$E$18,MATCH($G1238,設定!$B$6:$B$18,0)),""))</f>
        <v/>
      </c>
      <c r="J1238" s="80">
        <f>IFERROR(INDEX(打卡匯入!$C$3:$C$2002,MATCH($C1238&amp;"|"&amp;DAY($A1238),打卡匯入!$E$3:$E$2002,0)),"")</f>
        <v/>
      </c>
      <c r="K1238" s="80">
        <f>IFERROR(INDEX(打卡匯入!$D$3:$D$2002,MATCH($C1238&amp;"|"&amp;DAY($A1238),打卡匯入!$E$3:$E$2002,0)),"")</f>
        <v/>
      </c>
      <c r="L1238" s="81">
        <f>IF(OR($J1238="",$K1238=""),"",IFERROR(INDEX(設定!$F$6:$F$18,MATCH($G1238,設定!$B$6:$B$18,0)),0))</f>
        <v/>
      </c>
      <c r="M1238" s="82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1">
        <f>IF(OR($C1238="",$H1238="",$J1238=""),0,IF(ROUND(($J1238-$H1238)*1440,0)&gt;設定!$C$42,ROUND(($J1238-$H1238)*1440,0),0))</f>
        <v/>
      </c>
      <c r="P1238" s="81">
        <f>IF(OR($C1238="",$I1238="",$K1238=""),0,IF(ROUND(($I1238-$K1238)*1440,0)&gt;設定!$C$42,ROUND(($I1238-$K1238)*1440,0),0))</f>
        <v/>
      </c>
      <c r="Q1238" s="82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79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0">
        <f>IF($G1239="","",IFERROR(INDEX(設定!$D$6:$D$18,MATCH($G1239,設定!$B$6:$B$18,0)),""))</f>
        <v/>
      </c>
      <c r="I1239" s="80">
        <f>IF($G1239="","",IFERROR(INDEX(設定!$E$6:$E$18,MATCH($G1239,設定!$B$6:$B$18,0)),""))</f>
        <v/>
      </c>
      <c r="J1239" s="80">
        <f>IFERROR(INDEX(打卡匯入!$C$3:$C$2002,MATCH($C1239&amp;"|"&amp;DAY($A1239),打卡匯入!$E$3:$E$2002,0)),"")</f>
        <v/>
      </c>
      <c r="K1239" s="80">
        <f>IFERROR(INDEX(打卡匯入!$D$3:$D$2002,MATCH($C1239&amp;"|"&amp;DAY($A1239),打卡匯入!$E$3:$E$2002,0)),"")</f>
        <v/>
      </c>
      <c r="L1239" s="81">
        <f>IF(OR($J1239="",$K1239=""),"",IFERROR(INDEX(設定!$F$6:$F$18,MATCH($G1239,設定!$B$6:$B$18,0)),0))</f>
        <v/>
      </c>
      <c r="M1239" s="82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1">
        <f>IF(OR($C1239="",$H1239="",$J1239=""),0,IF(ROUND(($J1239-$H1239)*1440,0)&gt;設定!$C$42,ROUND(($J1239-$H1239)*1440,0),0))</f>
        <v/>
      </c>
      <c r="P1239" s="81">
        <f>IF(OR($C1239="",$I1239="",$K1239=""),0,IF(ROUND(($I1239-$K1239)*1440,0)&gt;設定!$C$42,ROUND(($I1239-$K1239)*1440,0),0))</f>
        <v/>
      </c>
      <c r="Q1239" s="82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79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0">
        <f>IF($G1240="","",IFERROR(INDEX(設定!$D$6:$D$18,MATCH($G1240,設定!$B$6:$B$18,0)),""))</f>
        <v/>
      </c>
      <c r="I1240" s="80">
        <f>IF($G1240="","",IFERROR(INDEX(設定!$E$6:$E$18,MATCH($G1240,設定!$B$6:$B$18,0)),""))</f>
        <v/>
      </c>
      <c r="J1240" s="80">
        <f>IFERROR(INDEX(打卡匯入!$C$3:$C$2002,MATCH($C1240&amp;"|"&amp;DAY($A1240),打卡匯入!$E$3:$E$2002,0)),"")</f>
        <v/>
      </c>
      <c r="K1240" s="80">
        <f>IFERROR(INDEX(打卡匯入!$D$3:$D$2002,MATCH($C1240&amp;"|"&amp;DAY($A1240),打卡匯入!$E$3:$E$2002,0)),"")</f>
        <v/>
      </c>
      <c r="L1240" s="81">
        <f>IF(OR($J1240="",$K1240=""),"",IFERROR(INDEX(設定!$F$6:$F$18,MATCH($G1240,設定!$B$6:$B$18,0)),0))</f>
        <v/>
      </c>
      <c r="M1240" s="82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1">
        <f>IF(OR($C1240="",$H1240="",$J1240=""),0,IF(ROUND(($J1240-$H1240)*1440,0)&gt;設定!$C$42,ROUND(($J1240-$H1240)*1440,0),0))</f>
        <v/>
      </c>
      <c r="P1240" s="81">
        <f>IF(OR($C1240="",$I1240="",$K1240=""),0,IF(ROUND(($I1240-$K1240)*1440,0)&gt;設定!$C$42,ROUND(($I1240-$K1240)*1440,0),0))</f>
        <v/>
      </c>
      <c r="Q1240" s="82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79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0">
        <f>IF($G1241="","",IFERROR(INDEX(設定!$D$6:$D$18,MATCH($G1241,設定!$B$6:$B$18,0)),""))</f>
        <v/>
      </c>
      <c r="I1241" s="80">
        <f>IF($G1241="","",IFERROR(INDEX(設定!$E$6:$E$18,MATCH($G1241,設定!$B$6:$B$18,0)),""))</f>
        <v/>
      </c>
      <c r="J1241" s="80">
        <f>IFERROR(INDEX(打卡匯入!$C$3:$C$2002,MATCH($C1241&amp;"|"&amp;DAY($A1241),打卡匯入!$E$3:$E$2002,0)),"")</f>
        <v/>
      </c>
      <c r="K1241" s="80">
        <f>IFERROR(INDEX(打卡匯入!$D$3:$D$2002,MATCH($C1241&amp;"|"&amp;DAY($A1241),打卡匯入!$E$3:$E$2002,0)),"")</f>
        <v/>
      </c>
      <c r="L1241" s="81">
        <f>IF(OR($J1241="",$K1241=""),"",IFERROR(INDEX(設定!$F$6:$F$18,MATCH($G1241,設定!$B$6:$B$18,0)),0))</f>
        <v/>
      </c>
      <c r="M1241" s="82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1">
        <f>IF(OR($C1241="",$H1241="",$J1241=""),0,IF(ROUND(($J1241-$H1241)*1440,0)&gt;設定!$C$42,ROUND(($J1241-$H1241)*1440,0),0))</f>
        <v/>
      </c>
      <c r="P1241" s="81">
        <f>IF(OR($C1241="",$I1241="",$K1241=""),0,IF(ROUND(($I1241-$K1241)*1440,0)&gt;設定!$C$42,ROUND(($I1241-$K1241)*1440,0),0))</f>
        <v/>
      </c>
      <c r="Q1241" s="82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79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0">
        <f>IF($G1242="","",IFERROR(INDEX(設定!$D$6:$D$18,MATCH($G1242,設定!$B$6:$B$18,0)),""))</f>
        <v/>
      </c>
      <c r="I1242" s="80">
        <f>IF($G1242="","",IFERROR(INDEX(設定!$E$6:$E$18,MATCH($G1242,設定!$B$6:$B$18,0)),""))</f>
        <v/>
      </c>
      <c r="J1242" s="80">
        <f>IFERROR(INDEX(打卡匯入!$C$3:$C$2002,MATCH($C1242&amp;"|"&amp;DAY($A1242),打卡匯入!$E$3:$E$2002,0)),"")</f>
        <v/>
      </c>
      <c r="K1242" s="80">
        <f>IFERROR(INDEX(打卡匯入!$D$3:$D$2002,MATCH($C1242&amp;"|"&amp;DAY($A1242),打卡匯入!$E$3:$E$2002,0)),"")</f>
        <v/>
      </c>
      <c r="L1242" s="81">
        <f>IF(OR($J1242="",$K1242=""),"",IFERROR(INDEX(設定!$F$6:$F$18,MATCH($G1242,設定!$B$6:$B$18,0)),0))</f>
        <v/>
      </c>
      <c r="M1242" s="82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1">
        <f>IF(OR($C1242="",$H1242="",$J1242=""),0,IF(ROUND(($J1242-$H1242)*1440,0)&gt;設定!$C$42,ROUND(($J1242-$H1242)*1440,0),0))</f>
        <v/>
      </c>
      <c r="P1242" s="81">
        <f>IF(OR($C1242="",$I1242="",$K1242=""),0,IF(ROUND(($I1242-$K1242)*1440,0)&gt;設定!$C$42,ROUND(($I1242-$K1242)*1440,0),0))</f>
        <v/>
      </c>
      <c r="Q1242" s="82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79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0">
        <f>IF($G1243="","",IFERROR(INDEX(設定!$D$6:$D$18,MATCH($G1243,設定!$B$6:$B$18,0)),""))</f>
        <v/>
      </c>
      <c r="I1243" s="80">
        <f>IF($G1243="","",IFERROR(INDEX(設定!$E$6:$E$18,MATCH($G1243,設定!$B$6:$B$18,0)),""))</f>
        <v/>
      </c>
      <c r="J1243" s="80">
        <f>IFERROR(INDEX(打卡匯入!$C$3:$C$2002,MATCH($C1243&amp;"|"&amp;DAY($A1243),打卡匯入!$E$3:$E$2002,0)),"")</f>
        <v/>
      </c>
      <c r="K1243" s="80">
        <f>IFERROR(INDEX(打卡匯入!$D$3:$D$2002,MATCH($C1243&amp;"|"&amp;DAY($A1243),打卡匯入!$E$3:$E$2002,0)),"")</f>
        <v/>
      </c>
      <c r="L1243" s="81">
        <f>IF(OR($J1243="",$K1243=""),"",IFERROR(INDEX(設定!$F$6:$F$18,MATCH($G1243,設定!$B$6:$B$18,0)),0))</f>
        <v/>
      </c>
      <c r="M1243" s="82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1">
        <f>IF(OR($C1243="",$H1243="",$J1243=""),0,IF(ROUND(($J1243-$H1243)*1440,0)&gt;設定!$C$42,ROUND(($J1243-$H1243)*1440,0),0))</f>
        <v/>
      </c>
      <c r="P1243" s="81">
        <f>IF(OR($C1243="",$I1243="",$K1243=""),0,IF(ROUND(($I1243-$K1243)*1440,0)&gt;設定!$C$42,ROUND(($I1243-$K1243)*1440,0),0))</f>
        <v/>
      </c>
      <c r="Q1243" s="82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79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0">
        <f>IF($G1244="","",IFERROR(INDEX(設定!$D$6:$D$18,MATCH($G1244,設定!$B$6:$B$18,0)),""))</f>
        <v/>
      </c>
      <c r="I1244" s="80">
        <f>IF($G1244="","",IFERROR(INDEX(設定!$E$6:$E$18,MATCH($G1244,設定!$B$6:$B$18,0)),""))</f>
        <v/>
      </c>
      <c r="J1244" s="80">
        <f>IFERROR(INDEX(打卡匯入!$C$3:$C$2002,MATCH($C1244&amp;"|"&amp;DAY($A1244),打卡匯入!$E$3:$E$2002,0)),"")</f>
        <v/>
      </c>
      <c r="K1244" s="80">
        <f>IFERROR(INDEX(打卡匯入!$D$3:$D$2002,MATCH($C1244&amp;"|"&amp;DAY($A1244),打卡匯入!$E$3:$E$2002,0)),"")</f>
        <v/>
      </c>
      <c r="L1244" s="81">
        <f>IF(OR($J1244="",$K1244=""),"",IFERROR(INDEX(設定!$F$6:$F$18,MATCH($G1244,設定!$B$6:$B$18,0)),0))</f>
        <v/>
      </c>
      <c r="M1244" s="82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1">
        <f>IF(OR($C1244="",$H1244="",$J1244=""),0,IF(ROUND(($J1244-$H1244)*1440,0)&gt;設定!$C$42,ROUND(($J1244-$H1244)*1440,0),0))</f>
        <v/>
      </c>
      <c r="P1244" s="81">
        <f>IF(OR($C1244="",$I1244="",$K1244=""),0,IF(ROUND(($I1244-$K1244)*1440,0)&gt;設定!$C$42,ROUND(($I1244-$K1244)*1440,0),0))</f>
        <v/>
      </c>
      <c r="Q1244" s="82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79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0">
        <f>IF($G1245="","",IFERROR(INDEX(設定!$D$6:$D$18,MATCH($G1245,設定!$B$6:$B$18,0)),""))</f>
        <v/>
      </c>
      <c r="I1245" s="80">
        <f>IF($G1245="","",IFERROR(INDEX(設定!$E$6:$E$18,MATCH($G1245,設定!$B$6:$B$18,0)),""))</f>
        <v/>
      </c>
      <c r="J1245" s="80">
        <f>IFERROR(INDEX(打卡匯入!$C$3:$C$2002,MATCH($C1245&amp;"|"&amp;DAY($A1245),打卡匯入!$E$3:$E$2002,0)),"")</f>
        <v/>
      </c>
      <c r="K1245" s="80">
        <f>IFERROR(INDEX(打卡匯入!$D$3:$D$2002,MATCH($C1245&amp;"|"&amp;DAY($A1245),打卡匯入!$E$3:$E$2002,0)),"")</f>
        <v/>
      </c>
      <c r="L1245" s="81">
        <f>IF(OR($J1245="",$K1245=""),"",IFERROR(INDEX(設定!$F$6:$F$18,MATCH($G1245,設定!$B$6:$B$18,0)),0))</f>
        <v/>
      </c>
      <c r="M1245" s="82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1">
        <f>IF(OR($C1245="",$H1245="",$J1245=""),0,IF(ROUND(($J1245-$H1245)*1440,0)&gt;設定!$C$42,ROUND(($J1245-$H1245)*1440,0),0))</f>
        <v/>
      </c>
      <c r="P1245" s="81">
        <f>IF(OR($C1245="",$I1245="",$K1245=""),0,IF(ROUND(($I1245-$K1245)*1440,0)&gt;設定!$C$42,ROUND(($I1245-$K1245)*1440,0),0))</f>
        <v/>
      </c>
      <c r="Q1245" s="82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79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0">
        <f>IF($G1246="","",IFERROR(INDEX(設定!$D$6:$D$18,MATCH($G1246,設定!$B$6:$B$18,0)),""))</f>
        <v/>
      </c>
      <c r="I1246" s="80">
        <f>IF($G1246="","",IFERROR(INDEX(設定!$E$6:$E$18,MATCH($G1246,設定!$B$6:$B$18,0)),""))</f>
        <v/>
      </c>
      <c r="J1246" s="80">
        <f>IFERROR(INDEX(打卡匯入!$C$3:$C$2002,MATCH($C1246&amp;"|"&amp;DAY($A1246),打卡匯入!$E$3:$E$2002,0)),"")</f>
        <v/>
      </c>
      <c r="K1246" s="80">
        <f>IFERROR(INDEX(打卡匯入!$D$3:$D$2002,MATCH($C1246&amp;"|"&amp;DAY($A1246),打卡匯入!$E$3:$E$2002,0)),"")</f>
        <v/>
      </c>
      <c r="L1246" s="81">
        <f>IF(OR($J1246="",$K1246=""),"",IFERROR(INDEX(設定!$F$6:$F$18,MATCH($G1246,設定!$B$6:$B$18,0)),0))</f>
        <v/>
      </c>
      <c r="M1246" s="82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1">
        <f>IF(OR($C1246="",$H1246="",$J1246=""),0,IF(ROUND(($J1246-$H1246)*1440,0)&gt;設定!$C$42,ROUND(($J1246-$H1246)*1440,0),0))</f>
        <v/>
      </c>
      <c r="P1246" s="81">
        <f>IF(OR($C1246="",$I1246="",$K1246=""),0,IF(ROUND(($I1246-$K1246)*1440,0)&gt;設定!$C$42,ROUND(($I1246-$K1246)*1440,0),0))</f>
        <v/>
      </c>
      <c r="Q1246" s="82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79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0">
        <f>IF($G1247="","",IFERROR(INDEX(設定!$D$6:$D$18,MATCH($G1247,設定!$B$6:$B$18,0)),""))</f>
        <v/>
      </c>
      <c r="I1247" s="80">
        <f>IF($G1247="","",IFERROR(INDEX(設定!$E$6:$E$18,MATCH($G1247,設定!$B$6:$B$18,0)),""))</f>
        <v/>
      </c>
      <c r="J1247" s="80">
        <f>IFERROR(INDEX(打卡匯入!$C$3:$C$2002,MATCH($C1247&amp;"|"&amp;DAY($A1247),打卡匯入!$E$3:$E$2002,0)),"")</f>
        <v/>
      </c>
      <c r="K1247" s="80">
        <f>IFERROR(INDEX(打卡匯入!$D$3:$D$2002,MATCH($C1247&amp;"|"&amp;DAY($A1247),打卡匯入!$E$3:$E$2002,0)),"")</f>
        <v/>
      </c>
      <c r="L1247" s="81">
        <f>IF(OR($J1247="",$K1247=""),"",IFERROR(INDEX(設定!$F$6:$F$18,MATCH($G1247,設定!$B$6:$B$18,0)),0))</f>
        <v/>
      </c>
      <c r="M1247" s="82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1">
        <f>IF(OR($C1247="",$H1247="",$J1247=""),0,IF(ROUND(($J1247-$H1247)*1440,0)&gt;設定!$C$42,ROUND(($J1247-$H1247)*1440,0),0))</f>
        <v/>
      </c>
      <c r="P1247" s="81">
        <f>IF(OR($C1247="",$I1247="",$K1247=""),0,IF(ROUND(($I1247-$K1247)*1440,0)&gt;設定!$C$42,ROUND(($I1247-$K1247)*1440,0),0))</f>
        <v/>
      </c>
      <c r="Q1247" s="82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79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0">
        <f>IF($G1248="","",IFERROR(INDEX(設定!$D$6:$D$18,MATCH($G1248,設定!$B$6:$B$18,0)),""))</f>
        <v/>
      </c>
      <c r="I1248" s="80">
        <f>IF($G1248="","",IFERROR(INDEX(設定!$E$6:$E$18,MATCH($G1248,設定!$B$6:$B$18,0)),""))</f>
        <v/>
      </c>
      <c r="J1248" s="80">
        <f>IFERROR(INDEX(打卡匯入!$C$3:$C$2002,MATCH($C1248&amp;"|"&amp;DAY($A1248),打卡匯入!$E$3:$E$2002,0)),"")</f>
        <v/>
      </c>
      <c r="K1248" s="80">
        <f>IFERROR(INDEX(打卡匯入!$D$3:$D$2002,MATCH($C1248&amp;"|"&amp;DAY($A1248),打卡匯入!$E$3:$E$2002,0)),"")</f>
        <v/>
      </c>
      <c r="L1248" s="81">
        <f>IF(OR($J1248="",$K1248=""),"",IFERROR(INDEX(設定!$F$6:$F$18,MATCH($G1248,設定!$B$6:$B$18,0)),0))</f>
        <v/>
      </c>
      <c r="M1248" s="82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1">
        <f>IF(OR($C1248="",$H1248="",$J1248=""),0,IF(ROUND(($J1248-$H1248)*1440,0)&gt;設定!$C$42,ROUND(($J1248-$H1248)*1440,0),0))</f>
        <v/>
      </c>
      <c r="P1248" s="81">
        <f>IF(OR($C1248="",$I1248="",$K1248=""),0,IF(ROUND(($I1248-$K1248)*1440,0)&gt;設定!$C$42,ROUND(($I1248-$K1248)*1440,0),0))</f>
        <v/>
      </c>
      <c r="Q1248" s="82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79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0">
        <f>IF($G1249="","",IFERROR(INDEX(設定!$D$6:$D$18,MATCH($G1249,設定!$B$6:$B$18,0)),""))</f>
        <v/>
      </c>
      <c r="I1249" s="80">
        <f>IF($G1249="","",IFERROR(INDEX(設定!$E$6:$E$18,MATCH($G1249,設定!$B$6:$B$18,0)),""))</f>
        <v/>
      </c>
      <c r="J1249" s="80">
        <f>IFERROR(INDEX(打卡匯入!$C$3:$C$2002,MATCH($C1249&amp;"|"&amp;DAY($A1249),打卡匯入!$E$3:$E$2002,0)),"")</f>
        <v/>
      </c>
      <c r="K1249" s="80">
        <f>IFERROR(INDEX(打卡匯入!$D$3:$D$2002,MATCH($C1249&amp;"|"&amp;DAY($A1249),打卡匯入!$E$3:$E$2002,0)),"")</f>
        <v/>
      </c>
      <c r="L1249" s="81">
        <f>IF(OR($J1249="",$K1249=""),"",IFERROR(INDEX(設定!$F$6:$F$18,MATCH($G1249,設定!$B$6:$B$18,0)),0))</f>
        <v/>
      </c>
      <c r="M1249" s="82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1">
        <f>IF(OR($C1249="",$H1249="",$J1249=""),0,IF(ROUND(($J1249-$H1249)*1440,0)&gt;設定!$C$42,ROUND(($J1249-$H1249)*1440,0),0))</f>
        <v/>
      </c>
      <c r="P1249" s="81">
        <f>IF(OR($C1249="",$I1249="",$K1249=""),0,IF(ROUND(($I1249-$K1249)*1440,0)&gt;設定!$C$42,ROUND(($I1249-$K1249)*1440,0),0))</f>
        <v/>
      </c>
      <c r="Q1249" s="82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79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0">
        <f>IF($G1250="","",IFERROR(INDEX(設定!$D$6:$D$18,MATCH($G1250,設定!$B$6:$B$18,0)),""))</f>
        <v/>
      </c>
      <c r="I1250" s="80">
        <f>IF($G1250="","",IFERROR(INDEX(設定!$E$6:$E$18,MATCH($G1250,設定!$B$6:$B$18,0)),""))</f>
        <v/>
      </c>
      <c r="J1250" s="80">
        <f>IFERROR(INDEX(打卡匯入!$C$3:$C$2002,MATCH($C1250&amp;"|"&amp;DAY($A1250),打卡匯入!$E$3:$E$2002,0)),"")</f>
        <v/>
      </c>
      <c r="K1250" s="80">
        <f>IFERROR(INDEX(打卡匯入!$D$3:$D$2002,MATCH($C1250&amp;"|"&amp;DAY($A1250),打卡匯入!$E$3:$E$2002,0)),"")</f>
        <v/>
      </c>
      <c r="L1250" s="81">
        <f>IF(OR($J1250="",$K1250=""),"",IFERROR(INDEX(設定!$F$6:$F$18,MATCH($G1250,設定!$B$6:$B$18,0)),0))</f>
        <v/>
      </c>
      <c r="M1250" s="82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1">
        <f>IF(OR($C1250="",$H1250="",$J1250=""),0,IF(ROUND(($J1250-$H1250)*1440,0)&gt;設定!$C$42,ROUND(($J1250-$H1250)*1440,0),0))</f>
        <v/>
      </c>
      <c r="P1250" s="81">
        <f>IF(OR($C1250="",$I1250="",$K1250=""),0,IF(ROUND(($I1250-$K1250)*1440,0)&gt;設定!$C$42,ROUND(($I1250-$K1250)*1440,0),0))</f>
        <v/>
      </c>
      <c r="Q1250" s="82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79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0">
        <f>IF($G1251="","",IFERROR(INDEX(設定!$D$6:$D$18,MATCH($G1251,設定!$B$6:$B$18,0)),""))</f>
        <v/>
      </c>
      <c r="I1251" s="80">
        <f>IF($G1251="","",IFERROR(INDEX(設定!$E$6:$E$18,MATCH($G1251,設定!$B$6:$B$18,0)),""))</f>
        <v/>
      </c>
      <c r="J1251" s="80">
        <f>IFERROR(INDEX(打卡匯入!$C$3:$C$2002,MATCH($C1251&amp;"|"&amp;DAY($A1251),打卡匯入!$E$3:$E$2002,0)),"")</f>
        <v/>
      </c>
      <c r="K1251" s="80">
        <f>IFERROR(INDEX(打卡匯入!$D$3:$D$2002,MATCH($C1251&amp;"|"&amp;DAY($A1251),打卡匯入!$E$3:$E$2002,0)),"")</f>
        <v/>
      </c>
      <c r="L1251" s="81">
        <f>IF(OR($J1251="",$K1251=""),"",IFERROR(INDEX(設定!$F$6:$F$18,MATCH($G1251,設定!$B$6:$B$18,0)),0))</f>
        <v/>
      </c>
      <c r="M1251" s="82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1">
        <f>IF(OR($C1251="",$H1251="",$J1251=""),0,IF(ROUND(($J1251-$H1251)*1440,0)&gt;設定!$C$42,ROUND(($J1251-$H1251)*1440,0),0))</f>
        <v/>
      </c>
      <c r="P1251" s="81">
        <f>IF(OR($C1251="",$I1251="",$K1251=""),0,IF(ROUND(($I1251-$K1251)*1440,0)&gt;設定!$C$42,ROUND(($I1251-$K1251)*1440,0),0))</f>
        <v/>
      </c>
      <c r="Q1251" s="82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79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0">
        <f>IF($G1252="","",IFERROR(INDEX(設定!$D$6:$D$18,MATCH($G1252,設定!$B$6:$B$18,0)),""))</f>
        <v/>
      </c>
      <c r="I1252" s="80">
        <f>IF($G1252="","",IFERROR(INDEX(設定!$E$6:$E$18,MATCH($G1252,設定!$B$6:$B$18,0)),""))</f>
        <v/>
      </c>
      <c r="J1252" s="80">
        <f>IFERROR(INDEX(打卡匯入!$C$3:$C$2002,MATCH($C1252&amp;"|"&amp;DAY($A1252),打卡匯入!$E$3:$E$2002,0)),"")</f>
        <v/>
      </c>
      <c r="K1252" s="80">
        <f>IFERROR(INDEX(打卡匯入!$D$3:$D$2002,MATCH($C1252&amp;"|"&amp;DAY($A1252),打卡匯入!$E$3:$E$2002,0)),"")</f>
        <v/>
      </c>
      <c r="L1252" s="81">
        <f>IF(OR($J1252="",$K1252=""),"",IFERROR(INDEX(設定!$F$6:$F$18,MATCH($G1252,設定!$B$6:$B$18,0)),0))</f>
        <v/>
      </c>
      <c r="M1252" s="82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1">
        <f>IF(OR($C1252="",$H1252="",$J1252=""),0,IF(ROUND(($J1252-$H1252)*1440,0)&gt;設定!$C$42,ROUND(($J1252-$H1252)*1440,0),0))</f>
        <v/>
      </c>
      <c r="P1252" s="81">
        <f>IF(OR($C1252="",$I1252="",$K1252=""),0,IF(ROUND(($I1252-$K1252)*1440,0)&gt;設定!$C$42,ROUND(($I1252-$K1252)*1440,0),0))</f>
        <v/>
      </c>
      <c r="Q1252" s="82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79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0">
        <f>IF($G1253="","",IFERROR(INDEX(設定!$D$6:$D$18,MATCH($G1253,設定!$B$6:$B$18,0)),""))</f>
        <v/>
      </c>
      <c r="I1253" s="80">
        <f>IF($G1253="","",IFERROR(INDEX(設定!$E$6:$E$18,MATCH($G1253,設定!$B$6:$B$18,0)),""))</f>
        <v/>
      </c>
      <c r="J1253" s="80">
        <f>IFERROR(INDEX(打卡匯入!$C$3:$C$2002,MATCH($C1253&amp;"|"&amp;DAY($A1253),打卡匯入!$E$3:$E$2002,0)),"")</f>
        <v/>
      </c>
      <c r="K1253" s="80">
        <f>IFERROR(INDEX(打卡匯入!$D$3:$D$2002,MATCH($C1253&amp;"|"&amp;DAY($A1253),打卡匯入!$E$3:$E$2002,0)),"")</f>
        <v/>
      </c>
      <c r="L1253" s="81">
        <f>IF(OR($J1253="",$K1253=""),"",IFERROR(INDEX(設定!$F$6:$F$18,MATCH($G1253,設定!$B$6:$B$18,0)),0))</f>
        <v/>
      </c>
      <c r="M1253" s="82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1">
        <f>IF(OR($C1253="",$H1253="",$J1253=""),0,IF(ROUND(($J1253-$H1253)*1440,0)&gt;設定!$C$42,ROUND(($J1253-$H1253)*1440,0),0))</f>
        <v/>
      </c>
      <c r="P1253" s="81">
        <f>IF(OR($C1253="",$I1253="",$K1253=""),0,IF(ROUND(($I1253-$K1253)*1440,0)&gt;設定!$C$42,ROUND(($I1253-$K1253)*1440,0),0))</f>
        <v/>
      </c>
      <c r="Q1253" s="82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79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0">
        <f>IF($G1254="","",IFERROR(INDEX(設定!$D$6:$D$18,MATCH($G1254,設定!$B$6:$B$18,0)),""))</f>
        <v/>
      </c>
      <c r="I1254" s="80">
        <f>IF($G1254="","",IFERROR(INDEX(設定!$E$6:$E$18,MATCH($G1254,設定!$B$6:$B$18,0)),""))</f>
        <v/>
      </c>
      <c r="J1254" s="80">
        <f>IFERROR(INDEX(打卡匯入!$C$3:$C$2002,MATCH($C1254&amp;"|"&amp;DAY($A1254),打卡匯入!$E$3:$E$2002,0)),"")</f>
        <v/>
      </c>
      <c r="K1254" s="80">
        <f>IFERROR(INDEX(打卡匯入!$D$3:$D$2002,MATCH($C1254&amp;"|"&amp;DAY($A1254),打卡匯入!$E$3:$E$2002,0)),"")</f>
        <v/>
      </c>
      <c r="L1254" s="81">
        <f>IF(OR($J1254="",$K1254=""),"",IFERROR(INDEX(設定!$F$6:$F$18,MATCH($G1254,設定!$B$6:$B$18,0)),0))</f>
        <v/>
      </c>
      <c r="M1254" s="82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1">
        <f>IF(OR($C1254="",$H1254="",$J1254=""),0,IF(ROUND(($J1254-$H1254)*1440,0)&gt;設定!$C$42,ROUND(($J1254-$H1254)*1440,0),0))</f>
        <v/>
      </c>
      <c r="P1254" s="81">
        <f>IF(OR($C1254="",$I1254="",$K1254=""),0,IF(ROUND(($I1254-$K1254)*1440,0)&gt;設定!$C$42,ROUND(($I1254-$K1254)*1440,0),0))</f>
        <v/>
      </c>
      <c r="Q1254" s="82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79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0">
        <f>IF($G1255="","",IFERROR(INDEX(設定!$D$6:$D$18,MATCH($G1255,設定!$B$6:$B$18,0)),""))</f>
        <v/>
      </c>
      <c r="I1255" s="80">
        <f>IF($G1255="","",IFERROR(INDEX(設定!$E$6:$E$18,MATCH($G1255,設定!$B$6:$B$18,0)),""))</f>
        <v/>
      </c>
      <c r="J1255" s="80">
        <f>IFERROR(INDEX(打卡匯入!$C$3:$C$2002,MATCH($C1255&amp;"|"&amp;DAY($A1255),打卡匯入!$E$3:$E$2002,0)),"")</f>
        <v/>
      </c>
      <c r="K1255" s="80">
        <f>IFERROR(INDEX(打卡匯入!$D$3:$D$2002,MATCH($C1255&amp;"|"&amp;DAY($A1255),打卡匯入!$E$3:$E$2002,0)),"")</f>
        <v/>
      </c>
      <c r="L1255" s="81">
        <f>IF(OR($J1255="",$K1255=""),"",IFERROR(INDEX(設定!$F$6:$F$18,MATCH($G1255,設定!$B$6:$B$18,0)),0))</f>
        <v/>
      </c>
      <c r="M1255" s="82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1">
        <f>IF(OR($C1255="",$H1255="",$J1255=""),0,IF(ROUND(($J1255-$H1255)*1440,0)&gt;設定!$C$42,ROUND(($J1255-$H1255)*1440,0),0))</f>
        <v/>
      </c>
      <c r="P1255" s="81">
        <f>IF(OR($C1255="",$I1255="",$K1255=""),0,IF(ROUND(($I1255-$K1255)*1440,0)&gt;設定!$C$42,ROUND(($I1255-$K1255)*1440,0),0))</f>
        <v/>
      </c>
      <c r="Q1255" s="82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79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0">
        <f>IF($G1256="","",IFERROR(INDEX(設定!$D$6:$D$18,MATCH($G1256,設定!$B$6:$B$18,0)),""))</f>
        <v/>
      </c>
      <c r="I1256" s="80">
        <f>IF($G1256="","",IFERROR(INDEX(設定!$E$6:$E$18,MATCH($G1256,設定!$B$6:$B$18,0)),""))</f>
        <v/>
      </c>
      <c r="J1256" s="80">
        <f>IFERROR(INDEX(打卡匯入!$C$3:$C$2002,MATCH($C1256&amp;"|"&amp;DAY($A1256),打卡匯入!$E$3:$E$2002,0)),"")</f>
        <v/>
      </c>
      <c r="K1256" s="80">
        <f>IFERROR(INDEX(打卡匯入!$D$3:$D$2002,MATCH($C1256&amp;"|"&amp;DAY($A1256),打卡匯入!$E$3:$E$2002,0)),"")</f>
        <v/>
      </c>
      <c r="L1256" s="81">
        <f>IF(OR($J1256="",$K1256=""),"",IFERROR(INDEX(設定!$F$6:$F$18,MATCH($G1256,設定!$B$6:$B$18,0)),0))</f>
        <v/>
      </c>
      <c r="M1256" s="82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1">
        <f>IF(OR($C1256="",$H1256="",$J1256=""),0,IF(ROUND(($J1256-$H1256)*1440,0)&gt;設定!$C$42,ROUND(($J1256-$H1256)*1440,0),0))</f>
        <v/>
      </c>
      <c r="P1256" s="81">
        <f>IF(OR($C1256="",$I1256="",$K1256=""),0,IF(ROUND(($I1256-$K1256)*1440,0)&gt;設定!$C$42,ROUND(($I1256-$K1256)*1440,0),0))</f>
        <v/>
      </c>
      <c r="Q1256" s="82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79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0">
        <f>IF($G1257="","",IFERROR(INDEX(設定!$D$6:$D$18,MATCH($G1257,設定!$B$6:$B$18,0)),""))</f>
        <v/>
      </c>
      <c r="I1257" s="80">
        <f>IF($G1257="","",IFERROR(INDEX(設定!$E$6:$E$18,MATCH($G1257,設定!$B$6:$B$18,0)),""))</f>
        <v/>
      </c>
      <c r="J1257" s="80">
        <f>IFERROR(INDEX(打卡匯入!$C$3:$C$2002,MATCH($C1257&amp;"|"&amp;DAY($A1257),打卡匯入!$E$3:$E$2002,0)),"")</f>
        <v/>
      </c>
      <c r="K1257" s="80">
        <f>IFERROR(INDEX(打卡匯入!$D$3:$D$2002,MATCH($C1257&amp;"|"&amp;DAY($A1257),打卡匯入!$E$3:$E$2002,0)),"")</f>
        <v/>
      </c>
      <c r="L1257" s="81">
        <f>IF(OR($J1257="",$K1257=""),"",IFERROR(INDEX(設定!$F$6:$F$18,MATCH($G1257,設定!$B$6:$B$18,0)),0))</f>
        <v/>
      </c>
      <c r="M1257" s="82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1">
        <f>IF(OR($C1257="",$H1257="",$J1257=""),0,IF(ROUND(($J1257-$H1257)*1440,0)&gt;設定!$C$42,ROUND(($J1257-$H1257)*1440,0),0))</f>
        <v/>
      </c>
      <c r="P1257" s="81">
        <f>IF(OR($C1257="",$I1257="",$K1257=""),0,IF(ROUND(($I1257-$K1257)*1440,0)&gt;設定!$C$42,ROUND(($I1257-$K1257)*1440,0),0))</f>
        <v/>
      </c>
      <c r="Q1257" s="82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79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0">
        <f>IF($G1258="","",IFERROR(INDEX(設定!$D$6:$D$18,MATCH($G1258,設定!$B$6:$B$18,0)),""))</f>
        <v/>
      </c>
      <c r="I1258" s="80">
        <f>IF($G1258="","",IFERROR(INDEX(設定!$E$6:$E$18,MATCH($G1258,設定!$B$6:$B$18,0)),""))</f>
        <v/>
      </c>
      <c r="J1258" s="80">
        <f>IFERROR(INDEX(打卡匯入!$C$3:$C$2002,MATCH($C1258&amp;"|"&amp;DAY($A1258),打卡匯入!$E$3:$E$2002,0)),"")</f>
        <v/>
      </c>
      <c r="K1258" s="80">
        <f>IFERROR(INDEX(打卡匯入!$D$3:$D$2002,MATCH($C1258&amp;"|"&amp;DAY($A1258),打卡匯入!$E$3:$E$2002,0)),"")</f>
        <v/>
      </c>
      <c r="L1258" s="81">
        <f>IF(OR($J1258="",$K1258=""),"",IFERROR(INDEX(設定!$F$6:$F$18,MATCH($G1258,設定!$B$6:$B$18,0)),0))</f>
        <v/>
      </c>
      <c r="M1258" s="82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1">
        <f>IF(OR($C1258="",$H1258="",$J1258=""),0,IF(ROUND(($J1258-$H1258)*1440,0)&gt;設定!$C$42,ROUND(($J1258-$H1258)*1440,0),0))</f>
        <v/>
      </c>
      <c r="P1258" s="81">
        <f>IF(OR($C1258="",$I1258="",$K1258=""),0,IF(ROUND(($I1258-$K1258)*1440,0)&gt;設定!$C$42,ROUND(($I1258-$K1258)*1440,0),0))</f>
        <v/>
      </c>
      <c r="Q1258" s="82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79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0">
        <f>IF($G1259="","",IFERROR(INDEX(設定!$D$6:$D$18,MATCH($G1259,設定!$B$6:$B$18,0)),""))</f>
        <v/>
      </c>
      <c r="I1259" s="80">
        <f>IF($G1259="","",IFERROR(INDEX(設定!$E$6:$E$18,MATCH($G1259,設定!$B$6:$B$18,0)),""))</f>
        <v/>
      </c>
      <c r="J1259" s="80">
        <f>IFERROR(INDEX(打卡匯入!$C$3:$C$2002,MATCH($C1259&amp;"|"&amp;DAY($A1259),打卡匯入!$E$3:$E$2002,0)),"")</f>
        <v/>
      </c>
      <c r="K1259" s="80">
        <f>IFERROR(INDEX(打卡匯入!$D$3:$D$2002,MATCH($C1259&amp;"|"&amp;DAY($A1259),打卡匯入!$E$3:$E$2002,0)),"")</f>
        <v/>
      </c>
      <c r="L1259" s="81">
        <f>IF(OR($J1259="",$K1259=""),"",IFERROR(INDEX(設定!$F$6:$F$18,MATCH($G1259,設定!$B$6:$B$18,0)),0))</f>
        <v/>
      </c>
      <c r="M1259" s="82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1">
        <f>IF(OR($C1259="",$H1259="",$J1259=""),0,IF(ROUND(($J1259-$H1259)*1440,0)&gt;設定!$C$42,ROUND(($J1259-$H1259)*1440,0),0))</f>
        <v/>
      </c>
      <c r="P1259" s="81">
        <f>IF(OR($C1259="",$I1259="",$K1259=""),0,IF(ROUND(($I1259-$K1259)*1440,0)&gt;設定!$C$42,ROUND(($I1259-$K1259)*1440,0),0))</f>
        <v/>
      </c>
      <c r="Q1259" s="82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79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0">
        <f>IF($G1260="","",IFERROR(INDEX(設定!$D$6:$D$18,MATCH($G1260,設定!$B$6:$B$18,0)),""))</f>
        <v/>
      </c>
      <c r="I1260" s="80">
        <f>IF($G1260="","",IFERROR(INDEX(設定!$E$6:$E$18,MATCH($G1260,設定!$B$6:$B$18,0)),""))</f>
        <v/>
      </c>
      <c r="J1260" s="80">
        <f>IFERROR(INDEX(打卡匯入!$C$3:$C$2002,MATCH($C1260&amp;"|"&amp;DAY($A1260),打卡匯入!$E$3:$E$2002,0)),"")</f>
        <v/>
      </c>
      <c r="K1260" s="80">
        <f>IFERROR(INDEX(打卡匯入!$D$3:$D$2002,MATCH($C1260&amp;"|"&amp;DAY($A1260),打卡匯入!$E$3:$E$2002,0)),"")</f>
        <v/>
      </c>
      <c r="L1260" s="81">
        <f>IF(OR($J1260="",$K1260=""),"",IFERROR(INDEX(設定!$F$6:$F$18,MATCH($G1260,設定!$B$6:$B$18,0)),0))</f>
        <v/>
      </c>
      <c r="M1260" s="82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1">
        <f>IF(OR($C1260="",$H1260="",$J1260=""),0,IF(ROUND(($J1260-$H1260)*1440,0)&gt;設定!$C$42,ROUND(($J1260-$H1260)*1440,0),0))</f>
        <v/>
      </c>
      <c r="P1260" s="81">
        <f>IF(OR($C1260="",$I1260="",$K1260=""),0,IF(ROUND(($I1260-$K1260)*1440,0)&gt;設定!$C$42,ROUND(($I1260-$K1260)*1440,0),0))</f>
        <v/>
      </c>
      <c r="Q1260" s="82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79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0">
        <f>IF($G1261="","",IFERROR(INDEX(設定!$D$6:$D$18,MATCH($G1261,設定!$B$6:$B$18,0)),""))</f>
        <v/>
      </c>
      <c r="I1261" s="80">
        <f>IF($G1261="","",IFERROR(INDEX(設定!$E$6:$E$18,MATCH($G1261,設定!$B$6:$B$18,0)),""))</f>
        <v/>
      </c>
      <c r="J1261" s="80">
        <f>IFERROR(INDEX(打卡匯入!$C$3:$C$2002,MATCH($C1261&amp;"|"&amp;DAY($A1261),打卡匯入!$E$3:$E$2002,0)),"")</f>
        <v/>
      </c>
      <c r="K1261" s="80">
        <f>IFERROR(INDEX(打卡匯入!$D$3:$D$2002,MATCH($C1261&amp;"|"&amp;DAY($A1261),打卡匯入!$E$3:$E$2002,0)),"")</f>
        <v/>
      </c>
      <c r="L1261" s="81">
        <f>IF(OR($J1261="",$K1261=""),"",IFERROR(INDEX(設定!$F$6:$F$18,MATCH($G1261,設定!$B$6:$B$18,0)),0))</f>
        <v/>
      </c>
      <c r="M1261" s="82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1">
        <f>IF(OR($C1261="",$H1261="",$J1261=""),0,IF(ROUND(($J1261-$H1261)*1440,0)&gt;設定!$C$42,ROUND(($J1261-$H1261)*1440,0),0))</f>
        <v/>
      </c>
      <c r="P1261" s="81">
        <f>IF(OR($C1261="",$I1261="",$K1261=""),0,IF(ROUND(($I1261-$K1261)*1440,0)&gt;設定!$C$42,ROUND(($I1261-$K1261)*1440,0),0))</f>
        <v/>
      </c>
      <c r="Q1261" s="82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79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0">
        <f>IF($G1262="","",IFERROR(INDEX(設定!$D$6:$D$18,MATCH($G1262,設定!$B$6:$B$18,0)),""))</f>
        <v/>
      </c>
      <c r="I1262" s="80">
        <f>IF($G1262="","",IFERROR(INDEX(設定!$E$6:$E$18,MATCH($G1262,設定!$B$6:$B$18,0)),""))</f>
        <v/>
      </c>
      <c r="J1262" s="80">
        <f>IFERROR(INDEX(打卡匯入!$C$3:$C$2002,MATCH($C1262&amp;"|"&amp;DAY($A1262),打卡匯入!$E$3:$E$2002,0)),"")</f>
        <v/>
      </c>
      <c r="K1262" s="80">
        <f>IFERROR(INDEX(打卡匯入!$D$3:$D$2002,MATCH($C1262&amp;"|"&amp;DAY($A1262),打卡匯入!$E$3:$E$2002,0)),"")</f>
        <v/>
      </c>
      <c r="L1262" s="81">
        <f>IF(OR($J1262="",$K1262=""),"",IFERROR(INDEX(設定!$F$6:$F$18,MATCH($G1262,設定!$B$6:$B$18,0)),0))</f>
        <v/>
      </c>
      <c r="M1262" s="82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1">
        <f>IF(OR($C1262="",$H1262="",$J1262=""),0,IF(ROUND(($J1262-$H1262)*1440,0)&gt;設定!$C$42,ROUND(($J1262-$H1262)*1440,0),0))</f>
        <v/>
      </c>
      <c r="P1262" s="81">
        <f>IF(OR($C1262="",$I1262="",$K1262=""),0,IF(ROUND(($I1262-$K1262)*1440,0)&gt;設定!$C$42,ROUND(($I1262-$K1262)*1440,0),0))</f>
        <v/>
      </c>
      <c r="Q1262" s="82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79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0">
        <f>IF($G1263="","",IFERROR(INDEX(設定!$D$6:$D$18,MATCH($G1263,設定!$B$6:$B$18,0)),""))</f>
        <v/>
      </c>
      <c r="I1263" s="80">
        <f>IF($G1263="","",IFERROR(INDEX(設定!$E$6:$E$18,MATCH($G1263,設定!$B$6:$B$18,0)),""))</f>
        <v/>
      </c>
      <c r="J1263" s="80">
        <f>IFERROR(INDEX(打卡匯入!$C$3:$C$2002,MATCH($C1263&amp;"|"&amp;DAY($A1263),打卡匯入!$E$3:$E$2002,0)),"")</f>
        <v/>
      </c>
      <c r="K1263" s="80">
        <f>IFERROR(INDEX(打卡匯入!$D$3:$D$2002,MATCH($C1263&amp;"|"&amp;DAY($A1263),打卡匯入!$E$3:$E$2002,0)),"")</f>
        <v/>
      </c>
      <c r="L1263" s="81">
        <f>IF(OR($J1263="",$K1263=""),"",IFERROR(INDEX(設定!$F$6:$F$18,MATCH($G1263,設定!$B$6:$B$18,0)),0))</f>
        <v/>
      </c>
      <c r="M1263" s="82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1">
        <f>IF(OR($C1263="",$H1263="",$J1263=""),0,IF(ROUND(($J1263-$H1263)*1440,0)&gt;設定!$C$42,ROUND(($J1263-$H1263)*1440,0),0))</f>
        <v/>
      </c>
      <c r="P1263" s="81">
        <f>IF(OR($C1263="",$I1263="",$K1263=""),0,IF(ROUND(($I1263-$K1263)*1440,0)&gt;設定!$C$42,ROUND(($I1263-$K1263)*1440,0),0))</f>
        <v/>
      </c>
      <c r="Q1263" s="82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79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0">
        <f>IF($G1264="","",IFERROR(INDEX(設定!$D$6:$D$18,MATCH($G1264,設定!$B$6:$B$18,0)),""))</f>
        <v/>
      </c>
      <c r="I1264" s="80">
        <f>IF($G1264="","",IFERROR(INDEX(設定!$E$6:$E$18,MATCH($G1264,設定!$B$6:$B$18,0)),""))</f>
        <v/>
      </c>
      <c r="J1264" s="80">
        <f>IFERROR(INDEX(打卡匯入!$C$3:$C$2002,MATCH($C1264&amp;"|"&amp;DAY($A1264),打卡匯入!$E$3:$E$2002,0)),"")</f>
        <v/>
      </c>
      <c r="K1264" s="80">
        <f>IFERROR(INDEX(打卡匯入!$D$3:$D$2002,MATCH($C1264&amp;"|"&amp;DAY($A1264),打卡匯入!$E$3:$E$2002,0)),"")</f>
        <v/>
      </c>
      <c r="L1264" s="81">
        <f>IF(OR($J1264="",$K1264=""),"",IFERROR(INDEX(設定!$F$6:$F$18,MATCH($G1264,設定!$B$6:$B$18,0)),0))</f>
        <v/>
      </c>
      <c r="M1264" s="82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1">
        <f>IF(OR($C1264="",$H1264="",$J1264=""),0,IF(ROUND(($J1264-$H1264)*1440,0)&gt;設定!$C$42,ROUND(($J1264-$H1264)*1440,0),0))</f>
        <v/>
      </c>
      <c r="P1264" s="81">
        <f>IF(OR($C1264="",$I1264="",$K1264=""),0,IF(ROUND(($I1264-$K1264)*1440,0)&gt;設定!$C$42,ROUND(($I1264-$K1264)*1440,0),0))</f>
        <v/>
      </c>
      <c r="Q1264" s="82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79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0">
        <f>IF($G1265="","",IFERROR(INDEX(設定!$D$6:$D$18,MATCH($G1265,設定!$B$6:$B$18,0)),""))</f>
        <v/>
      </c>
      <c r="I1265" s="80">
        <f>IF($G1265="","",IFERROR(INDEX(設定!$E$6:$E$18,MATCH($G1265,設定!$B$6:$B$18,0)),""))</f>
        <v/>
      </c>
      <c r="J1265" s="80">
        <f>IFERROR(INDEX(打卡匯入!$C$3:$C$2002,MATCH($C1265&amp;"|"&amp;DAY($A1265),打卡匯入!$E$3:$E$2002,0)),"")</f>
        <v/>
      </c>
      <c r="K1265" s="80">
        <f>IFERROR(INDEX(打卡匯入!$D$3:$D$2002,MATCH($C1265&amp;"|"&amp;DAY($A1265),打卡匯入!$E$3:$E$2002,0)),"")</f>
        <v/>
      </c>
      <c r="L1265" s="81">
        <f>IF(OR($J1265="",$K1265=""),"",IFERROR(INDEX(設定!$F$6:$F$18,MATCH($G1265,設定!$B$6:$B$18,0)),0))</f>
        <v/>
      </c>
      <c r="M1265" s="82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1">
        <f>IF(OR($C1265="",$H1265="",$J1265=""),0,IF(ROUND(($J1265-$H1265)*1440,0)&gt;設定!$C$42,ROUND(($J1265-$H1265)*1440,0),0))</f>
        <v/>
      </c>
      <c r="P1265" s="81">
        <f>IF(OR($C1265="",$I1265="",$K1265=""),0,IF(ROUND(($I1265-$K1265)*1440,0)&gt;設定!$C$42,ROUND(($I1265-$K1265)*1440,0),0))</f>
        <v/>
      </c>
      <c r="Q1265" s="82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79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0">
        <f>IF($G1266="","",IFERROR(INDEX(設定!$D$6:$D$18,MATCH($G1266,設定!$B$6:$B$18,0)),""))</f>
        <v/>
      </c>
      <c r="I1266" s="80">
        <f>IF($G1266="","",IFERROR(INDEX(設定!$E$6:$E$18,MATCH($G1266,設定!$B$6:$B$18,0)),""))</f>
        <v/>
      </c>
      <c r="J1266" s="80">
        <f>IFERROR(INDEX(打卡匯入!$C$3:$C$2002,MATCH($C1266&amp;"|"&amp;DAY($A1266),打卡匯入!$E$3:$E$2002,0)),"")</f>
        <v/>
      </c>
      <c r="K1266" s="80">
        <f>IFERROR(INDEX(打卡匯入!$D$3:$D$2002,MATCH($C1266&amp;"|"&amp;DAY($A1266),打卡匯入!$E$3:$E$2002,0)),"")</f>
        <v/>
      </c>
      <c r="L1266" s="81">
        <f>IF(OR($J1266="",$K1266=""),"",IFERROR(INDEX(設定!$F$6:$F$18,MATCH($G1266,設定!$B$6:$B$18,0)),0))</f>
        <v/>
      </c>
      <c r="M1266" s="82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1">
        <f>IF(OR($C1266="",$H1266="",$J1266=""),0,IF(ROUND(($J1266-$H1266)*1440,0)&gt;設定!$C$42,ROUND(($J1266-$H1266)*1440,0),0))</f>
        <v/>
      </c>
      <c r="P1266" s="81">
        <f>IF(OR($C1266="",$I1266="",$K1266=""),0,IF(ROUND(($I1266-$K1266)*1440,0)&gt;設定!$C$42,ROUND(($I1266-$K1266)*1440,0),0))</f>
        <v/>
      </c>
      <c r="Q1266" s="82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79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0">
        <f>IF($G1267="","",IFERROR(INDEX(設定!$D$6:$D$18,MATCH($G1267,設定!$B$6:$B$18,0)),""))</f>
        <v/>
      </c>
      <c r="I1267" s="80">
        <f>IF($G1267="","",IFERROR(INDEX(設定!$E$6:$E$18,MATCH($G1267,設定!$B$6:$B$18,0)),""))</f>
        <v/>
      </c>
      <c r="J1267" s="80">
        <f>IFERROR(INDEX(打卡匯入!$C$3:$C$2002,MATCH($C1267&amp;"|"&amp;DAY($A1267),打卡匯入!$E$3:$E$2002,0)),"")</f>
        <v/>
      </c>
      <c r="K1267" s="80">
        <f>IFERROR(INDEX(打卡匯入!$D$3:$D$2002,MATCH($C1267&amp;"|"&amp;DAY($A1267),打卡匯入!$E$3:$E$2002,0)),"")</f>
        <v/>
      </c>
      <c r="L1267" s="81">
        <f>IF(OR($J1267="",$K1267=""),"",IFERROR(INDEX(設定!$F$6:$F$18,MATCH($G1267,設定!$B$6:$B$18,0)),0))</f>
        <v/>
      </c>
      <c r="M1267" s="82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1">
        <f>IF(OR($C1267="",$H1267="",$J1267=""),0,IF(ROUND(($J1267-$H1267)*1440,0)&gt;設定!$C$42,ROUND(($J1267-$H1267)*1440,0),0))</f>
        <v/>
      </c>
      <c r="P1267" s="81">
        <f>IF(OR($C1267="",$I1267="",$K1267=""),0,IF(ROUND(($I1267-$K1267)*1440,0)&gt;設定!$C$42,ROUND(($I1267-$K1267)*1440,0),0))</f>
        <v/>
      </c>
      <c r="Q1267" s="82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79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0">
        <f>IF($G1268="","",IFERROR(INDEX(設定!$D$6:$D$18,MATCH($G1268,設定!$B$6:$B$18,0)),""))</f>
        <v/>
      </c>
      <c r="I1268" s="80">
        <f>IF($G1268="","",IFERROR(INDEX(設定!$E$6:$E$18,MATCH($G1268,設定!$B$6:$B$18,0)),""))</f>
        <v/>
      </c>
      <c r="J1268" s="80">
        <f>IFERROR(INDEX(打卡匯入!$C$3:$C$2002,MATCH($C1268&amp;"|"&amp;DAY($A1268),打卡匯入!$E$3:$E$2002,0)),"")</f>
        <v/>
      </c>
      <c r="K1268" s="80">
        <f>IFERROR(INDEX(打卡匯入!$D$3:$D$2002,MATCH($C1268&amp;"|"&amp;DAY($A1268),打卡匯入!$E$3:$E$2002,0)),"")</f>
        <v/>
      </c>
      <c r="L1268" s="81">
        <f>IF(OR($J1268="",$K1268=""),"",IFERROR(INDEX(設定!$F$6:$F$18,MATCH($G1268,設定!$B$6:$B$18,0)),0))</f>
        <v/>
      </c>
      <c r="M1268" s="82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1">
        <f>IF(OR($C1268="",$H1268="",$J1268=""),0,IF(ROUND(($J1268-$H1268)*1440,0)&gt;設定!$C$42,ROUND(($J1268-$H1268)*1440,0),0))</f>
        <v/>
      </c>
      <c r="P1268" s="81">
        <f>IF(OR($C1268="",$I1268="",$K1268=""),0,IF(ROUND(($I1268-$K1268)*1440,0)&gt;設定!$C$42,ROUND(($I1268-$K1268)*1440,0),0))</f>
        <v/>
      </c>
      <c r="Q1268" s="82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79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0">
        <f>IF($G1269="","",IFERROR(INDEX(設定!$D$6:$D$18,MATCH($G1269,設定!$B$6:$B$18,0)),""))</f>
        <v/>
      </c>
      <c r="I1269" s="80">
        <f>IF($G1269="","",IFERROR(INDEX(設定!$E$6:$E$18,MATCH($G1269,設定!$B$6:$B$18,0)),""))</f>
        <v/>
      </c>
      <c r="J1269" s="80">
        <f>IFERROR(INDEX(打卡匯入!$C$3:$C$2002,MATCH($C1269&amp;"|"&amp;DAY($A1269),打卡匯入!$E$3:$E$2002,0)),"")</f>
        <v/>
      </c>
      <c r="K1269" s="80">
        <f>IFERROR(INDEX(打卡匯入!$D$3:$D$2002,MATCH($C1269&amp;"|"&amp;DAY($A1269),打卡匯入!$E$3:$E$2002,0)),"")</f>
        <v/>
      </c>
      <c r="L1269" s="81">
        <f>IF(OR($J1269="",$K1269=""),"",IFERROR(INDEX(設定!$F$6:$F$18,MATCH($G1269,設定!$B$6:$B$18,0)),0))</f>
        <v/>
      </c>
      <c r="M1269" s="82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1">
        <f>IF(OR($C1269="",$H1269="",$J1269=""),0,IF(ROUND(($J1269-$H1269)*1440,0)&gt;設定!$C$42,ROUND(($J1269-$H1269)*1440,0),0))</f>
        <v/>
      </c>
      <c r="P1269" s="81">
        <f>IF(OR($C1269="",$I1269="",$K1269=""),0,IF(ROUND(($I1269-$K1269)*1440,0)&gt;設定!$C$42,ROUND(($I1269-$K1269)*1440,0),0))</f>
        <v/>
      </c>
      <c r="Q1269" s="82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79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0">
        <f>IF($G1270="","",IFERROR(INDEX(設定!$D$6:$D$18,MATCH($G1270,設定!$B$6:$B$18,0)),""))</f>
        <v/>
      </c>
      <c r="I1270" s="80">
        <f>IF($G1270="","",IFERROR(INDEX(設定!$E$6:$E$18,MATCH($G1270,設定!$B$6:$B$18,0)),""))</f>
        <v/>
      </c>
      <c r="J1270" s="80">
        <f>IFERROR(INDEX(打卡匯入!$C$3:$C$2002,MATCH($C1270&amp;"|"&amp;DAY($A1270),打卡匯入!$E$3:$E$2002,0)),"")</f>
        <v/>
      </c>
      <c r="K1270" s="80">
        <f>IFERROR(INDEX(打卡匯入!$D$3:$D$2002,MATCH($C1270&amp;"|"&amp;DAY($A1270),打卡匯入!$E$3:$E$2002,0)),"")</f>
        <v/>
      </c>
      <c r="L1270" s="81">
        <f>IF(OR($J1270="",$K1270=""),"",IFERROR(INDEX(設定!$F$6:$F$18,MATCH($G1270,設定!$B$6:$B$18,0)),0))</f>
        <v/>
      </c>
      <c r="M1270" s="82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1">
        <f>IF(OR($C1270="",$H1270="",$J1270=""),0,IF(ROUND(($J1270-$H1270)*1440,0)&gt;設定!$C$42,ROUND(($J1270-$H1270)*1440,0),0))</f>
        <v/>
      </c>
      <c r="P1270" s="81">
        <f>IF(OR($C1270="",$I1270="",$K1270=""),0,IF(ROUND(($I1270-$K1270)*1440,0)&gt;設定!$C$42,ROUND(($I1270-$K1270)*1440,0),0))</f>
        <v/>
      </c>
      <c r="Q1270" s="82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79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0">
        <f>IF($G1271="","",IFERROR(INDEX(設定!$D$6:$D$18,MATCH($G1271,設定!$B$6:$B$18,0)),""))</f>
        <v/>
      </c>
      <c r="I1271" s="80">
        <f>IF($G1271="","",IFERROR(INDEX(設定!$E$6:$E$18,MATCH($G1271,設定!$B$6:$B$18,0)),""))</f>
        <v/>
      </c>
      <c r="J1271" s="80">
        <f>IFERROR(INDEX(打卡匯入!$C$3:$C$2002,MATCH($C1271&amp;"|"&amp;DAY($A1271),打卡匯入!$E$3:$E$2002,0)),"")</f>
        <v/>
      </c>
      <c r="K1271" s="80">
        <f>IFERROR(INDEX(打卡匯入!$D$3:$D$2002,MATCH($C1271&amp;"|"&amp;DAY($A1271),打卡匯入!$E$3:$E$2002,0)),"")</f>
        <v/>
      </c>
      <c r="L1271" s="81">
        <f>IF(OR($J1271="",$K1271=""),"",IFERROR(INDEX(設定!$F$6:$F$18,MATCH($G1271,設定!$B$6:$B$18,0)),0))</f>
        <v/>
      </c>
      <c r="M1271" s="82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1">
        <f>IF(OR($C1271="",$H1271="",$J1271=""),0,IF(ROUND(($J1271-$H1271)*1440,0)&gt;設定!$C$42,ROUND(($J1271-$H1271)*1440,0),0))</f>
        <v/>
      </c>
      <c r="P1271" s="81">
        <f>IF(OR($C1271="",$I1271="",$K1271=""),0,IF(ROUND(($I1271-$K1271)*1440,0)&gt;設定!$C$42,ROUND(($I1271-$K1271)*1440,0),0))</f>
        <v/>
      </c>
      <c r="Q1271" s="82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79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0">
        <f>IF($G1272="","",IFERROR(INDEX(設定!$D$6:$D$18,MATCH($G1272,設定!$B$6:$B$18,0)),""))</f>
        <v/>
      </c>
      <c r="I1272" s="80">
        <f>IF($G1272="","",IFERROR(INDEX(設定!$E$6:$E$18,MATCH($G1272,設定!$B$6:$B$18,0)),""))</f>
        <v/>
      </c>
      <c r="J1272" s="80">
        <f>IFERROR(INDEX(打卡匯入!$C$3:$C$2002,MATCH($C1272&amp;"|"&amp;DAY($A1272),打卡匯入!$E$3:$E$2002,0)),"")</f>
        <v/>
      </c>
      <c r="K1272" s="80">
        <f>IFERROR(INDEX(打卡匯入!$D$3:$D$2002,MATCH($C1272&amp;"|"&amp;DAY($A1272),打卡匯入!$E$3:$E$2002,0)),"")</f>
        <v/>
      </c>
      <c r="L1272" s="81">
        <f>IF(OR($J1272="",$K1272=""),"",IFERROR(INDEX(設定!$F$6:$F$18,MATCH($G1272,設定!$B$6:$B$18,0)),0))</f>
        <v/>
      </c>
      <c r="M1272" s="82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1">
        <f>IF(OR($C1272="",$H1272="",$J1272=""),0,IF(ROUND(($J1272-$H1272)*1440,0)&gt;設定!$C$42,ROUND(($J1272-$H1272)*1440,0),0))</f>
        <v/>
      </c>
      <c r="P1272" s="81">
        <f>IF(OR($C1272="",$I1272="",$K1272=""),0,IF(ROUND(($I1272-$K1272)*1440,0)&gt;設定!$C$42,ROUND(($I1272-$K1272)*1440,0),0))</f>
        <v/>
      </c>
      <c r="Q1272" s="82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79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0">
        <f>IF($G1273="","",IFERROR(INDEX(設定!$D$6:$D$18,MATCH($G1273,設定!$B$6:$B$18,0)),""))</f>
        <v/>
      </c>
      <c r="I1273" s="80">
        <f>IF($G1273="","",IFERROR(INDEX(設定!$E$6:$E$18,MATCH($G1273,設定!$B$6:$B$18,0)),""))</f>
        <v/>
      </c>
      <c r="J1273" s="80">
        <f>IFERROR(INDEX(打卡匯入!$C$3:$C$2002,MATCH($C1273&amp;"|"&amp;DAY($A1273),打卡匯入!$E$3:$E$2002,0)),"")</f>
        <v/>
      </c>
      <c r="K1273" s="80">
        <f>IFERROR(INDEX(打卡匯入!$D$3:$D$2002,MATCH($C1273&amp;"|"&amp;DAY($A1273),打卡匯入!$E$3:$E$2002,0)),"")</f>
        <v/>
      </c>
      <c r="L1273" s="81">
        <f>IF(OR($J1273="",$K1273=""),"",IFERROR(INDEX(設定!$F$6:$F$18,MATCH($G1273,設定!$B$6:$B$18,0)),0))</f>
        <v/>
      </c>
      <c r="M1273" s="82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1">
        <f>IF(OR($C1273="",$H1273="",$J1273=""),0,IF(ROUND(($J1273-$H1273)*1440,0)&gt;設定!$C$42,ROUND(($J1273-$H1273)*1440,0),0))</f>
        <v/>
      </c>
      <c r="P1273" s="81">
        <f>IF(OR($C1273="",$I1273="",$K1273=""),0,IF(ROUND(($I1273-$K1273)*1440,0)&gt;設定!$C$42,ROUND(($I1273-$K1273)*1440,0),0))</f>
        <v/>
      </c>
      <c r="Q1273" s="82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79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0">
        <f>IF($G1274="","",IFERROR(INDEX(設定!$D$6:$D$18,MATCH($G1274,設定!$B$6:$B$18,0)),""))</f>
        <v/>
      </c>
      <c r="I1274" s="80">
        <f>IF($G1274="","",IFERROR(INDEX(設定!$E$6:$E$18,MATCH($G1274,設定!$B$6:$B$18,0)),""))</f>
        <v/>
      </c>
      <c r="J1274" s="80">
        <f>IFERROR(INDEX(打卡匯入!$C$3:$C$2002,MATCH($C1274&amp;"|"&amp;DAY($A1274),打卡匯入!$E$3:$E$2002,0)),"")</f>
        <v/>
      </c>
      <c r="K1274" s="80">
        <f>IFERROR(INDEX(打卡匯入!$D$3:$D$2002,MATCH($C1274&amp;"|"&amp;DAY($A1274),打卡匯入!$E$3:$E$2002,0)),"")</f>
        <v/>
      </c>
      <c r="L1274" s="81">
        <f>IF(OR($J1274="",$K1274=""),"",IFERROR(INDEX(設定!$F$6:$F$18,MATCH($G1274,設定!$B$6:$B$18,0)),0))</f>
        <v/>
      </c>
      <c r="M1274" s="82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1">
        <f>IF(OR($C1274="",$H1274="",$J1274=""),0,IF(ROUND(($J1274-$H1274)*1440,0)&gt;設定!$C$42,ROUND(($J1274-$H1274)*1440,0),0))</f>
        <v/>
      </c>
      <c r="P1274" s="81">
        <f>IF(OR($C1274="",$I1274="",$K1274=""),0,IF(ROUND(($I1274-$K1274)*1440,0)&gt;設定!$C$42,ROUND(($I1274-$K1274)*1440,0),0))</f>
        <v/>
      </c>
      <c r="Q1274" s="82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79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0">
        <f>IF($G1275="","",IFERROR(INDEX(設定!$D$6:$D$18,MATCH($G1275,設定!$B$6:$B$18,0)),""))</f>
        <v/>
      </c>
      <c r="I1275" s="80">
        <f>IF($G1275="","",IFERROR(INDEX(設定!$E$6:$E$18,MATCH($G1275,設定!$B$6:$B$18,0)),""))</f>
        <v/>
      </c>
      <c r="J1275" s="80">
        <f>IFERROR(INDEX(打卡匯入!$C$3:$C$2002,MATCH($C1275&amp;"|"&amp;DAY($A1275),打卡匯入!$E$3:$E$2002,0)),"")</f>
        <v/>
      </c>
      <c r="K1275" s="80">
        <f>IFERROR(INDEX(打卡匯入!$D$3:$D$2002,MATCH($C1275&amp;"|"&amp;DAY($A1275),打卡匯入!$E$3:$E$2002,0)),"")</f>
        <v/>
      </c>
      <c r="L1275" s="81">
        <f>IF(OR($J1275="",$K1275=""),"",IFERROR(INDEX(設定!$F$6:$F$18,MATCH($G1275,設定!$B$6:$B$18,0)),0))</f>
        <v/>
      </c>
      <c r="M1275" s="82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1">
        <f>IF(OR($C1275="",$H1275="",$J1275=""),0,IF(ROUND(($J1275-$H1275)*1440,0)&gt;設定!$C$42,ROUND(($J1275-$H1275)*1440,0),0))</f>
        <v/>
      </c>
      <c r="P1275" s="81">
        <f>IF(OR($C1275="",$I1275="",$K1275=""),0,IF(ROUND(($I1275-$K1275)*1440,0)&gt;設定!$C$42,ROUND(($I1275-$K1275)*1440,0),0))</f>
        <v/>
      </c>
      <c r="Q1275" s="82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79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0">
        <f>IF($G1276="","",IFERROR(INDEX(設定!$D$6:$D$18,MATCH($G1276,設定!$B$6:$B$18,0)),""))</f>
        <v/>
      </c>
      <c r="I1276" s="80">
        <f>IF($G1276="","",IFERROR(INDEX(設定!$E$6:$E$18,MATCH($G1276,設定!$B$6:$B$18,0)),""))</f>
        <v/>
      </c>
      <c r="J1276" s="80">
        <f>IFERROR(INDEX(打卡匯入!$C$3:$C$2002,MATCH($C1276&amp;"|"&amp;DAY($A1276),打卡匯入!$E$3:$E$2002,0)),"")</f>
        <v/>
      </c>
      <c r="K1276" s="80">
        <f>IFERROR(INDEX(打卡匯入!$D$3:$D$2002,MATCH($C1276&amp;"|"&amp;DAY($A1276),打卡匯入!$E$3:$E$2002,0)),"")</f>
        <v/>
      </c>
      <c r="L1276" s="81">
        <f>IF(OR($J1276="",$K1276=""),"",IFERROR(INDEX(設定!$F$6:$F$18,MATCH($G1276,設定!$B$6:$B$18,0)),0))</f>
        <v/>
      </c>
      <c r="M1276" s="82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1">
        <f>IF(OR($C1276="",$H1276="",$J1276=""),0,IF(ROUND(($J1276-$H1276)*1440,0)&gt;設定!$C$42,ROUND(($J1276-$H1276)*1440,0),0))</f>
        <v/>
      </c>
      <c r="P1276" s="81">
        <f>IF(OR($C1276="",$I1276="",$K1276=""),0,IF(ROUND(($I1276-$K1276)*1440,0)&gt;設定!$C$42,ROUND(($I1276-$K1276)*1440,0),0))</f>
        <v/>
      </c>
      <c r="Q1276" s="82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79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0">
        <f>IF($G1277="","",IFERROR(INDEX(設定!$D$6:$D$18,MATCH($G1277,設定!$B$6:$B$18,0)),""))</f>
        <v/>
      </c>
      <c r="I1277" s="80">
        <f>IF($G1277="","",IFERROR(INDEX(設定!$E$6:$E$18,MATCH($G1277,設定!$B$6:$B$18,0)),""))</f>
        <v/>
      </c>
      <c r="J1277" s="80">
        <f>IFERROR(INDEX(打卡匯入!$C$3:$C$2002,MATCH($C1277&amp;"|"&amp;DAY($A1277),打卡匯入!$E$3:$E$2002,0)),"")</f>
        <v/>
      </c>
      <c r="K1277" s="80">
        <f>IFERROR(INDEX(打卡匯入!$D$3:$D$2002,MATCH($C1277&amp;"|"&amp;DAY($A1277),打卡匯入!$E$3:$E$2002,0)),"")</f>
        <v/>
      </c>
      <c r="L1277" s="81">
        <f>IF(OR($J1277="",$K1277=""),"",IFERROR(INDEX(設定!$F$6:$F$18,MATCH($G1277,設定!$B$6:$B$18,0)),0))</f>
        <v/>
      </c>
      <c r="M1277" s="82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1">
        <f>IF(OR($C1277="",$H1277="",$J1277=""),0,IF(ROUND(($J1277-$H1277)*1440,0)&gt;設定!$C$42,ROUND(($J1277-$H1277)*1440,0),0))</f>
        <v/>
      </c>
      <c r="P1277" s="81">
        <f>IF(OR($C1277="",$I1277="",$K1277=""),0,IF(ROUND(($I1277-$K1277)*1440,0)&gt;設定!$C$42,ROUND(($I1277-$K1277)*1440,0),0))</f>
        <v/>
      </c>
      <c r="Q1277" s="82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79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0">
        <f>IF($G1278="","",IFERROR(INDEX(設定!$D$6:$D$18,MATCH($G1278,設定!$B$6:$B$18,0)),""))</f>
        <v/>
      </c>
      <c r="I1278" s="80">
        <f>IF($G1278="","",IFERROR(INDEX(設定!$E$6:$E$18,MATCH($G1278,設定!$B$6:$B$18,0)),""))</f>
        <v/>
      </c>
      <c r="J1278" s="80">
        <f>IFERROR(INDEX(打卡匯入!$C$3:$C$2002,MATCH($C1278&amp;"|"&amp;DAY($A1278),打卡匯入!$E$3:$E$2002,0)),"")</f>
        <v/>
      </c>
      <c r="K1278" s="80">
        <f>IFERROR(INDEX(打卡匯入!$D$3:$D$2002,MATCH($C1278&amp;"|"&amp;DAY($A1278),打卡匯入!$E$3:$E$2002,0)),"")</f>
        <v/>
      </c>
      <c r="L1278" s="81">
        <f>IF(OR($J1278="",$K1278=""),"",IFERROR(INDEX(設定!$F$6:$F$18,MATCH($G1278,設定!$B$6:$B$18,0)),0))</f>
        <v/>
      </c>
      <c r="M1278" s="82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1">
        <f>IF(OR($C1278="",$H1278="",$J1278=""),0,IF(ROUND(($J1278-$H1278)*1440,0)&gt;設定!$C$42,ROUND(($J1278-$H1278)*1440,0),0))</f>
        <v/>
      </c>
      <c r="P1278" s="81">
        <f>IF(OR($C1278="",$I1278="",$K1278=""),0,IF(ROUND(($I1278-$K1278)*1440,0)&gt;設定!$C$42,ROUND(($I1278-$K1278)*1440,0),0))</f>
        <v/>
      </c>
      <c r="Q1278" s="82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79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0">
        <f>IF($G1279="","",IFERROR(INDEX(設定!$D$6:$D$18,MATCH($G1279,設定!$B$6:$B$18,0)),""))</f>
        <v/>
      </c>
      <c r="I1279" s="80">
        <f>IF($G1279="","",IFERROR(INDEX(設定!$E$6:$E$18,MATCH($G1279,設定!$B$6:$B$18,0)),""))</f>
        <v/>
      </c>
      <c r="J1279" s="80">
        <f>IFERROR(INDEX(打卡匯入!$C$3:$C$2002,MATCH($C1279&amp;"|"&amp;DAY($A1279),打卡匯入!$E$3:$E$2002,0)),"")</f>
        <v/>
      </c>
      <c r="K1279" s="80">
        <f>IFERROR(INDEX(打卡匯入!$D$3:$D$2002,MATCH($C1279&amp;"|"&amp;DAY($A1279),打卡匯入!$E$3:$E$2002,0)),"")</f>
        <v/>
      </c>
      <c r="L1279" s="81">
        <f>IF(OR($J1279="",$K1279=""),"",IFERROR(INDEX(設定!$F$6:$F$18,MATCH($G1279,設定!$B$6:$B$18,0)),0))</f>
        <v/>
      </c>
      <c r="M1279" s="82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1">
        <f>IF(OR($C1279="",$H1279="",$J1279=""),0,IF(ROUND(($J1279-$H1279)*1440,0)&gt;設定!$C$42,ROUND(($J1279-$H1279)*1440,0),0))</f>
        <v/>
      </c>
      <c r="P1279" s="81">
        <f>IF(OR($C1279="",$I1279="",$K1279=""),0,IF(ROUND(($I1279-$K1279)*1440,0)&gt;設定!$C$42,ROUND(($I1279-$K1279)*1440,0),0))</f>
        <v/>
      </c>
      <c r="Q1279" s="82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79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0">
        <f>IF($G1280="","",IFERROR(INDEX(設定!$D$6:$D$18,MATCH($G1280,設定!$B$6:$B$18,0)),""))</f>
        <v/>
      </c>
      <c r="I1280" s="80">
        <f>IF($G1280="","",IFERROR(INDEX(設定!$E$6:$E$18,MATCH($G1280,設定!$B$6:$B$18,0)),""))</f>
        <v/>
      </c>
      <c r="J1280" s="80">
        <f>IFERROR(INDEX(打卡匯入!$C$3:$C$2002,MATCH($C1280&amp;"|"&amp;DAY($A1280),打卡匯入!$E$3:$E$2002,0)),"")</f>
        <v/>
      </c>
      <c r="K1280" s="80">
        <f>IFERROR(INDEX(打卡匯入!$D$3:$D$2002,MATCH($C1280&amp;"|"&amp;DAY($A1280),打卡匯入!$E$3:$E$2002,0)),"")</f>
        <v/>
      </c>
      <c r="L1280" s="81">
        <f>IF(OR($J1280="",$K1280=""),"",IFERROR(INDEX(設定!$F$6:$F$18,MATCH($G1280,設定!$B$6:$B$18,0)),0))</f>
        <v/>
      </c>
      <c r="M1280" s="82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1">
        <f>IF(OR($C1280="",$H1280="",$J1280=""),0,IF(ROUND(($J1280-$H1280)*1440,0)&gt;設定!$C$42,ROUND(($J1280-$H1280)*1440,0),0))</f>
        <v/>
      </c>
      <c r="P1280" s="81">
        <f>IF(OR($C1280="",$I1280="",$K1280=""),0,IF(ROUND(($I1280-$K1280)*1440,0)&gt;設定!$C$42,ROUND(($I1280-$K1280)*1440,0),0))</f>
        <v/>
      </c>
      <c r="Q1280" s="82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79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0">
        <f>IF($G1281="","",IFERROR(INDEX(設定!$D$6:$D$18,MATCH($G1281,設定!$B$6:$B$18,0)),""))</f>
        <v/>
      </c>
      <c r="I1281" s="80">
        <f>IF($G1281="","",IFERROR(INDEX(設定!$E$6:$E$18,MATCH($G1281,設定!$B$6:$B$18,0)),""))</f>
        <v/>
      </c>
      <c r="J1281" s="80">
        <f>IFERROR(INDEX(打卡匯入!$C$3:$C$2002,MATCH($C1281&amp;"|"&amp;DAY($A1281),打卡匯入!$E$3:$E$2002,0)),"")</f>
        <v/>
      </c>
      <c r="K1281" s="80">
        <f>IFERROR(INDEX(打卡匯入!$D$3:$D$2002,MATCH($C1281&amp;"|"&amp;DAY($A1281),打卡匯入!$E$3:$E$2002,0)),"")</f>
        <v/>
      </c>
      <c r="L1281" s="81">
        <f>IF(OR($J1281="",$K1281=""),"",IFERROR(INDEX(設定!$F$6:$F$18,MATCH($G1281,設定!$B$6:$B$18,0)),0))</f>
        <v/>
      </c>
      <c r="M1281" s="82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1">
        <f>IF(OR($C1281="",$H1281="",$J1281=""),0,IF(ROUND(($J1281-$H1281)*1440,0)&gt;設定!$C$42,ROUND(($J1281-$H1281)*1440,0),0))</f>
        <v/>
      </c>
      <c r="P1281" s="81">
        <f>IF(OR($C1281="",$I1281="",$K1281=""),0,IF(ROUND(($I1281-$K1281)*1440,0)&gt;設定!$C$42,ROUND(($I1281-$K1281)*1440,0),0))</f>
        <v/>
      </c>
      <c r="Q1281" s="82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79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0">
        <f>IF($G1282="","",IFERROR(INDEX(設定!$D$6:$D$18,MATCH($G1282,設定!$B$6:$B$18,0)),""))</f>
        <v/>
      </c>
      <c r="I1282" s="80">
        <f>IF($G1282="","",IFERROR(INDEX(設定!$E$6:$E$18,MATCH($G1282,設定!$B$6:$B$18,0)),""))</f>
        <v/>
      </c>
      <c r="J1282" s="80">
        <f>IFERROR(INDEX(打卡匯入!$C$3:$C$2002,MATCH($C1282&amp;"|"&amp;DAY($A1282),打卡匯入!$E$3:$E$2002,0)),"")</f>
        <v/>
      </c>
      <c r="K1282" s="80">
        <f>IFERROR(INDEX(打卡匯入!$D$3:$D$2002,MATCH($C1282&amp;"|"&amp;DAY($A1282),打卡匯入!$E$3:$E$2002,0)),"")</f>
        <v/>
      </c>
      <c r="L1282" s="81">
        <f>IF(OR($J1282="",$K1282=""),"",IFERROR(INDEX(設定!$F$6:$F$18,MATCH($G1282,設定!$B$6:$B$18,0)),0))</f>
        <v/>
      </c>
      <c r="M1282" s="82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1">
        <f>IF(OR($C1282="",$H1282="",$J1282=""),0,IF(ROUND(($J1282-$H1282)*1440,0)&gt;設定!$C$42,ROUND(($J1282-$H1282)*1440,0),0))</f>
        <v/>
      </c>
      <c r="P1282" s="81">
        <f>IF(OR($C1282="",$I1282="",$K1282=""),0,IF(ROUND(($I1282-$K1282)*1440,0)&gt;設定!$C$42,ROUND(($I1282-$K1282)*1440,0),0))</f>
        <v/>
      </c>
      <c r="Q1282" s="82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79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0">
        <f>IF($G1283="","",IFERROR(INDEX(設定!$D$6:$D$18,MATCH($G1283,設定!$B$6:$B$18,0)),""))</f>
        <v/>
      </c>
      <c r="I1283" s="80">
        <f>IF($G1283="","",IFERROR(INDEX(設定!$E$6:$E$18,MATCH($G1283,設定!$B$6:$B$18,0)),""))</f>
        <v/>
      </c>
      <c r="J1283" s="80">
        <f>IFERROR(INDEX(打卡匯入!$C$3:$C$2002,MATCH($C1283&amp;"|"&amp;DAY($A1283),打卡匯入!$E$3:$E$2002,0)),"")</f>
        <v/>
      </c>
      <c r="K1283" s="80">
        <f>IFERROR(INDEX(打卡匯入!$D$3:$D$2002,MATCH($C1283&amp;"|"&amp;DAY($A1283),打卡匯入!$E$3:$E$2002,0)),"")</f>
        <v/>
      </c>
      <c r="L1283" s="81">
        <f>IF(OR($J1283="",$K1283=""),"",IFERROR(INDEX(設定!$F$6:$F$18,MATCH($G1283,設定!$B$6:$B$18,0)),0))</f>
        <v/>
      </c>
      <c r="M1283" s="82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1">
        <f>IF(OR($C1283="",$H1283="",$J1283=""),0,IF(ROUND(($J1283-$H1283)*1440,0)&gt;設定!$C$42,ROUND(($J1283-$H1283)*1440,0),0))</f>
        <v/>
      </c>
      <c r="P1283" s="81">
        <f>IF(OR($C1283="",$I1283="",$K1283=""),0,IF(ROUND(($I1283-$K1283)*1440,0)&gt;設定!$C$42,ROUND(($I1283-$K1283)*1440,0),0))</f>
        <v/>
      </c>
      <c r="Q1283" s="82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79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0">
        <f>IF($G1284="","",IFERROR(INDEX(設定!$D$6:$D$18,MATCH($G1284,設定!$B$6:$B$18,0)),""))</f>
        <v/>
      </c>
      <c r="I1284" s="80">
        <f>IF($G1284="","",IFERROR(INDEX(設定!$E$6:$E$18,MATCH($G1284,設定!$B$6:$B$18,0)),""))</f>
        <v/>
      </c>
      <c r="J1284" s="80">
        <f>IFERROR(INDEX(打卡匯入!$C$3:$C$2002,MATCH($C1284&amp;"|"&amp;DAY($A1284),打卡匯入!$E$3:$E$2002,0)),"")</f>
        <v/>
      </c>
      <c r="K1284" s="80">
        <f>IFERROR(INDEX(打卡匯入!$D$3:$D$2002,MATCH($C1284&amp;"|"&amp;DAY($A1284),打卡匯入!$E$3:$E$2002,0)),"")</f>
        <v/>
      </c>
      <c r="L1284" s="81">
        <f>IF(OR($J1284="",$K1284=""),"",IFERROR(INDEX(設定!$F$6:$F$18,MATCH($G1284,設定!$B$6:$B$18,0)),0))</f>
        <v/>
      </c>
      <c r="M1284" s="82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1">
        <f>IF(OR($C1284="",$H1284="",$J1284=""),0,IF(ROUND(($J1284-$H1284)*1440,0)&gt;設定!$C$42,ROUND(($J1284-$H1284)*1440,0),0))</f>
        <v/>
      </c>
      <c r="P1284" s="81">
        <f>IF(OR($C1284="",$I1284="",$K1284=""),0,IF(ROUND(($I1284-$K1284)*1440,0)&gt;設定!$C$42,ROUND(($I1284-$K1284)*1440,0),0))</f>
        <v/>
      </c>
      <c r="Q1284" s="82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79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0">
        <f>IF($G1285="","",IFERROR(INDEX(設定!$D$6:$D$18,MATCH($G1285,設定!$B$6:$B$18,0)),""))</f>
        <v/>
      </c>
      <c r="I1285" s="80">
        <f>IF($G1285="","",IFERROR(INDEX(設定!$E$6:$E$18,MATCH($G1285,設定!$B$6:$B$18,0)),""))</f>
        <v/>
      </c>
      <c r="J1285" s="80">
        <f>IFERROR(INDEX(打卡匯入!$C$3:$C$2002,MATCH($C1285&amp;"|"&amp;DAY($A1285),打卡匯入!$E$3:$E$2002,0)),"")</f>
        <v/>
      </c>
      <c r="K1285" s="80">
        <f>IFERROR(INDEX(打卡匯入!$D$3:$D$2002,MATCH($C1285&amp;"|"&amp;DAY($A1285),打卡匯入!$E$3:$E$2002,0)),"")</f>
        <v/>
      </c>
      <c r="L1285" s="81">
        <f>IF(OR($J1285="",$K1285=""),"",IFERROR(INDEX(設定!$F$6:$F$18,MATCH($G1285,設定!$B$6:$B$18,0)),0))</f>
        <v/>
      </c>
      <c r="M1285" s="82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1">
        <f>IF(OR($C1285="",$H1285="",$J1285=""),0,IF(ROUND(($J1285-$H1285)*1440,0)&gt;設定!$C$42,ROUND(($J1285-$H1285)*1440,0),0))</f>
        <v/>
      </c>
      <c r="P1285" s="81">
        <f>IF(OR($C1285="",$I1285="",$K1285=""),0,IF(ROUND(($I1285-$K1285)*1440,0)&gt;設定!$C$42,ROUND(($I1285-$K1285)*1440,0),0))</f>
        <v/>
      </c>
      <c r="Q1285" s="82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79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0">
        <f>IF($G1286="","",IFERROR(INDEX(設定!$D$6:$D$18,MATCH($G1286,設定!$B$6:$B$18,0)),""))</f>
        <v/>
      </c>
      <c r="I1286" s="80">
        <f>IF($G1286="","",IFERROR(INDEX(設定!$E$6:$E$18,MATCH($G1286,設定!$B$6:$B$18,0)),""))</f>
        <v/>
      </c>
      <c r="J1286" s="80">
        <f>IFERROR(INDEX(打卡匯入!$C$3:$C$2002,MATCH($C1286&amp;"|"&amp;DAY($A1286),打卡匯入!$E$3:$E$2002,0)),"")</f>
        <v/>
      </c>
      <c r="K1286" s="80">
        <f>IFERROR(INDEX(打卡匯入!$D$3:$D$2002,MATCH($C1286&amp;"|"&amp;DAY($A1286),打卡匯入!$E$3:$E$2002,0)),"")</f>
        <v/>
      </c>
      <c r="L1286" s="81">
        <f>IF(OR($J1286="",$K1286=""),"",IFERROR(INDEX(設定!$F$6:$F$18,MATCH($G1286,設定!$B$6:$B$18,0)),0))</f>
        <v/>
      </c>
      <c r="M1286" s="82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1">
        <f>IF(OR($C1286="",$H1286="",$J1286=""),0,IF(ROUND(($J1286-$H1286)*1440,0)&gt;設定!$C$42,ROUND(($J1286-$H1286)*1440,0),0))</f>
        <v/>
      </c>
      <c r="P1286" s="81">
        <f>IF(OR($C1286="",$I1286="",$K1286=""),0,IF(ROUND(($I1286-$K1286)*1440,0)&gt;設定!$C$42,ROUND(($I1286-$K1286)*1440,0),0))</f>
        <v/>
      </c>
      <c r="Q1286" s="82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79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0">
        <f>IF($G1287="","",IFERROR(INDEX(設定!$D$6:$D$18,MATCH($G1287,設定!$B$6:$B$18,0)),""))</f>
        <v/>
      </c>
      <c r="I1287" s="80">
        <f>IF($G1287="","",IFERROR(INDEX(設定!$E$6:$E$18,MATCH($G1287,設定!$B$6:$B$18,0)),""))</f>
        <v/>
      </c>
      <c r="J1287" s="80">
        <f>IFERROR(INDEX(打卡匯入!$C$3:$C$2002,MATCH($C1287&amp;"|"&amp;DAY($A1287),打卡匯入!$E$3:$E$2002,0)),"")</f>
        <v/>
      </c>
      <c r="K1287" s="80">
        <f>IFERROR(INDEX(打卡匯入!$D$3:$D$2002,MATCH($C1287&amp;"|"&amp;DAY($A1287),打卡匯入!$E$3:$E$2002,0)),"")</f>
        <v/>
      </c>
      <c r="L1287" s="81">
        <f>IF(OR($J1287="",$K1287=""),"",IFERROR(INDEX(設定!$F$6:$F$18,MATCH($G1287,設定!$B$6:$B$18,0)),0))</f>
        <v/>
      </c>
      <c r="M1287" s="82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1">
        <f>IF(OR($C1287="",$H1287="",$J1287=""),0,IF(ROUND(($J1287-$H1287)*1440,0)&gt;設定!$C$42,ROUND(($J1287-$H1287)*1440,0),0))</f>
        <v/>
      </c>
      <c r="P1287" s="81">
        <f>IF(OR($C1287="",$I1287="",$K1287=""),0,IF(ROUND(($I1287-$K1287)*1440,0)&gt;設定!$C$42,ROUND(($I1287-$K1287)*1440,0),0))</f>
        <v/>
      </c>
      <c r="Q1287" s="82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79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0">
        <f>IF($G1288="","",IFERROR(INDEX(設定!$D$6:$D$18,MATCH($G1288,設定!$B$6:$B$18,0)),""))</f>
        <v/>
      </c>
      <c r="I1288" s="80">
        <f>IF($G1288="","",IFERROR(INDEX(設定!$E$6:$E$18,MATCH($G1288,設定!$B$6:$B$18,0)),""))</f>
        <v/>
      </c>
      <c r="J1288" s="80">
        <f>IFERROR(INDEX(打卡匯入!$C$3:$C$2002,MATCH($C1288&amp;"|"&amp;DAY($A1288),打卡匯入!$E$3:$E$2002,0)),"")</f>
        <v/>
      </c>
      <c r="K1288" s="80">
        <f>IFERROR(INDEX(打卡匯入!$D$3:$D$2002,MATCH($C1288&amp;"|"&amp;DAY($A1288),打卡匯入!$E$3:$E$2002,0)),"")</f>
        <v/>
      </c>
      <c r="L1288" s="81">
        <f>IF(OR($J1288="",$K1288=""),"",IFERROR(INDEX(設定!$F$6:$F$18,MATCH($G1288,設定!$B$6:$B$18,0)),0))</f>
        <v/>
      </c>
      <c r="M1288" s="82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1">
        <f>IF(OR($C1288="",$H1288="",$J1288=""),0,IF(ROUND(($J1288-$H1288)*1440,0)&gt;設定!$C$42,ROUND(($J1288-$H1288)*1440,0),0))</f>
        <v/>
      </c>
      <c r="P1288" s="81">
        <f>IF(OR($C1288="",$I1288="",$K1288=""),0,IF(ROUND(($I1288-$K1288)*1440,0)&gt;設定!$C$42,ROUND(($I1288-$K1288)*1440,0),0))</f>
        <v/>
      </c>
      <c r="Q1288" s="82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79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0">
        <f>IF($G1289="","",IFERROR(INDEX(設定!$D$6:$D$18,MATCH($G1289,設定!$B$6:$B$18,0)),""))</f>
        <v/>
      </c>
      <c r="I1289" s="80">
        <f>IF($G1289="","",IFERROR(INDEX(設定!$E$6:$E$18,MATCH($G1289,設定!$B$6:$B$18,0)),""))</f>
        <v/>
      </c>
      <c r="J1289" s="80">
        <f>IFERROR(INDEX(打卡匯入!$C$3:$C$2002,MATCH($C1289&amp;"|"&amp;DAY($A1289),打卡匯入!$E$3:$E$2002,0)),"")</f>
        <v/>
      </c>
      <c r="K1289" s="80">
        <f>IFERROR(INDEX(打卡匯入!$D$3:$D$2002,MATCH($C1289&amp;"|"&amp;DAY($A1289),打卡匯入!$E$3:$E$2002,0)),"")</f>
        <v/>
      </c>
      <c r="L1289" s="81">
        <f>IF(OR($J1289="",$K1289=""),"",IFERROR(INDEX(設定!$F$6:$F$18,MATCH($G1289,設定!$B$6:$B$18,0)),0))</f>
        <v/>
      </c>
      <c r="M1289" s="82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1">
        <f>IF(OR($C1289="",$H1289="",$J1289=""),0,IF(ROUND(($J1289-$H1289)*1440,0)&gt;設定!$C$42,ROUND(($J1289-$H1289)*1440,0),0))</f>
        <v/>
      </c>
      <c r="P1289" s="81">
        <f>IF(OR($C1289="",$I1289="",$K1289=""),0,IF(ROUND(($I1289-$K1289)*1440,0)&gt;設定!$C$42,ROUND(($I1289-$K1289)*1440,0),0))</f>
        <v/>
      </c>
      <c r="Q1289" s="82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79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0">
        <f>IF($G1290="","",IFERROR(INDEX(設定!$D$6:$D$18,MATCH($G1290,設定!$B$6:$B$18,0)),""))</f>
        <v/>
      </c>
      <c r="I1290" s="80">
        <f>IF($G1290="","",IFERROR(INDEX(設定!$E$6:$E$18,MATCH($G1290,設定!$B$6:$B$18,0)),""))</f>
        <v/>
      </c>
      <c r="J1290" s="80">
        <f>IFERROR(INDEX(打卡匯入!$C$3:$C$2002,MATCH($C1290&amp;"|"&amp;DAY($A1290),打卡匯入!$E$3:$E$2002,0)),"")</f>
        <v/>
      </c>
      <c r="K1290" s="80">
        <f>IFERROR(INDEX(打卡匯入!$D$3:$D$2002,MATCH($C1290&amp;"|"&amp;DAY($A1290),打卡匯入!$E$3:$E$2002,0)),"")</f>
        <v/>
      </c>
      <c r="L1290" s="81">
        <f>IF(OR($J1290="",$K1290=""),"",IFERROR(INDEX(設定!$F$6:$F$18,MATCH($G1290,設定!$B$6:$B$18,0)),0))</f>
        <v/>
      </c>
      <c r="M1290" s="82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1">
        <f>IF(OR($C1290="",$H1290="",$J1290=""),0,IF(ROUND(($J1290-$H1290)*1440,0)&gt;設定!$C$42,ROUND(($J1290-$H1290)*1440,0),0))</f>
        <v/>
      </c>
      <c r="P1290" s="81">
        <f>IF(OR($C1290="",$I1290="",$K1290=""),0,IF(ROUND(($I1290-$K1290)*1440,0)&gt;設定!$C$42,ROUND(($I1290-$K1290)*1440,0),0))</f>
        <v/>
      </c>
      <c r="Q1290" s="82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79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0">
        <f>IF($G1291="","",IFERROR(INDEX(設定!$D$6:$D$18,MATCH($G1291,設定!$B$6:$B$18,0)),""))</f>
        <v/>
      </c>
      <c r="I1291" s="80">
        <f>IF($G1291="","",IFERROR(INDEX(設定!$E$6:$E$18,MATCH($G1291,設定!$B$6:$B$18,0)),""))</f>
        <v/>
      </c>
      <c r="J1291" s="80">
        <f>IFERROR(INDEX(打卡匯入!$C$3:$C$2002,MATCH($C1291&amp;"|"&amp;DAY($A1291),打卡匯入!$E$3:$E$2002,0)),"")</f>
        <v/>
      </c>
      <c r="K1291" s="80">
        <f>IFERROR(INDEX(打卡匯入!$D$3:$D$2002,MATCH($C1291&amp;"|"&amp;DAY($A1291),打卡匯入!$E$3:$E$2002,0)),"")</f>
        <v/>
      </c>
      <c r="L1291" s="81">
        <f>IF(OR($J1291="",$K1291=""),"",IFERROR(INDEX(設定!$F$6:$F$18,MATCH($G1291,設定!$B$6:$B$18,0)),0))</f>
        <v/>
      </c>
      <c r="M1291" s="82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1">
        <f>IF(OR($C1291="",$H1291="",$J1291=""),0,IF(ROUND(($J1291-$H1291)*1440,0)&gt;設定!$C$42,ROUND(($J1291-$H1291)*1440,0),0))</f>
        <v/>
      </c>
      <c r="P1291" s="81">
        <f>IF(OR($C1291="",$I1291="",$K1291=""),0,IF(ROUND(($I1291-$K1291)*1440,0)&gt;設定!$C$42,ROUND(($I1291-$K1291)*1440,0),0))</f>
        <v/>
      </c>
      <c r="Q1291" s="82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79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0">
        <f>IF($G1292="","",IFERROR(INDEX(設定!$D$6:$D$18,MATCH($G1292,設定!$B$6:$B$18,0)),""))</f>
        <v/>
      </c>
      <c r="I1292" s="80">
        <f>IF($G1292="","",IFERROR(INDEX(設定!$E$6:$E$18,MATCH($G1292,設定!$B$6:$B$18,0)),""))</f>
        <v/>
      </c>
      <c r="J1292" s="80">
        <f>IFERROR(INDEX(打卡匯入!$C$3:$C$2002,MATCH($C1292&amp;"|"&amp;DAY($A1292),打卡匯入!$E$3:$E$2002,0)),"")</f>
        <v/>
      </c>
      <c r="K1292" s="80">
        <f>IFERROR(INDEX(打卡匯入!$D$3:$D$2002,MATCH($C1292&amp;"|"&amp;DAY($A1292),打卡匯入!$E$3:$E$2002,0)),"")</f>
        <v/>
      </c>
      <c r="L1292" s="81">
        <f>IF(OR($J1292="",$K1292=""),"",IFERROR(INDEX(設定!$F$6:$F$18,MATCH($G1292,設定!$B$6:$B$18,0)),0))</f>
        <v/>
      </c>
      <c r="M1292" s="82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1">
        <f>IF(OR($C1292="",$H1292="",$J1292=""),0,IF(ROUND(($J1292-$H1292)*1440,0)&gt;設定!$C$42,ROUND(($J1292-$H1292)*1440,0),0))</f>
        <v/>
      </c>
      <c r="P1292" s="81">
        <f>IF(OR($C1292="",$I1292="",$K1292=""),0,IF(ROUND(($I1292-$K1292)*1440,0)&gt;設定!$C$42,ROUND(($I1292-$K1292)*1440,0),0))</f>
        <v/>
      </c>
      <c r="Q1292" s="82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79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0">
        <f>IF($G1293="","",IFERROR(INDEX(設定!$D$6:$D$18,MATCH($G1293,設定!$B$6:$B$18,0)),""))</f>
        <v/>
      </c>
      <c r="I1293" s="80">
        <f>IF($G1293="","",IFERROR(INDEX(設定!$E$6:$E$18,MATCH($G1293,設定!$B$6:$B$18,0)),""))</f>
        <v/>
      </c>
      <c r="J1293" s="80">
        <f>IFERROR(INDEX(打卡匯入!$C$3:$C$2002,MATCH($C1293&amp;"|"&amp;DAY($A1293),打卡匯入!$E$3:$E$2002,0)),"")</f>
        <v/>
      </c>
      <c r="K1293" s="80">
        <f>IFERROR(INDEX(打卡匯入!$D$3:$D$2002,MATCH($C1293&amp;"|"&amp;DAY($A1293),打卡匯入!$E$3:$E$2002,0)),"")</f>
        <v/>
      </c>
      <c r="L1293" s="81">
        <f>IF(OR($J1293="",$K1293=""),"",IFERROR(INDEX(設定!$F$6:$F$18,MATCH($G1293,設定!$B$6:$B$18,0)),0))</f>
        <v/>
      </c>
      <c r="M1293" s="82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1">
        <f>IF(OR($C1293="",$H1293="",$J1293=""),0,IF(ROUND(($J1293-$H1293)*1440,0)&gt;設定!$C$42,ROUND(($J1293-$H1293)*1440,0),0))</f>
        <v/>
      </c>
      <c r="P1293" s="81">
        <f>IF(OR($C1293="",$I1293="",$K1293=""),0,IF(ROUND(($I1293-$K1293)*1440,0)&gt;設定!$C$42,ROUND(($I1293-$K1293)*1440,0),0))</f>
        <v/>
      </c>
      <c r="Q1293" s="82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79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0">
        <f>IF($G1294="","",IFERROR(INDEX(設定!$D$6:$D$18,MATCH($G1294,設定!$B$6:$B$18,0)),""))</f>
        <v/>
      </c>
      <c r="I1294" s="80">
        <f>IF($G1294="","",IFERROR(INDEX(設定!$E$6:$E$18,MATCH($G1294,設定!$B$6:$B$18,0)),""))</f>
        <v/>
      </c>
      <c r="J1294" s="80">
        <f>IFERROR(INDEX(打卡匯入!$C$3:$C$2002,MATCH($C1294&amp;"|"&amp;DAY($A1294),打卡匯入!$E$3:$E$2002,0)),"")</f>
        <v/>
      </c>
      <c r="K1294" s="80">
        <f>IFERROR(INDEX(打卡匯入!$D$3:$D$2002,MATCH($C1294&amp;"|"&amp;DAY($A1294),打卡匯入!$E$3:$E$2002,0)),"")</f>
        <v/>
      </c>
      <c r="L1294" s="81">
        <f>IF(OR($J1294="",$K1294=""),"",IFERROR(INDEX(設定!$F$6:$F$18,MATCH($G1294,設定!$B$6:$B$18,0)),0))</f>
        <v/>
      </c>
      <c r="M1294" s="82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1">
        <f>IF(OR($C1294="",$H1294="",$J1294=""),0,IF(ROUND(($J1294-$H1294)*1440,0)&gt;設定!$C$42,ROUND(($J1294-$H1294)*1440,0),0))</f>
        <v/>
      </c>
      <c r="P1294" s="81">
        <f>IF(OR($C1294="",$I1294="",$K1294=""),0,IF(ROUND(($I1294-$K1294)*1440,0)&gt;設定!$C$42,ROUND(($I1294-$K1294)*1440,0),0))</f>
        <v/>
      </c>
      <c r="Q1294" s="82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79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0">
        <f>IF($G1295="","",IFERROR(INDEX(設定!$D$6:$D$18,MATCH($G1295,設定!$B$6:$B$18,0)),""))</f>
        <v/>
      </c>
      <c r="I1295" s="80">
        <f>IF($G1295="","",IFERROR(INDEX(設定!$E$6:$E$18,MATCH($G1295,設定!$B$6:$B$18,0)),""))</f>
        <v/>
      </c>
      <c r="J1295" s="80">
        <f>IFERROR(INDEX(打卡匯入!$C$3:$C$2002,MATCH($C1295&amp;"|"&amp;DAY($A1295),打卡匯入!$E$3:$E$2002,0)),"")</f>
        <v/>
      </c>
      <c r="K1295" s="80">
        <f>IFERROR(INDEX(打卡匯入!$D$3:$D$2002,MATCH($C1295&amp;"|"&amp;DAY($A1295),打卡匯入!$E$3:$E$2002,0)),"")</f>
        <v/>
      </c>
      <c r="L1295" s="81">
        <f>IF(OR($J1295="",$K1295=""),"",IFERROR(INDEX(設定!$F$6:$F$18,MATCH($G1295,設定!$B$6:$B$18,0)),0))</f>
        <v/>
      </c>
      <c r="M1295" s="82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1">
        <f>IF(OR($C1295="",$H1295="",$J1295=""),0,IF(ROUND(($J1295-$H1295)*1440,0)&gt;設定!$C$42,ROUND(($J1295-$H1295)*1440,0),0))</f>
        <v/>
      </c>
      <c r="P1295" s="81">
        <f>IF(OR($C1295="",$I1295="",$K1295=""),0,IF(ROUND(($I1295-$K1295)*1440,0)&gt;設定!$C$42,ROUND(($I1295-$K1295)*1440,0),0))</f>
        <v/>
      </c>
      <c r="Q1295" s="82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79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0">
        <f>IF($G1296="","",IFERROR(INDEX(設定!$D$6:$D$18,MATCH($G1296,設定!$B$6:$B$18,0)),""))</f>
        <v/>
      </c>
      <c r="I1296" s="80">
        <f>IF($G1296="","",IFERROR(INDEX(設定!$E$6:$E$18,MATCH($G1296,設定!$B$6:$B$18,0)),""))</f>
        <v/>
      </c>
      <c r="J1296" s="80">
        <f>IFERROR(INDEX(打卡匯入!$C$3:$C$2002,MATCH($C1296&amp;"|"&amp;DAY($A1296),打卡匯入!$E$3:$E$2002,0)),"")</f>
        <v/>
      </c>
      <c r="K1296" s="80">
        <f>IFERROR(INDEX(打卡匯入!$D$3:$D$2002,MATCH($C1296&amp;"|"&amp;DAY($A1296),打卡匯入!$E$3:$E$2002,0)),"")</f>
        <v/>
      </c>
      <c r="L1296" s="81">
        <f>IF(OR($J1296="",$K1296=""),"",IFERROR(INDEX(設定!$F$6:$F$18,MATCH($G1296,設定!$B$6:$B$18,0)),0))</f>
        <v/>
      </c>
      <c r="M1296" s="82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1">
        <f>IF(OR($C1296="",$H1296="",$J1296=""),0,IF(ROUND(($J1296-$H1296)*1440,0)&gt;設定!$C$42,ROUND(($J1296-$H1296)*1440,0),0))</f>
        <v/>
      </c>
      <c r="P1296" s="81">
        <f>IF(OR($C1296="",$I1296="",$K1296=""),0,IF(ROUND(($I1296-$K1296)*1440,0)&gt;設定!$C$42,ROUND(($I1296-$K1296)*1440,0),0))</f>
        <v/>
      </c>
      <c r="Q1296" s="82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79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0">
        <f>IF($G1297="","",IFERROR(INDEX(設定!$D$6:$D$18,MATCH($G1297,設定!$B$6:$B$18,0)),""))</f>
        <v/>
      </c>
      <c r="I1297" s="80">
        <f>IF($G1297="","",IFERROR(INDEX(設定!$E$6:$E$18,MATCH($G1297,設定!$B$6:$B$18,0)),""))</f>
        <v/>
      </c>
      <c r="J1297" s="80">
        <f>IFERROR(INDEX(打卡匯入!$C$3:$C$2002,MATCH($C1297&amp;"|"&amp;DAY($A1297),打卡匯入!$E$3:$E$2002,0)),"")</f>
        <v/>
      </c>
      <c r="K1297" s="80">
        <f>IFERROR(INDEX(打卡匯入!$D$3:$D$2002,MATCH($C1297&amp;"|"&amp;DAY($A1297),打卡匯入!$E$3:$E$2002,0)),"")</f>
        <v/>
      </c>
      <c r="L1297" s="81">
        <f>IF(OR($J1297="",$K1297=""),"",IFERROR(INDEX(設定!$F$6:$F$18,MATCH($G1297,設定!$B$6:$B$18,0)),0))</f>
        <v/>
      </c>
      <c r="M1297" s="82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1">
        <f>IF(OR($C1297="",$H1297="",$J1297=""),0,IF(ROUND(($J1297-$H1297)*1440,0)&gt;設定!$C$42,ROUND(($J1297-$H1297)*1440,0),0))</f>
        <v/>
      </c>
      <c r="P1297" s="81">
        <f>IF(OR($C1297="",$I1297="",$K1297=""),0,IF(ROUND(($I1297-$K1297)*1440,0)&gt;設定!$C$42,ROUND(($I1297-$K1297)*1440,0),0))</f>
        <v/>
      </c>
      <c r="Q1297" s="82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79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0">
        <f>IF($G1298="","",IFERROR(INDEX(設定!$D$6:$D$18,MATCH($G1298,設定!$B$6:$B$18,0)),""))</f>
        <v/>
      </c>
      <c r="I1298" s="80">
        <f>IF($G1298="","",IFERROR(INDEX(設定!$E$6:$E$18,MATCH($G1298,設定!$B$6:$B$18,0)),""))</f>
        <v/>
      </c>
      <c r="J1298" s="80">
        <f>IFERROR(INDEX(打卡匯入!$C$3:$C$2002,MATCH($C1298&amp;"|"&amp;DAY($A1298),打卡匯入!$E$3:$E$2002,0)),"")</f>
        <v/>
      </c>
      <c r="K1298" s="80">
        <f>IFERROR(INDEX(打卡匯入!$D$3:$D$2002,MATCH($C1298&amp;"|"&amp;DAY($A1298),打卡匯入!$E$3:$E$2002,0)),"")</f>
        <v/>
      </c>
      <c r="L1298" s="81">
        <f>IF(OR($J1298="",$K1298=""),"",IFERROR(INDEX(設定!$F$6:$F$18,MATCH($G1298,設定!$B$6:$B$18,0)),0))</f>
        <v/>
      </c>
      <c r="M1298" s="82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1">
        <f>IF(OR($C1298="",$H1298="",$J1298=""),0,IF(ROUND(($J1298-$H1298)*1440,0)&gt;設定!$C$42,ROUND(($J1298-$H1298)*1440,0),0))</f>
        <v/>
      </c>
      <c r="P1298" s="81">
        <f>IF(OR($C1298="",$I1298="",$K1298=""),0,IF(ROUND(($I1298-$K1298)*1440,0)&gt;設定!$C$42,ROUND(($I1298-$K1298)*1440,0),0))</f>
        <v/>
      </c>
      <c r="Q1298" s="82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79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0">
        <f>IF($G1299="","",IFERROR(INDEX(設定!$D$6:$D$18,MATCH($G1299,設定!$B$6:$B$18,0)),""))</f>
        <v/>
      </c>
      <c r="I1299" s="80">
        <f>IF($G1299="","",IFERROR(INDEX(設定!$E$6:$E$18,MATCH($G1299,設定!$B$6:$B$18,0)),""))</f>
        <v/>
      </c>
      <c r="J1299" s="80">
        <f>IFERROR(INDEX(打卡匯入!$C$3:$C$2002,MATCH($C1299&amp;"|"&amp;DAY($A1299),打卡匯入!$E$3:$E$2002,0)),"")</f>
        <v/>
      </c>
      <c r="K1299" s="80">
        <f>IFERROR(INDEX(打卡匯入!$D$3:$D$2002,MATCH($C1299&amp;"|"&amp;DAY($A1299),打卡匯入!$E$3:$E$2002,0)),"")</f>
        <v/>
      </c>
      <c r="L1299" s="81">
        <f>IF(OR($J1299="",$K1299=""),"",IFERROR(INDEX(設定!$F$6:$F$18,MATCH($G1299,設定!$B$6:$B$18,0)),0))</f>
        <v/>
      </c>
      <c r="M1299" s="82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1">
        <f>IF(OR($C1299="",$H1299="",$J1299=""),0,IF(ROUND(($J1299-$H1299)*1440,0)&gt;設定!$C$42,ROUND(($J1299-$H1299)*1440,0),0))</f>
        <v/>
      </c>
      <c r="P1299" s="81">
        <f>IF(OR($C1299="",$I1299="",$K1299=""),0,IF(ROUND(($I1299-$K1299)*1440,0)&gt;設定!$C$42,ROUND(($I1299-$K1299)*1440,0),0))</f>
        <v/>
      </c>
      <c r="Q1299" s="82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79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0">
        <f>IF($G1300="","",IFERROR(INDEX(設定!$D$6:$D$18,MATCH($G1300,設定!$B$6:$B$18,0)),""))</f>
        <v/>
      </c>
      <c r="I1300" s="80">
        <f>IF($G1300="","",IFERROR(INDEX(設定!$E$6:$E$18,MATCH($G1300,設定!$B$6:$B$18,0)),""))</f>
        <v/>
      </c>
      <c r="J1300" s="80">
        <f>IFERROR(INDEX(打卡匯入!$C$3:$C$2002,MATCH($C1300&amp;"|"&amp;DAY($A1300),打卡匯入!$E$3:$E$2002,0)),"")</f>
        <v/>
      </c>
      <c r="K1300" s="80">
        <f>IFERROR(INDEX(打卡匯入!$D$3:$D$2002,MATCH($C1300&amp;"|"&amp;DAY($A1300),打卡匯入!$E$3:$E$2002,0)),"")</f>
        <v/>
      </c>
      <c r="L1300" s="81">
        <f>IF(OR($J1300="",$K1300=""),"",IFERROR(INDEX(設定!$F$6:$F$18,MATCH($G1300,設定!$B$6:$B$18,0)),0))</f>
        <v/>
      </c>
      <c r="M1300" s="82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1">
        <f>IF(OR($C1300="",$H1300="",$J1300=""),0,IF(ROUND(($J1300-$H1300)*1440,0)&gt;設定!$C$42,ROUND(($J1300-$H1300)*1440,0),0))</f>
        <v/>
      </c>
      <c r="P1300" s="81">
        <f>IF(OR($C1300="",$I1300="",$K1300=""),0,IF(ROUND(($I1300-$K1300)*1440,0)&gt;設定!$C$42,ROUND(($I1300-$K1300)*1440,0),0))</f>
        <v/>
      </c>
      <c r="Q1300" s="82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79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0">
        <f>IF($G1301="","",IFERROR(INDEX(設定!$D$6:$D$18,MATCH($G1301,設定!$B$6:$B$18,0)),""))</f>
        <v/>
      </c>
      <c r="I1301" s="80">
        <f>IF($G1301="","",IFERROR(INDEX(設定!$E$6:$E$18,MATCH($G1301,設定!$B$6:$B$18,0)),""))</f>
        <v/>
      </c>
      <c r="J1301" s="80">
        <f>IFERROR(INDEX(打卡匯入!$C$3:$C$2002,MATCH($C1301&amp;"|"&amp;DAY($A1301),打卡匯入!$E$3:$E$2002,0)),"")</f>
        <v/>
      </c>
      <c r="K1301" s="80">
        <f>IFERROR(INDEX(打卡匯入!$D$3:$D$2002,MATCH($C1301&amp;"|"&amp;DAY($A1301),打卡匯入!$E$3:$E$2002,0)),"")</f>
        <v/>
      </c>
      <c r="L1301" s="81">
        <f>IF(OR($J1301="",$K1301=""),"",IFERROR(INDEX(設定!$F$6:$F$18,MATCH($G1301,設定!$B$6:$B$18,0)),0))</f>
        <v/>
      </c>
      <c r="M1301" s="82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1">
        <f>IF(OR($C1301="",$H1301="",$J1301=""),0,IF(ROUND(($J1301-$H1301)*1440,0)&gt;設定!$C$42,ROUND(($J1301-$H1301)*1440,0),0))</f>
        <v/>
      </c>
      <c r="P1301" s="81">
        <f>IF(OR($C1301="",$I1301="",$K1301=""),0,IF(ROUND(($I1301-$K1301)*1440,0)&gt;設定!$C$42,ROUND(($I1301-$K1301)*1440,0),0))</f>
        <v/>
      </c>
      <c r="Q1301" s="82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79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0">
        <f>IF($G1302="","",IFERROR(INDEX(設定!$D$6:$D$18,MATCH($G1302,設定!$B$6:$B$18,0)),""))</f>
        <v/>
      </c>
      <c r="I1302" s="80">
        <f>IF($G1302="","",IFERROR(INDEX(設定!$E$6:$E$18,MATCH($G1302,設定!$B$6:$B$18,0)),""))</f>
        <v/>
      </c>
      <c r="J1302" s="80">
        <f>IFERROR(INDEX(打卡匯入!$C$3:$C$2002,MATCH($C1302&amp;"|"&amp;DAY($A1302),打卡匯入!$E$3:$E$2002,0)),"")</f>
        <v/>
      </c>
      <c r="K1302" s="80">
        <f>IFERROR(INDEX(打卡匯入!$D$3:$D$2002,MATCH($C1302&amp;"|"&amp;DAY($A1302),打卡匯入!$E$3:$E$2002,0)),"")</f>
        <v/>
      </c>
      <c r="L1302" s="81">
        <f>IF(OR($J1302="",$K1302=""),"",IFERROR(INDEX(設定!$F$6:$F$18,MATCH($G1302,設定!$B$6:$B$18,0)),0))</f>
        <v/>
      </c>
      <c r="M1302" s="82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1">
        <f>IF(OR($C1302="",$H1302="",$J1302=""),0,IF(ROUND(($J1302-$H1302)*1440,0)&gt;設定!$C$42,ROUND(($J1302-$H1302)*1440,0),0))</f>
        <v/>
      </c>
      <c r="P1302" s="81">
        <f>IF(OR($C1302="",$I1302="",$K1302=""),0,IF(ROUND(($I1302-$K1302)*1440,0)&gt;設定!$C$42,ROUND(($I1302-$K1302)*1440,0),0))</f>
        <v/>
      </c>
      <c r="Q1302" s="82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79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0">
        <f>IF($G1303="","",IFERROR(INDEX(設定!$D$6:$D$18,MATCH($G1303,設定!$B$6:$B$18,0)),""))</f>
        <v/>
      </c>
      <c r="I1303" s="80">
        <f>IF($G1303="","",IFERROR(INDEX(設定!$E$6:$E$18,MATCH($G1303,設定!$B$6:$B$18,0)),""))</f>
        <v/>
      </c>
      <c r="J1303" s="80">
        <f>IFERROR(INDEX(打卡匯入!$C$3:$C$2002,MATCH($C1303&amp;"|"&amp;DAY($A1303),打卡匯入!$E$3:$E$2002,0)),"")</f>
        <v/>
      </c>
      <c r="K1303" s="80">
        <f>IFERROR(INDEX(打卡匯入!$D$3:$D$2002,MATCH($C1303&amp;"|"&amp;DAY($A1303),打卡匯入!$E$3:$E$2002,0)),"")</f>
        <v/>
      </c>
      <c r="L1303" s="81">
        <f>IF(OR($J1303="",$K1303=""),"",IFERROR(INDEX(設定!$F$6:$F$18,MATCH($G1303,設定!$B$6:$B$18,0)),0))</f>
        <v/>
      </c>
      <c r="M1303" s="82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1">
        <f>IF(OR($C1303="",$H1303="",$J1303=""),0,IF(ROUND(($J1303-$H1303)*1440,0)&gt;設定!$C$42,ROUND(($J1303-$H1303)*1440,0),0))</f>
        <v/>
      </c>
      <c r="P1303" s="81">
        <f>IF(OR($C1303="",$I1303="",$K1303=""),0,IF(ROUND(($I1303-$K1303)*1440,0)&gt;設定!$C$42,ROUND(($I1303-$K1303)*1440,0),0))</f>
        <v/>
      </c>
      <c r="Q1303" s="82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79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0">
        <f>IF($G1304="","",IFERROR(INDEX(設定!$D$6:$D$18,MATCH($G1304,設定!$B$6:$B$18,0)),""))</f>
        <v/>
      </c>
      <c r="I1304" s="80">
        <f>IF($G1304="","",IFERROR(INDEX(設定!$E$6:$E$18,MATCH($G1304,設定!$B$6:$B$18,0)),""))</f>
        <v/>
      </c>
      <c r="J1304" s="80">
        <f>IFERROR(INDEX(打卡匯入!$C$3:$C$2002,MATCH($C1304&amp;"|"&amp;DAY($A1304),打卡匯入!$E$3:$E$2002,0)),"")</f>
        <v/>
      </c>
      <c r="K1304" s="80">
        <f>IFERROR(INDEX(打卡匯入!$D$3:$D$2002,MATCH($C1304&amp;"|"&amp;DAY($A1304),打卡匯入!$E$3:$E$2002,0)),"")</f>
        <v/>
      </c>
      <c r="L1304" s="81">
        <f>IF(OR($J1304="",$K1304=""),"",IFERROR(INDEX(設定!$F$6:$F$18,MATCH($G1304,設定!$B$6:$B$18,0)),0))</f>
        <v/>
      </c>
      <c r="M1304" s="82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1">
        <f>IF(OR($C1304="",$H1304="",$J1304=""),0,IF(ROUND(($J1304-$H1304)*1440,0)&gt;設定!$C$42,ROUND(($J1304-$H1304)*1440,0),0))</f>
        <v/>
      </c>
      <c r="P1304" s="81">
        <f>IF(OR($C1304="",$I1304="",$K1304=""),0,IF(ROUND(($I1304-$K1304)*1440,0)&gt;設定!$C$42,ROUND(($I1304-$K1304)*1440,0),0))</f>
        <v/>
      </c>
      <c r="Q1304" s="82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79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0">
        <f>IF($G1305="","",IFERROR(INDEX(設定!$D$6:$D$18,MATCH($G1305,設定!$B$6:$B$18,0)),""))</f>
        <v/>
      </c>
      <c r="I1305" s="80">
        <f>IF($G1305="","",IFERROR(INDEX(設定!$E$6:$E$18,MATCH($G1305,設定!$B$6:$B$18,0)),""))</f>
        <v/>
      </c>
      <c r="J1305" s="80">
        <f>IFERROR(INDEX(打卡匯入!$C$3:$C$2002,MATCH($C1305&amp;"|"&amp;DAY($A1305),打卡匯入!$E$3:$E$2002,0)),"")</f>
        <v/>
      </c>
      <c r="K1305" s="80">
        <f>IFERROR(INDEX(打卡匯入!$D$3:$D$2002,MATCH($C1305&amp;"|"&amp;DAY($A1305),打卡匯入!$E$3:$E$2002,0)),"")</f>
        <v/>
      </c>
      <c r="L1305" s="81">
        <f>IF(OR($J1305="",$K1305=""),"",IFERROR(INDEX(設定!$F$6:$F$18,MATCH($G1305,設定!$B$6:$B$18,0)),0))</f>
        <v/>
      </c>
      <c r="M1305" s="82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1">
        <f>IF(OR($C1305="",$H1305="",$J1305=""),0,IF(ROUND(($J1305-$H1305)*1440,0)&gt;設定!$C$42,ROUND(($J1305-$H1305)*1440,0),0))</f>
        <v/>
      </c>
      <c r="P1305" s="81">
        <f>IF(OR($C1305="",$I1305="",$K1305=""),0,IF(ROUND(($I1305-$K1305)*1440,0)&gt;設定!$C$42,ROUND(($I1305-$K1305)*1440,0),0))</f>
        <v/>
      </c>
      <c r="Q1305" s="82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79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0">
        <f>IF($G1306="","",IFERROR(INDEX(設定!$D$6:$D$18,MATCH($G1306,設定!$B$6:$B$18,0)),""))</f>
        <v/>
      </c>
      <c r="I1306" s="80">
        <f>IF($G1306="","",IFERROR(INDEX(設定!$E$6:$E$18,MATCH($G1306,設定!$B$6:$B$18,0)),""))</f>
        <v/>
      </c>
      <c r="J1306" s="80">
        <f>IFERROR(INDEX(打卡匯入!$C$3:$C$2002,MATCH($C1306&amp;"|"&amp;DAY($A1306),打卡匯入!$E$3:$E$2002,0)),"")</f>
        <v/>
      </c>
      <c r="K1306" s="80">
        <f>IFERROR(INDEX(打卡匯入!$D$3:$D$2002,MATCH($C1306&amp;"|"&amp;DAY($A1306),打卡匯入!$E$3:$E$2002,0)),"")</f>
        <v/>
      </c>
      <c r="L1306" s="81">
        <f>IF(OR($J1306="",$K1306=""),"",IFERROR(INDEX(設定!$F$6:$F$18,MATCH($G1306,設定!$B$6:$B$18,0)),0))</f>
        <v/>
      </c>
      <c r="M1306" s="82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1">
        <f>IF(OR($C1306="",$H1306="",$J1306=""),0,IF(ROUND(($J1306-$H1306)*1440,0)&gt;設定!$C$42,ROUND(($J1306-$H1306)*1440,0),0))</f>
        <v/>
      </c>
      <c r="P1306" s="81">
        <f>IF(OR($C1306="",$I1306="",$K1306=""),0,IF(ROUND(($I1306-$K1306)*1440,0)&gt;設定!$C$42,ROUND(($I1306-$K1306)*1440,0),0))</f>
        <v/>
      </c>
      <c r="Q1306" s="82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79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0">
        <f>IF($G1307="","",IFERROR(INDEX(設定!$D$6:$D$18,MATCH($G1307,設定!$B$6:$B$18,0)),""))</f>
        <v/>
      </c>
      <c r="I1307" s="80">
        <f>IF($G1307="","",IFERROR(INDEX(設定!$E$6:$E$18,MATCH($G1307,設定!$B$6:$B$18,0)),""))</f>
        <v/>
      </c>
      <c r="J1307" s="80">
        <f>IFERROR(INDEX(打卡匯入!$C$3:$C$2002,MATCH($C1307&amp;"|"&amp;DAY($A1307),打卡匯入!$E$3:$E$2002,0)),"")</f>
        <v/>
      </c>
      <c r="K1307" s="80">
        <f>IFERROR(INDEX(打卡匯入!$D$3:$D$2002,MATCH($C1307&amp;"|"&amp;DAY($A1307),打卡匯入!$E$3:$E$2002,0)),"")</f>
        <v/>
      </c>
      <c r="L1307" s="81">
        <f>IF(OR($J1307="",$K1307=""),"",IFERROR(INDEX(設定!$F$6:$F$18,MATCH($G1307,設定!$B$6:$B$18,0)),0))</f>
        <v/>
      </c>
      <c r="M1307" s="82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1">
        <f>IF(OR($C1307="",$H1307="",$J1307=""),0,IF(ROUND(($J1307-$H1307)*1440,0)&gt;設定!$C$42,ROUND(($J1307-$H1307)*1440,0),0))</f>
        <v/>
      </c>
      <c r="P1307" s="81">
        <f>IF(OR($C1307="",$I1307="",$K1307=""),0,IF(ROUND(($I1307-$K1307)*1440,0)&gt;設定!$C$42,ROUND(($I1307-$K1307)*1440,0),0))</f>
        <v/>
      </c>
      <c r="Q1307" s="82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79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0">
        <f>IF($G1308="","",IFERROR(INDEX(設定!$D$6:$D$18,MATCH($G1308,設定!$B$6:$B$18,0)),""))</f>
        <v/>
      </c>
      <c r="I1308" s="80">
        <f>IF($G1308="","",IFERROR(INDEX(設定!$E$6:$E$18,MATCH($G1308,設定!$B$6:$B$18,0)),""))</f>
        <v/>
      </c>
      <c r="J1308" s="80">
        <f>IFERROR(INDEX(打卡匯入!$C$3:$C$2002,MATCH($C1308&amp;"|"&amp;DAY($A1308),打卡匯入!$E$3:$E$2002,0)),"")</f>
        <v/>
      </c>
      <c r="K1308" s="80">
        <f>IFERROR(INDEX(打卡匯入!$D$3:$D$2002,MATCH($C1308&amp;"|"&amp;DAY($A1308),打卡匯入!$E$3:$E$2002,0)),"")</f>
        <v/>
      </c>
      <c r="L1308" s="81">
        <f>IF(OR($J1308="",$K1308=""),"",IFERROR(INDEX(設定!$F$6:$F$18,MATCH($G1308,設定!$B$6:$B$18,0)),0))</f>
        <v/>
      </c>
      <c r="M1308" s="82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1">
        <f>IF(OR($C1308="",$H1308="",$J1308=""),0,IF(ROUND(($J1308-$H1308)*1440,0)&gt;設定!$C$42,ROUND(($J1308-$H1308)*1440,0),0))</f>
        <v/>
      </c>
      <c r="P1308" s="81">
        <f>IF(OR($C1308="",$I1308="",$K1308=""),0,IF(ROUND(($I1308-$K1308)*1440,0)&gt;設定!$C$42,ROUND(($I1308-$K1308)*1440,0),0))</f>
        <v/>
      </c>
      <c r="Q1308" s="82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79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0">
        <f>IF($G1309="","",IFERROR(INDEX(設定!$D$6:$D$18,MATCH($G1309,設定!$B$6:$B$18,0)),""))</f>
        <v/>
      </c>
      <c r="I1309" s="80">
        <f>IF($G1309="","",IFERROR(INDEX(設定!$E$6:$E$18,MATCH($G1309,設定!$B$6:$B$18,0)),""))</f>
        <v/>
      </c>
      <c r="J1309" s="80">
        <f>IFERROR(INDEX(打卡匯入!$C$3:$C$2002,MATCH($C1309&amp;"|"&amp;DAY($A1309),打卡匯入!$E$3:$E$2002,0)),"")</f>
        <v/>
      </c>
      <c r="K1309" s="80">
        <f>IFERROR(INDEX(打卡匯入!$D$3:$D$2002,MATCH($C1309&amp;"|"&amp;DAY($A1309),打卡匯入!$E$3:$E$2002,0)),"")</f>
        <v/>
      </c>
      <c r="L1309" s="81">
        <f>IF(OR($J1309="",$K1309=""),"",IFERROR(INDEX(設定!$F$6:$F$18,MATCH($G1309,設定!$B$6:$B$18,0)),0))</f>
        <v/>
      </c>
      <c r="M1309" s="82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1">
        <f>IF(OR($C1309="",$H1309="",$J1309=""),0,IF(ROUND(($J1309-$H1309)*1440,0)&gt;設定!$C$42,ROUND(($J1309-$H1309)*1440,0),0))</f>
        <v/>
      </c>
      <c r="P1309" s="81">
        <f>IF(OR($C1309="",$I1309="",$K1309=""),0,IF(ROUND(($I1309-$K1309)*1440,0)&gt;設定!$C$42,ROUND(($I1309-$K1309)*1440,0),0))</f>
        <v/>
      </c>
      <c r="Q1309" s="82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79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0">
        <f>IF($G1310="","",IFERROR(INDEX(設定!$D$6:$D$18,MATCH($G1310,設定!$B$6:$B$18,0)),""))</f>
        <v/>
      </c>
      <c r="I1310" s="80">
        <f>IF($G1310="","",IFERROR(INDEX(設定!$E$6:$E$18,MATCH($G1310,設定!$B$6:$B$18,0)),""))</f>
        <v/>
      </c>
      <c r="J1310" s="80">
        <f>IFERROR(INDEX(打卡匯入!$C$3:$C$2002,MATCH($C1310&amp;"|"&amp;DAY($A1310),打卡匯入!$E$3:$E$2002,0)),"")</f>
        <v/>
      </c>
      <c r="K1310" s="80">
        <f>IFERROR(INDEX(打卡匯入!$D$3:$D$2002,MATCH($C1310&amp;"|"&amp;DAY($A1310),打卡匯入!$E$3:$E$2002,0)),"")</f>
        <v/>
      </c>
      <c r="L1310" s="81">
        <f>IF(OR($J1310="",$K1310=""),"",IFERROR(INDEX(設定!$F$6:$F$18,MATCH($G1310,設定!$B$6:$B$18,0)),0))</f>
        <v/>
      </c>
      <c r="M1310" s="82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1">
        <f>IF(OR($C1310="",$H1310="",$J1310=""),0,IF(ROUND(($J1310-$H1310)*1440,0)&gt;設定!$C$42,ROUND(($J1310-$H1310)*1440,0),0))</f>
        <v/>
      </c>
      <c r="P1310" s="81">
        <f>IF(OR($C1310="",$I1310="",$K1310=""),0,IF(ROUND(($I1310-$K1310)*1440,0)&gt;設定!$C$42,ROUND(($I1310-$K1310)*1440,0),0))</f>
        <v/>
      </c>
      <c r="Q1310" s="82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79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0">
        <f>IF($G1311="","",IFERROR(INDEX(設定!$D$6:$D$18,MATCH($G1311,設定!$B$6:$B$18,0)),""))</f>
        <v/>
      </c>
      <c r="I1311" s="80">
        <f>IF($G1311="","",IFERROR(INDEX(設定!$E$6:$E$18,MATCH($G1311,設定!$B$6:$B$18,0)),""))</f>
        <v/>
      </c>
      <c r="J1311" s="80">
        <f>IFERROR(INDEX(打卡匯入!$C$3:$C$2002,MATCH($C1311&amp;"|"&amp;DAY($A1311),打卡匯入!$E$3:$E$2002,0)),"")</f>
        <v/>
      </c>
      <c r="K1311" s="80">
        <f>IFERROR(INDEX(打卡匯入!$D$3:$D$2002,MATCH($C1311&amp;"|"&amp;DAY($A1311),打卡匯入!$E$3:$E$2002,0)),"")</f>
        <v/>
      </c>
      <c r="L1311" s="81">
        <f>IF(OR($J1311="",$K1311=""),"",IFERROR(INDEX(設定!$F$6:$F$18,MATCH($G1311,設定!$B$6:$B$18,0)),0))</f>
        <v/>
      </c>
      <c r="M1311" s="82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1">
        <f>IF(OR($C1311="",$H1311="",$J1311=""),0,IF(ROUND(($J1311-$H1311)*1440,0)&gt;設定!$C$42,ROUND(($J1311-$H1311)*1440,0),0))</f>
        <v/>
      </c>
      <c r="P1311" s="81">
        <f>IF(OR($C1311="",$I1311="",$K1311=""),0,IF(ROUND(($I1311-$K1311)*1440,0)&gt;設定!$C$42,ROUND(($I1311-$K1311)*1440,0),0))</f>
        <v/>
      </c>
      <c r="Q1311" s="82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79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0">
        <f>IF($G1312="","",IFERROR(INDEX(設定!$D$6:$D$18,MATCH($G1312,設定!$B$6:$B$18,0)),""))</f>
        <v/>
      </c>
      <c r="I1312" s="80">
        <f>IF($G1312="","",IFERROR(INDEX(設定!$E$6:$E$18,MATCH($G1312,設定!$B$6:$B$18,0)),""))</f>
        <v/>
      </c>
      <c r="J1312" s="80">
        <f>IFERROR(INDEX(打卡匯入!$C$3:$C$2002,MATCH($C1312&amp;"|"&amp;DAY($A1312),打卡匯入!$E$3:$E$2002,0)),"")</f>
        <v/>
      </c>
      <c r="K1312" s="80">
        <f>IFERROR(INDEX(打卡匯入!$D$3:$D$2002,MATCH($C1312&amp;"|"&amp;DAY($A1312),打卡匯入!$E$3:$E$2002,0)),"")</f>
        <v/>
      </c>
      <c r="L1312" s="81">
        <f>IF(OR($J1312="",$K1312=""),"",IFERROR(INDEX(設定!$F$6:$F$18,MATCH($G1312,設定!$B$6:$B$18,0)),0))</f>
        <v/>
      </c>
      <c r="M1312" s="82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1">
        <f>IF(OR($C1312="",$H1312="",$J1312=""),0,IF(ROUND(($J1312-$H1312)*1440,0)&gt;設定!$C$42,ROUND(($J1312-$H1312)*1440,0),0))</f>
        <v/>
      </c>
      <c r="P1312" s="81">
        <f>IF(OR($C1312="",$I1312="",$K1312=""),0,IF(ROUND(($I1312-$K1312)*1440,0)&gt;設定!$C$42,ROUND(($I1312-$K1312)*1440,0),0))</f>
        <v/>
      </c>
      <c r="Q1312" s="82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79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0">
        <f>IF($G1313="","",IFERROR(INDEX(設定!$D$6:$D$18,MATCH($G1313,設定!$B$6:$B$18,0)),""))</f>
        <v/>
      </c>
      <c r="I1313" s="80">
        <f>IF($G1313="","",IFERROR(INDEX(設定!$E$6:$E$18,MATCH($G1313,設定!$B$6:$B$18,0)),""))</f>
        <v/>
      </c>
      <c r="J1313" s="80">
        <f>IFERROR(INDEX(打卡匯入!$C$3:$C$2002,MATCH($C1313&amp;"|"&amp;DAY($A1313),打卡匯入!$E$3:$E$2002,0)),"")</f>
        <v/>
      </c>
      <c r="K1313" s="80">
        <f>IFERROR(INDEX(打卡匯入!$D$3:$D$2002,MATCH($C1313&amp;"|"&amp;DAY($A1313),打卡匯入!$E$3:$E$2002,0)),"")</f>
        <v/>
      </c>
      <c r="L1313" s="81">
        <f>IF(OR($J1313="",$K1313=""),"",IFERROR(INDEX(設定!$F$6:$F$18,MATCH($G1313,設定!$B$6:$B$18,0)),0))</f>
        <v/>
      </c>
      <c r="M1313" s="82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1">
        <f>IF(OR($C1313="",$H1313="",$J1313=""),0,IF(ROUND(($J1313-$H1313)*1440,0)&gt;設定!$C$42,ROUND(($J1313-$H1313)*1440,0),0))</f>
        <v/>
      </c>
      <c r="P1313" s="81">
        <f>IF(OR($C1313="",$I1313="",$K1313=""),0,IF(ROUND(($I1313-$K1313)*1440,0)&gt;設定!$C$42,ROUND(($I1313-$K1313)*1440,0),0))</f>
        <v/>
      </c>
      <c r="Q1313" s="82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79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0">
        <f>IF($G1314="","",IFERROR(INDEX(設定!$D$6:$D$18,MATCH($G1314,設定!$B$6:$B$18,0)),""))</f>
        <v/>
      </c>
      <c r="I1314" s="80">
        <f>IF($G1314="","",IFERROR(INDEX(設定!$E$6:$E$18,MATCH($G1314,設定!$B$6:$B$18,0)),""))</f>
        <v/>
      </c>
      <c r="J1314" s="80">
        <f>IFERROR(INDEX(打卡匯入!$C$3:$C$2002,MATCH($C1314&amp;"|"&amp;DAY($A1314),打卡匯入!$E$3:$E$2002,0)),"")</f>
        <v/>
      </c>
      <c r="K1314" s="80">
        <f>IFERROR(INDEX(打卡匯入!$D$3:$D$2002,MATCH($C1314&amp;"|"&amp;DAY($A1314),打卡匯入!$E$3:$E$2002,0)),"")</f>
        <v/>
      </c>
      <c r="L1314" s="81">
        <f>IF(OR($J1314="",$K1314=""),"",IFERROR(INDEX(設定!$F$6:$F$18,MATCH($G1314,設定!$B$6:$B$18,0)),0))</f>
        <v/>
      </c>
      <c r="M1314" s="82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1">
        <f>IF(OR($C1314="",$H1314="",$J1314=""),0,IF(ROUND(($J1314-$H1314)*1440,0)&gt;設定!$C$42,ROUND(($J1314-$H1314)*1440,0),0))</f>
        <v/>
      </c>
      <c r="P1314" s="81">
        <f>IF(OR($C1314="",$I1314="",$K1314=""),0,IF(ROUND(($I1314-$K1314)*1440,0)&gt;設定!$C$42,ROUND(($I1314-$K1314)*1440,0),0))</f>
        <v/>
      </c>
      <c r="Q1314" s="82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79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0">
        <f>IF($G1315="","",IFERROR(INDEX(設定!$D$6:$D$18,MATCH($G1315,設定!$B$6:$B$18,0)),""))</f>
        <v/>
      </c>
      <c r="I1315" s="80">
        <f>IF($G1315="","",IFERROR(INDEX(設定!$E$6:$E$18,MATCH($G1315,設定!$B$6:$B$18,0)),""))</f>
        <v/>
      </c>
      <c r="J1315" s="80">
        <f>IFERROR(INDEX(打卡匯入!$C$3:$C$2002,MATCH($C1315&amp;"|"&amp;DAY($A1315),打卡匯入!$E$3:$E$2002,0)),"")</f>
        <v/>
      </c>
      <c r="K1315" s="80">
        <f>IFERROR(INDEX(打卡匯入!$D$3:$D$2002,MATCH($C1315&amp;"|"&amp;DAY($A1315),打卡匯入!$E$3:$E$2002,0)),"")</f>
        <v/>
      </c>
      <c r="L1315" s="81">
        <f>IF(OR($J1315="",$K1315=""),"",IFERROR(INDEX(設定!$F$6:$F$18,MATCH($G1315,設定!$B$6:$B$18,0)),0))</f>
        <v/>
      </c>
      <c r="M1315" s="82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1">
        <f>IF(OR($C1315="",$H1315="",$J1315=""),0,IF(ROUND(($J1315-$H1315)*1440,0)&gt;設定!$C$42,ROUND(($J1315-$H1315)*1440,0),0))</f>
        <v/>
      </c>
      <c r="P1315" s="81">
        <f>IF(OR($C1315="",$I1315="",$K1315=""),0,IF(ROUND(($I1315-$K1315)*1440,0)&gt;設定!$C$42,ROUND(($I1315-$K1315)*1440,0),0))</f>
        <v/>
      </c>
      <c r="Q1315" s="82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79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0">
        <f>IF($G1316="","",IFERROR(INDEX(設定!$D$6:$D$18,MATCH($G1316,設定!$B$6:$B$18,0)),""))</f>
        <v/>
      </c>
      <c r="I1316" s="80">
        <f>IF($G1316="","",IFERROR(INDEX(設定!$E$6:$E$18,MATCH($G1316,設定!$B$6:$B$18,0)),""))</f>
        <v/>
      </c>
      <c r="J1316" s="80">
        <f>IFERROR(INDEX(打卡匯入!$C$3:$C$2002,MATCH($C1316&amp;"|"&amp;DAY($A1316),打卡匯入!$E$3:$E$2002,0)),"")</f>
        <v/>
      </c>
      <c r="K1316" s="80">
        <f>IFERROR(INDEX(打卡匯入!$D$3:$D$2002,MATCH($C1316&amp;"|"&amp;DAY($A1316),打卡匯入!$E$3:$E$2002,0)),"")</f>
        <v/>
      </c>
      <c r="L1316" s="81">
        <f>IF(OR($J1316="",$K1316=""),"",IFERROR(INDEX(設定!$F$6:$F$18,MATCH($G1316,設定!$B$6:$B$18,0)),0))</f>
        <v/>
      </c>
      <c r="M1316" s="82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1">
        <f>IF(OR($C1316="",$H1316="",$J1316=""),0,IF(ROUND(($J1316-$H1316)*1440,0)&gt;設定!$C$42,ROUND(($J1316-$H1316)*1440,0),0))</f>
        <v/>
      </c>
      <c r="P1316" s="81">
        <f>IF(OR($C1316="",$I1316="",$K1316=""),0,IF(ROUND(($I1316-$K1316)*1440,0)&gt;設定!$C$42,ROUND(($I1316-$K1316)*1440,0),0))</f>
        <v/>
      </c>
      <c r="Q1316" s="82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79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0">
        <f>IF($G1317="","",IFERROR(INDEX(設定!$D$6:$D$18,MATCH($G1317,設定!$B$6:$B$18,0)),""))</f>
        <v/>
      </c>
      <c r="I1317" s="80">
        <f>IF($G1317="","",IFERROR(INDEX(設定!$E$6:$E$18,MATCH($G1317,設定!$B$6:$B$18,0)),""))</f>
        <v/>
      </c>
      <c r="J1317" s="80">
        <f>IFERROR(INDEX(打卡匯入!$C$3:$C$2002,MATCH($C1317&amp;"|"&amp;DAY($A1317),打卡匯入!$E$3:$E$2002,0)),"")</f>
        <v/>
      </c>
      <c r="K1317" s="80">
        <f>IFERROR(INDEX(打卡匯入!$D$3:$D$2002,MATCH($C1317&amp;"|"&amp;DAY($A1317),打卡匯入!$E$3:$E$2002,0)),"")</f>
        <v/>
      </c>
      <c r="L1317" s="81">
        <f>IF(OR($J1317="",$K1317=""),"",IFERROR(INDEX(設定!$F$6:$F$18,MATCH($G1317,設定!$B$6:$B$18,0)),0))</f>
        <v/>
      </c>
      <c r="M1317" s="82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1">
        <f>IF(OR($C1317="",$H1317="",$J1317=""),0,IF(ROUND(($J1317-$H1317)*1440,0)&gt;設定!$C$42,ROUND(($J1317-$H1317)*1440,0),0))</f>
        <v/>
      </c>
      <c r="P1317" s="81">
        <f>IF(OR($C1317="",$I1317="",$K1317=""),0,IF(ROUND(($I1317-$K1317)*1440,0)&gt;設定!$C$42,ROUND(($I1317-$K1317)*1440,0),0))</f>
        <v/>
      </c>
      <c r="Q1317" s="82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79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0">
        <f>IF($G1318="","",IFERROR(INDEX(設定!$D$6:$D$18,MATCH($G1318,設定!$B$6:$B$18,0)),""))</f>
        <v/>
      </c>
      <c r="I1318" s="80">
        <f>IF($G1318="","",IFERROR(INDEX(設定!$E$6:$E$18,MATCH($G1318,設定!$B$6:$B$18,0)),""))</f>
        <v/>
      </c>
      <c r="J1318" s="80">
        <f>IFERROR(INDEX(打卡匯入!$C$3:$C$2002,MATCH($C1318&amp;"|"&amp;DAY($A1318),打卡匯入!$E$3:$E$2002,0)),"")</f>
        <v/>
      </c>
      <c r="K1318" s="80">
        <f>IFERROR(INDEX(打卡匯入!$D$3:$D$2002,MATCH($C1318&amp;"|"&amp;DAY($A1318),打卡匯入!$E$3:$E$2002,0)),"")</f>
        <v/>
      </c>
      <c r="L1318" s="81">
        <f>IF(OR($J1318="",$K1318=""),"",IFERROR(INDEX(設定!$F$6:$F$18,MATCH($G1318,設定!$B$6:$B$18,0)),0))</f>
        <v/>
      </c>
      <c r="M1318" s="82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1">
        <f>IF(OR($C1318="",$H1318="",$J1318=""),0,IF(ROUND(($J1318-$H1318)*1440,0)&gt;設定!$C$42,ROUND(($J1318-$H1318)*1440,0),0))</f>
        <v/>
      </c>
      <c r="P1318" s="81">
        <f>IF(OR($C1318="",$I1318="",$K1318=""),0,IF(ROUND(($I1318-$K1318)*1440,0)&gt;設定!$C$42,ROUND(($I1318-$K1318)*1440,0),0))</f>
        <v/>
      </c>
      <c r="Q1318" s="82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79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0">
        <f>IF($G1319="","",IFERROR(INDEX(設定!$D$6:$D$18,MATCH($G1319,設定!$B$6:$B$18,0)),""))</f>
        <v/>
      </c>
      <c r="I1319" s="80">
        <f>IF($G1319="","",IFERROR(INDEX(設定!$E$6:$E$18,MATCH($G1319,設定!$B$6:$B$18,0)),""))</f>
        <v/>
      </c>
      <c r="J1319" s="80">
        <f>IFERROR(INDEX(打卡匯入!$C$3:$C$2002,MATCH($C1319&amp;"|"&amp;DAY($A1319),打卡匯入!$E$3:$E$2002,0)),"")</f>
        <v/>
      </c>
      <c r="K1319" s="80">
        <f>IFERROR(INDEX(打卡匯入!$D$3:$D$2002,MATCH($C1319&amp;"|"&amp;DAY($A1319),打卡匯入!$E$3:$E$2002,0)),"")</f>
        <v/>
      </c>
      <c r="L1319" s="81">
        <f>IF(OR($J1319="",$K1319=""),"",IFERROR(INDEX(設定!$F$6:$F$18,MATCH($G1319,設定!$B$6:$B$18,0)),0))</f>
        <v/>
      </c>
      <c r="M1319" s="82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1">
        <f>IF(OR($C1319="",$H1319="",$J1319=""),0,IF(ROUND(($J1319-$H1319)*1440,0)&gt;設定!$C$42,ROUND(($J1319-$H1319)*1440,0),0))</f>
        <v/>
      </c>
      <c r="P1319" s="81">
        <f>IF(OR($C1319="",$I1319="",$K1319=""),0,IF(ROUND(($I1319-$K1319)*1440,0)&gt;設定!$C$42,ROUND(($I1319-$K1319)*1440,0),0))</f>
        <v/>
      </c>
      <c r="Q1319" s="82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79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0">
        <f>IF($G1320="","",IFERROR(INDEX(設定!$D$6:$D$18,MATCH($G1320,設定!$B$6:$B$18,0)),""))</f>
        <v/>
      </c>
      <c r="I1320" s="80">
        <f>IF($G1320="","",IFERROR(INDEX(設定!$E$6:$E$18,MATCH($G1320,設定!$B$6:$B$18,0)),""))</f>
        <v/>
      </c>
      <c r="J1320" s="80">
        <f>IFERROR(INDEX(打卡匯入!$C$3:$C$2002,MATCH($C1320&amp;"|"&amp;DAY($A1320),打卡匯入!$E$3:$E$2002,0)),"")</f>
        <v/>
      </c>
      <c r="K1320" s="80">
        <f>IFERROR(INDEX(打卡匯入!$D$3:$D$2002,MATCH($C1320&amp;"|"&amp;DAY($A1320),打卡匯入!$E$3:$E$2002,0)),"")</f>
        <v/>
      </c>
      <c r="L1320" s="81">
        <f>IF(OR($J1320="",$K1320=""),"",IFERROR(INDEX(設定!$F$6:$F$18,MATCH($G1320,設定!$B$6:$B$18,0)),0))</f>
        <v/>
      </c>
      <c r="M1320" s="82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1">
        <f>IF(OR($C1320="",$H1320="",$J1320=""),0,IF(ROUND(($J1320-$H1320)*1440,0)&gt;設定!$C$42,ROUND(($J1320-$H1320)*1440,0),0))</f>
        <v/>
      </c>
      <c r="P1320" s="81">
        <f>IF(OR($C1320="",$I1320="",$K1320=""),0,IF(ROUND(($I1320-$K1320)*1440,0)&gt;設定!$C$42,ROUND(($I1320-$K1320)*1440,0),0))</f>
        <v/>
      </c>
      <c r="Q1320" s="82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79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0">
        <f>IF($G1321="","",IFERROR(INDEX(設定!$D$6:$D$18,MATCH($G1321,設定!$B$6:$B$18,0)),""))</f>
        <v/>
      </c>
      <c r="I1321" s="80">
        <f>IF($G1321="","",IFERROR(INDEX(設定!$E$6:$E$18,MATCH($G1321,設定!$B$6:$B$18,0)),""))</f>
        <v/>
      </c>
      <c r="J1321" s="80">
        <f>IFERROR(INDEX(打卡匯入!$C$3:$C$2002,MATCH($C1321&amp;"|"&amp;DAY($A1321),打卡匯入!$E$3:$E$2002,0)),"")</f>
        <v/>
      </c>
      <c r="K1321" s="80">
        <f>IFERROR(INDEX(打卡匯入!$D$3:$D$2002,MATCH($C1321&amp;"|"&amp;DAY($A1321),打卡匯入!$E$3:$E$2002,0)),"")</f>
        <v/>
      </c>
      <c r="L1321" s="81">
        <f>IF(OR($J1321="",$K1321=""),"",IFERROR(INDEX(設定!$F$6:$F$18,MATCH($G1321,設定!$B$6:$B$18,0)),0))</f>
        <v/>
      </c>
      <c r="M1321" s="82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1">
        <f>IF(OR($C1321="",$H1321="",$J1321=""),0,IF(ROUND(($J1321-$H1321)*1440,0)&gt;設定!$C$42,ROUND(($J1321-$H1321)*1440,0),0))</f>
        <v/>
      </c>
      <c r="P1321" s="81">
        <f>IF(OR($C1321="",$I1321="",$K1321=""),0,IF(ROUND(($I1321-$K1321)*1440,0)&gt;設定!$C$42,ROUND(($I1321-$K1321)*1440,0),0))</f>
        <v/>
      </c>
      <c r="Q1321" s="82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79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0">
        <f>IF($G1322="","",IFERROR(INDEX(設定!$D$6:$D$18,MATCH($G1322,設定!$B$6:$B$18,0)),""))</f>
        <v/>
      </c>
      <c r="I1322" s="80">
        <f>IF($G1322="","",IFERROR(INDEX(設定!$E$6:$E$18,MATCH($G1322,設定!$B$6:$B$18,0)),""))</f>
        <v/>
      </c>
      <c r="J1322" s="80">
        <f>IFERROR(INDEX(打卡匯入!$C$3:$C$2002,MATCH($C1322&amp;"|"&amp;DAY($A1322),打卡匯入!$E$3:$E$2002,0)),"")</f>
        <v/>
      </c>
      <c r="K1322" s="80">
        <f>IFERROR(INDEX(打卡匯入!$D$3:$D$2002,MATCH($C1322&amp;"|"&amp;DAY($A1322),打卡匯入!$E$3:$E$2002,0)),"")</f>
        <v/>
      </c>
      <c r="L1322" s="81">
        <f>IF(OR($J1322="",$K1322=""),"",IFERROR(INDEX(設定!$F$6:$F$18,MATCH($G1322,設定!$B$6:$B$18,0)),0))</f>
        <v/>
      </c>
      <c r="M1322" s="82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1">
        <f>IF(OR($C1322="",$H1322="",$J1322=""),0,IF(ROUND(($J1322-$H1322)*1440,0)&gt;設定!$C$42,ROUND(($J1322-$H1322)*1440,0),0))</f>
        <v/>
      </c>
      <c r="P1322" s="81">
        <f>IF(OR($C1322="",$I1322="",$K1322=""),0,IF(ROUND(($I1322-$K1322)*1440,0)&gt;設定!$C$42,ROUND(($I1322-$K1322)*1440,0),0))</f>
        <v/>
      </c>
      <c r="Q1322" s="82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79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0">
        <f>IF($G1323="","",IFERROR(INDEX(設定!$D$6:$D$18,MATCH($G1323,設定!$B$6:$B$18,0)),""))</f>
        <v/>
      </c>
      <c r="I1323" s="80">
        <f>IF($G1323="","",IFERROR(INDEX(設定!$E$6:$E$18,MATCH($G1323,設定!$B$6:$B$18,0)),""))</f>
        <v/>
      </c>
      <c r="J1323" s="80">
        <f>IFERROR(INDEX(打卡匯入!$C$3:$C$2002,MATCH($C1323&amp;"|"&amp;DAY($A1323),打卡匯入!$E$3:$E$2002,0)),"")</f>
        <v/>
      </c>
      <c r="K1323" s="80">
        <f>IFERROR(INDEX(打卡匯入!$D$3:$D$2002,MATCH($C1323&amp;"|"&amp;DAY($A1323),打卡匯入!$E$3:$E$2002,0)),"")</f>
        <v/>
      </c>
      <c r="L1323" s="81">
        <f>IF(OR($J1323="",$K1323=""),"",IFERROR(INDEX(設定!$F$6:$F$18,MATCH($G1323,設定!$B$6:$B$18,0)),0))</f>
        <v/>
      </c>
      <c r="M1323" s="82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1">
        <f>IF(OR($C1323="",$H1323="",$J1323=""),0,IF(ROUND(($J1323-$H1323)*1440,0)&gt;設定!$C$42,ROUND(($J1323-$H1323)*1440,0),0))</f>
        <v/>
      </c>
      <c r="P1323" s="81">
        <f>IF(OR($C1323="",$I1323="",$K1323=""),0,IF(ROUND(($I1323-$K1323)*1440,0)&gt;設定!$C$42,ROUND(($I1323-$K1323)*1440,0),0))</f>
        <v/>
      </c>
      <c r="Q1323" s="82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79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0">
        <f>IF($G1324="","",IFERROR(INDEX(設定!$D$6:$D$18,MATCH($G1324,設定!$B$6:$B$18,0)),""))</f>
        <v/>
      </c>
      <c r="I1324" s="80">
        <f>IF($G1324="","",IFERROR(INDEX(設定!$E$6:$E$18,MATCH($G1324,設定!$B$6:$B$18,0)),""))</f>
        <v/>
      </c>
      <c r="J1324" s="80">
        <f>IFERROR(INDEX(打卡匯入!$C$3:$C$2002,MATCH($C1324&amp;"|"&amp;DAY($A1324),打卡匯入!$E$3:$E$2002,0)),"")</f>
        <v/>
      </c>
      <c r="K1324" s="80">
        <f>IFERROR(INDEX(打卡匯入!$D$3:$D$2002,MATCH($C1324&amp;"|"&amp;DAY($A1324),打卡匯入!$E$3:$E$2002,0)),"")</f>
        <v/>
      </c>
      <c r="L1324" s="81">
        <f>IF(OR($J1324="",$K1324=""),"",IFERROR(INDEX(設定!$F$6:$F$18,MATCH($G1324,設定!$B$6:$B$18,0)),0))</f>
        <v/>
      </c>
      <c r="M1324" s="82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1">
        <f>IF(OR($C1324="",$H1324="",$J1324=""),0,IF(ROUND(($J1324-$H1324)*1440,0)&gt;設定!$C$42,ROUND(($J1324-$H1324)*1440,0),0))</f>
        <v/>
      </c>
      <c r="P1324" s="81">
        <f>IF(OR($C1324="",$I1324="",$K1324=""),0,IF(ROUND(($I1324-$K1324)*1440,0)&gt;設定!$C$42,ROUND(($I1324-$K1324)*1440,0),0))</f>
        <v/>
      </c>
      <c r="Q1324" s="82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79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0">
        <f>IF($G1325="","",IFERROR(INDEX(設定!$D$6:$D$18,MATCH($G1325,設定!$B$6:$B$18,0)),""))</f>
        <v/>
      </c>
      <c r="I1325" s="80">
        <f>IF($G1325="","",IFERROR(INDEX(設定!$E$6:$E$18,MATCH($G1325,設定!$B$6:$B$18,0)),""))</f>
        <v/>
      </c>
      <c r="J1325" s="80">
        <f>IFERROR(INDEX(打卡匯入!$C$3:$C$2002,MATCH($C1325&amp;"|"&amp;DAY($A1325),打卡匯入!$E$3:$E$2002,0)),"")</f>
        <v/>
      </c>
      <c r="K1325" s="80">
        <f>IFERROR(INDEX(打卡匯入!$D$3:$D$2002,MATCH($C1325&amp;"|"&amp;DAY($A1325),打卡匯入!$E$3:$E$2002,0)),"")</f>
        <v/>
      </c>
      <c r="L1325" s="81">
        <f>IF(OR($J1325="",$K1325=""),"",IFERROR(INDEX(設定!$F$6:$F$18,MATCH($G1325,設定!$B$6:$B$18,0)),0))</f>
        <v/>
      </c>
      <c r="M1325" s="82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1">
        <f>IF(OR($C1325="",$H1325="",$J1325=""),0,IF(ROUND(($J1325-$H1325)*1440,0)&gt;設定!$C$42,ROUND(($J1325-$H1325)*1440,0),0))</f>
        <v/>
      </c>
      <c r="P1325" s="81">
        <f>IF(OR($C1325="",$I1325="",$K1325=""),0,IF(ROUND(($I1325-$K1325)*1440,0)&gt;設定!$C$42,ROUND(($I1325-$K1325)*1440,0),0))</f>
        <v/>
      </c>
      <c r="Q1325" s="82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79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0">
        <f>IF($G1326="","",IFERROR(INDEX(設定!$D$6:$D$18,MATCH($G1326,設定!$B$6:$B$18,0)),""))</f>
        <v/>
      </c>
      <c r="I1326" s="80">
        <f>IF($G1326="","",IFERROR(INDEX(設定!$E$6:$E$18,MATCH($G1326,設定!$B$6:$B$18,0)),""))</f>
        <v/>
      </c>
      <c r="J1326" s="80">
        <f>IFERROR(INDEX(打卡匯入!$C$3:$C$2002,MATCH($C1326&amp;"|"&amp;DAY($A1326),打卡匯入!$E$3:$E$2002,0)),"")</f>
        <v/>
      </c>
      <c r="K1326" s="80">
        <f>IFERROR(INDEX(打卡匯入!$D$3:$D$2002,MATCH($C1326&amp;"|"&amp;DAY($A1326),打卡匯入!$E$3:$E$2002,0)),"")</f>
        <v/>
      </c>
      <c r="L1326" s="81">
        <f>IF(OR($J1326="",$K1326=""),"",IFERROR(INDEX(設定!$F$6:$F$18,MATCH($G1326,設定!$B$6:$B$18,0)),0))</f>
        <v/>
      </c>
      <c r="M1326" s="82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1">
        <f>IF(OR($C1326="",$H1326="",$J1326=""),0,IF(ROUND(($J1326-$H1326)*1440,0)&gt;設定!$C$42,ROUND(($J1326-$H1326)*1440,0),0))</f>
        <v/>
      </c>
      <c r="P1326" s="81">
        <f>IF(OR($C1326="",$I1326="",$K1326=""),0,IF(ROUND(($I1326-$K1326)*1440,0)&gt;設定!$C$42,ROUND(($I1326-$K1326)*1440,0),0))</f>
        <v/>
      </c>
      <c r="Q1326" s="82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79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0">
        <f>IF($G1327="","",IFERROR(INDEX(設定!$D$6:$D$18,MATCH($G1327,設定!$B$6:$B$18,0)),""))</f>
        <v/>
      </c>
      <c r="I1327" s="80">
        <f>IF($G1327="","",IFERROR(INDEX(設定!$E$6:$E$18,MATCH($G1327,設定!$B$6:$B$18,0)),""))</f>
        <v/>
      </c>
      <c r="J1327" s="80">
        <f>IFERROR(INDEX(打卡匯入!$C$3:$C$2002,MATCH($C1327&amp;"|"&amp;DAY($A1327),打卡匯入!$E$3:$E$2002,0)),"")</f>
        <v/>
      </c>
      <c r="K1327" s="80">
        <f>IFERROR(INDEX(打卡匯入!$D$3:$D$2002,MATCH($C1327&amp;"|"&amp;DAY($A1327),打卡匯入!$E$3:$E$2002,0)),"")</f>
        <v/>
      </c>
      <c r="L1327" s="81">
        <f>IF(OR($J1327="",$K1327=""),"",IFERROR(INDEX(設定!$F$6:$F$18,MATCH($G1327,設定!$B$6:$B$18,0)),0))</f>
        <v/>
      </c>
      <c r="M1327" s="82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1">
        <f>IF(OR($C1327="",$H1327="",$J1327=""),0,IF(ROUND(($J1327-$H1327)*1440,0)&gt;設定!$C$42,ROUND(($J1327-$H1327)*1440,0),0))</f>
        <v/>
      </c>
      <c r="P1327" s="81">
        <f>IF(OR($C1327="",$I1327="",$K1327=""),0,IF(ROUND(($I1327-$K1327)*1440,0)&gt;設定!$C$42,ROUND(($I1327-$K1327)*1440,0),0))</f>
        <v/>
      </c>
      <c r="Q1327" s="82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79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0">
        <f>IF($G1328="","",IFERROR(INDEX(設定!$D$6:$D$18,MATCH($G1328,設定!$B$6:$B$18,0)),""))</f>
        <v/>
      </c>
      <c r="I1328" s="80">
        <f>IF($G1328="","",IFERROR(INDEX(設定!$E$6:$E$18,MATCH($G1328,設定!$B$6:$B$18,0)),""))</f>
        <v/>
      </c>
      <c r="J1328" s="80">
        <f>IFERROR(INDEX(打卡匯入!$C$3:$C$2002,MATCH($C1328&amp;"|"&amp;DAY($A1328),打卡匯入!$E$3:$E$2002,0)),"")</f>
        <v/>
      </c>
      <c r="K1328" s="80">
        <f>IFERROR(INDEX(打卡匯入!$D$3:$D$2002,MATCH($C1328&amp;"|"&amp;DAY($A1328),打卡匯入!$E$3:$E$2002,0)),"")</f>
        <v/>
      </c>
      <c r="L1328" s="81">
        <f>IF(OR($J1328="",$K1328=""),"",IFERROR(INDEX(設定!$F$6:$F$18,MATCH($G1328,設定!$B$6:$B$18,0)),0))</f>
        <v/>
      </c>
      <c r="M1328" s="82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1">
        <f>IF(OR($C1328="",$H1328="",$J1328=""),0,IF(ROUND(($J1328-$H1328)*1440,0)&gt;設定!$C$42,ROUND(($J1328-$H1328)*1440,0),0))</f>
        <v/>
      </c>
      <c r="P1328" s="81">
        <f>IF(OR($C1328="",$I1328="",$K1328=""),0,IF(ROUND(($I1328-$K1328)*1440,0)&gt;設定!$C$42,ROUND(($I1328-$K1328)*1440,0),0))</f>
        <v/>
      </c>
      <c r="Q1328" s="82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79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0">
        <f>IF($G1329="","",IFERROR(INDEX(設定!$D$6:$D$18,MATCH($G1329,設定!$B$6:$B$18,0)),""))</f>
        <v/>
      </c>
      <c r="I1329" s="80">
        <f>IF($G1329="","",IFERROR(INDEX(設定!$E$6:$E$18,MATCH($G1329,設定!$B$6:$B$18,0)),""))</f>
        <v/>
      </c>
      <c r="J1329" s="80">
        <f>IFERROR(INDEX(打卡匯入!$C$3:$C$2002,MATCH($C1329&amp;"|"&amp;DAY($A1329),打卡匯入!$E$3:$E$2002,0)),"")</f>
        <v/>
      </c>
      <c r="K1329" s="80">
        <f>IFERROR(INDEX(打卡匯入!$D$3:$D$2002,MATCH($C1329&amp;"|"&amp;DAY($A1329),打卡匯入!$E$3:$E$2002,0)),"")</f>
        <v/>
      </c>
      <c r="L1329" s="81">
        <f>IF(OR($J1329="",$K1329=""),"",IFERROR(INDEX(設定!$F$6:$F$18,MATCH($G1329,設定!$B$6:$B$18,0)),0))</f>
        <v/>
      </c>
      <c r="M1329" s="82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1">
        <f>IF(OR($C1329="",$H1329="",$J1329=""),0,IF(ROUND(($J1329-$H1329)*1440,0)&gt;設定!$C$42,ROUND(($J1329-$H1329)*1440,0),0))</f>
        <v/>
      </c>
      <c r="P1329" s="81">
        <f>IF(OR($C1329="",$I1329="",$K1329=""),0,IF(ROUND(($I1329-$K1329)*1440,0)&gt;設定!$C$42,ROUND(($I1329-$K1329)*1440,0),0))</f>
        <v/>
      </c>
      <c r="Q1329" s="82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79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0">
        <f>IF($G1330="","",IFERROR(INDEX(設定!$D$6:$D$18,MATCH($G1330,設定!$B$6:$B$18,0)),""))</f>
        <v/>
      </c>
      <c r="I1330" s="80">
        <f>IF($G1330="","",IFERROR(INDEX(設定!$E$6:$E$18,MATCH($G1330,設定!$B$6:$B$18,0)),""))</f>
        <v/>
      </c>
      <c r="J1330" s="80">
        <f>IFERROR(INDEX(打卡匯入!$C$3:$C$2002,MATCH($C1330&amp;"|"&amp;DAY($A1330),打卡匯入!$E$3:$E$2002,0)),"")</f>
        <v/>
      </c>
      <c r="K1330" s="80">
        <f>IFERROR(INDEX(打卡匯入!$D$3:$D$2002,MATCH($C1330&amp;"|"&amp;DAY($A1330),打卡匯入!$E$3:$E$2002,0)),"")</f>
        <v/>
      </c>
      <c r="L1330" s="81">
        <f>IF(OR($J1330="",$K1330=""),"",IFERROR(INDEX(設定!$F$6:$F$18,MATCH($G1330,設定!$B$6:$B$18,0)),0))</f>
        <v/>
      </c>
      <c r="M1330" s="82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1">
        <f>IF(OR($C1330="",$H1330="",$J1330=""),0,IF(ROUND(($J1330-$H1330)*1440,0)&gt;設定!$C$42,ROUND(($J1330-$H1330)*1440,0),0))</f>
        <v/>
      </c>
      <c r="P1330" s="81">
        <f>IF(OR($C1330="",$I1330="",$K1330=""),0,IF(ROUND(($I1330-$K1330)*1440,0)&gt;設定!$C$42,ROUND(($I1330-$K1330)*1440,0),0))</f>
        <v/>
      </c>
      <c r="Q1330" s="82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79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0">
        <f>IF($G1331="","",IFERROR(INDEX(設定!$D$6:$D$18,MATCH($G1331,設定!$B$6:$B$18,0)),""))</f>
        <v/>
      </c>
      <c r="I1331" s="80">
        <f>IF($G1331="","",IFERROR(INDEX(設定!$E$6:$E$18,MATCH($G1331,設定!$B$6:$B$18,0)),""))</f>
        <v/>
      </c>
      <c r="J1331" s="80">
        <f>IFERROR(INDEX(打卡匯入!$C$3:$C$2002,MATCH($C1331&amp;"|"&amp;DAY($A1331),打卡匯入!$E$3:$E$2002,0)),"")</f>
        <v/>
      </c>
      <c r="K1331" s="80">
        <f>IFERROR(INDEX(打卡匯入!$D$3:$D$2002,MATCH($C1331&amp;"|"&amp;DAY($A1331),打卡匯入!$E$3:$E$2002,0)),"")</f>
        <v/>
      </c>
      <c r="L1331" s="81">
        <f>IF(OR($J1331="",$K1331=""),"",IFERROR(INDEX(設定!$F$6:$F$18,MATCH($G1331,設定!$B$6:$B$18,0)),0))</f>
        <v/>
      </c>
      <c r="M1331" s="82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1">
        <f>IF(OR($C1331="",$H1331="",$J1331=""),0,IF(ROUND(($J1331-$H1331)*1440,0)&gt;設定!$C$42,ROUND(($J1331-$H1331)*1440,0),0))</f>
        <v/>
      </c>
      <c r="P1331" s="81">
        <f>IF(OR($C1331="",$I1331="",$K1331=""),0,IF(ROUND(($I1331-$K1331)*1440,0)&gt;設定!$C$42,ROUND(($I1331-$K1331)*1440,0),0))</f>
        <v/>
      </c>
      <c r="Q1331" s="82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79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0">
        <f>IF($G1332="","",IFERROR(INDEX(設定!$D$6:$D$18,MATCH($G1332,設定!$B$6:$B$18,0)),""))</f>
        <v/>
      </c>
      <c r="I1332" s="80">
        <f>IF($G1332="","",IFERROR(INDEX(設定!$E$6:$E$18,MATCH($G1332,設定!$B$6:$B$18,0)),""))</f>
        <v/>
      </c>
      <c r="J1332" s="80">
        <f>IFERROR(INDEX(打卡匯入!$C$3:$C$2002,MATCH($C1332&amp;"|"&amp;DAY($A1332),打卡匯入!$E$3:$E$2002,0)),"")</f>
        <v/>
      </c>
      <c r="K1332" s="80">
        <f>IFERROR(INDEX(打卡匯入!$D$3:$D$2002,MATCH($C1332&amp;"|"&amp;DAY($A1332),打卡匯入!$E$3:$E$2002,0)),"")</f>
        <v/>
      </c>
      <c r="L1332" s="81">
        <f>IF(OR($J1332="",$K1332=""),"",IFERROR(INDEX(設定!$F$6:$F$18,MATCH($G1332,設定!$B$6:$B$18,0)),0))</f>
        <v/>
      </c>
      <c r="M1332" s="82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1">
        <f>IF(OR($C1332="",$H1332="",$J1332=""),0,IF(ROUND(($J1332-$H1332)*1440,0)&gt;設定!$C$42,ROUND(($J1332-$H1332)*1440,0),0))</f>
        <v/>
      </c>
      <c r="P1332" s="81">
        <f>IF(OR($C1332="",$I1332="",$K1332=""),0,IF(ROUND(($I1332-$K1332)*1440,0)&gt;設定!$C$42,ROUND(($I1332-$K1332)*1440,0),0))</f>
        <v/>
      </c>
      <c r="Q1332" s="82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79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0">
        <f>IF($G1333="","",IFERROR(INDEX(設定!$D$6:$D$18,MATCH($G1333,設定!$B$6:$B$18,0)),""))</f>
        <v/>
      </c>
      <c r="I1333" s="80">
        <f>IF($G1333="","",IFERROR(INDEX(設定!$E$6:$E$18,MATCH($G1333,設定!$B$6:$B$18,0)),""))</f>
        <v/>
      </c>
      <c r="J1333" s="80">
        <f>IFERROR(INDEX(打卡匯入!$C$3:$C$2002,MATCH($C1333&amp;"|"&amp;DAY($A1333),打卡匯入!$E$3:$E$2002,0)),"")</f>
        <v/>
      </c>
      <c r="K1333" s="80">
        <f>IFERROR(INDEX(打卡匯入!$D$3:$D$2002,MATCH($C1333&amp;"|"&amp;DAY($A1333),打卡匯入!$E$3:$E$2002,0)),"")</f>
        <v/>
      </c>
      <c r="L1333" s="81">
        <f>IF(OR($J1333="",$K1333=""),"",IFERROR(INDEX(設定!$F$6:$F$18,MATCH($G1333,設定!$B$6:$B$18,0)),0))</f>
        <v/>
      </c>
      <c r="M1333" s="82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1">
        <f>IF(OR($C1333="",$H1333="",$J1333=""),0,IF(ROUND(($J1333-$H1333)*1440,0)&gt;設定!$C$42,ROUND(($J1333-$H1333)*1440,0),0))</f>
        <v/>
      </c>
      <c r="P1333" s="81">
        <f>IF(OR($C1333="",$I1333="",$K1333=""),0,IF(ROUND(($I1333-$K1333)*1440,0)&gt;設定!$C$42,ROUND(($I1333-$K1333)*1440,0),0))</f>
        <v/>
      </c>
      <c r="Q1333" s="82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79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0">
        <f>IF($G1334="","",IFERROR(INDEX(設定!$D$6:$D$18,MATCH($G1334,設定!$B$6:$B$18,0)),""))</f>
        <v/>
      </c>
      <c r="I1334" s="80">
        <f>IF($G1334="","",IFERROR(INDEX(設定!$E$6:$E$18,MATCH($G1334,設定!$B$6:$B$18,0)),""))</f>
        <v/>
      </c>
      <c r="J1334" s="80">
        <f>IFERROR(INDEX(打卡匯入!$C$3:$C$2002,MATCH($C1334&amp;"|"&amp;DAY($A1334),打卡匯入!$E$3:$E$2002,0)),"")</f>
        <v/>
      </c>
      <c r="K1334" s="80">
        <f>IFERROR(INDEX(打卡匯入!$D$3:$D$2002,MATCH($C1334&amp;"|"&amp;DAY($A1334),打卡匯入!$E$3:$E$2002,0)),"")</f>
        <v/>
      </c>
      <c r="L1334" s="81">
        <f>IF(OR($J1334="",$K1334=""),"",IFERROR(INDEX(設定!$F$6:$F$18,MATCH($G1334,設定!$B$6:$B$18,0)),0))</f>
        <v/>
      </c>
      <c r="M1334" s="82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1">
        <f>IF(OR($C1334="",$H1334="",$J1334=""),0,IF(ROUND(($J1334-$H1334)*1440,0)&gt;設定!$C$42,ROUND(($J1334-$H1334)*1440,0),0))</f>
        <v/>
      </c>
      <c r="P1334" s="81">
        <f>IF(OR($C1334="",$I1334="",$K1334=""),0,IF(ROUND(($I1334-$K1334)*1440,0)&gt;設定!$C$42,ROUND(($I1334-$K1334)*1440,0),0))</f>
        <v/>
      </c>
      <c r="Q1334" s="82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79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0">
        <f>IF($G1335="","",IFERROR(INDEX(設定!$D$6:$D$18,MATCH($G1335,設定!$B$6:$B$18,0)),""))</f>
        <v/>
      </c>
      <c r="I1335" s="80">
        <f>IF($G1335="","",IFERROR(INDEX(設定!$E$6:$E$18,MATCH($G1335,設定!$B$6:$B$18,0)),""))</f>
        <v/>
      </c>
      <c r="J1335" s="80">
        <f>IFERROR(INDEX(打卡匯入!$C$3:$C$2002,MATCH($C1335&amp;"|"&amp;DAY($A1335),打卡匯入!$E$3:$E$2002,0)),"")</f>
        <v/>
      </c>
      <c r="K1335" s="80">
        <f>IFERROR(INDEX(打卡匯入!$D$3:$D$2002,MATCH($C1335&amp;"|"&amp;DAY($A1335),打卡匯入!$E$3:$E$2002,0)),"")</f>
        <v/>
      </c>
      <c r="L1335" s="81">
        <f>IF(OR($J1335="",$K1335=""),"",IFERROR(INDEX(設定!$F$6:$F$18,MATCH($G1335,設定!$B$6:$B$18,0)),0))</f>
        <v/>
      </c>
      <c r="M1335" s="82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1">
        <f>IF(OR($C1335="",$H1335="",$J1335=""),0,IF(ROUND(($J1335-$H1335)*1440,0)&gt;設定!$C$42,ROUND(($J1335-$H1335)*1440,0),0))</f>
        <v/>
      </c>
      <c r="P1335" s="81">
        <f>IF(OR($C1335="",$I1335="",$K1335=""),0,IF(ROUND(($I1335-$K1335)*1440,0)&gt;設定!$C$42,ROUND(($I1335-$K1335)*1440,0),0))</f>
        <v/>
      </c>
      <c r="Q1335" s="82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79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0">
        <f>IF($G1336="","",IFERROR(INDEX(設定!$D$6:$D$18,MATCH($G1336,設定!$B$6:$B$18,0)),""))</f>
        <v/>
      </c>
      <c r="I1336" s="80">
        <f>IF($G1336="","",IFERROR(INDEX(設定!$E$6:$E$18,MATCH($G1336,設定!$B$6:$B$18,0)),""))</f>
        <v/>
      </c>
      <c r="J1336" s="80">
        <f>IFERROR(INDEX(打卡匯入!$C$3:$C$2002,MATCH($C1336&amp;"|"&amp;DAY($A1336),打卡匯入!$E$3:$E$2002,0)),"")</f>
        <v/>
      </c>
      <c r="K1336" s="80">
        <f>IFERROR(INDEX(打卡匯入!$D$3:$D$2002,MATCH($C1336&amp;"|"&amp;DAY($A1336),打卡匯入!$E$3:$E$2002,0)),"")</f>
        <v/>
      </c>
      <c r="L1336" s="81">
        <f>IF(OR($J1336="",$K1336=""),"",IFERROR(INDEX(設定!$F$6:$F$18,MATCH($G1336,設定!$B$6:$B$18,0)),0))</f>
        <v/>
      </c>
      <c r="M1336" s="82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1">
        <f>IF(OR($C1336="",$H1336="",$J1336=""),0,IF(ROUND(($J1336-$H1336)*1440,0)&gt;設定!$C$42,ROUND(($J1336-$H1336)*1440,0),0))</f>
        <v/>
      </c>
      <c r="P1336" s="81">
        <f>IF(OR($C1336="",$I1336="",$K1336=""),0,IF(ROUND(($I1336-$K1336)*1440,0)&gt;設定!$C$42,ROUND(($I1336-$K1336)*1440,0),0))</f>
        <v/>
      </c>
      <c r="Q1336" s="82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79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0">
        <f>IF($G1337="","",IFERROR(INDEX(設定!$D$6:$D$18,MATCH($G1337,設定!$B$6:$B$18,0)),""))</f>
        <v/>
      </c>
      <c r="I1337" s="80">
        <f>IF($G1337="","",IFERROR(INDEX(設定!$E$6:$E$18,MATCH($G1337,設定!$B$6:$B$18,0)),""))</f>
        <v/>
      </c>
      <c r="J1337" s="80">
        <f>IFERROR(INDEX(打卡匯入!$C$3:$C$2002,MATCH($C1337&amp;"|"&amp;DAY($A1337),打卡匯入!$E$3:$E$2002,0)),"")</f>
        <v/>
      </c>
      <c r="K1337" s="80">
        <f>IFERROR(INDEX(打卡匯入!$D$3:$D$2002,MATCH($C1337&amp;"|"&amp;DAY($A1337),打卡匯入!$E$3:$E$2002,0)),"")</f>
        <v/>
      </c>
      <c r="L1337" s="81">
        <f>IF(OR($J1337="",$K1337=""),"",IFERROR(INDEX(設定!$F$6:$F$18,MATCH($G1337,設定!$B$6:$B$18,0)),0))</f>
        <v/>
      </c>
      <c r="M1337" s="82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1">
        <f>IF(OR($C1337="",$H1337="",$J1337=""),0,IF(ROUND(($J1337-$H1337)*1440,0)&gt;設定!$C$42,ROUND(($J1337-$H1337)*1440,0),0))</f>
        <v/>
      </c>
      <c r="P1337" s="81">
        <f>IF(OR($C1337="",$I1337="",$K1337=""),0,IF(ROUND(($I1337-$K1337)*1440,0)&gt;設定!$C$42,ROUND(($I1337-$K1337)*1440,0),0))</f>
        <v/>
      </c>
      <c r="Q1337" s="82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79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0">
        <f>IF($G1338="","",IFERROR(INDEX(設定!$D$6:$D$18,MATCH($G1338,設定!$B$6:$B$18,0)),""))</f>
        <v/>
      </c>
      <c r="I1338" s="80">
        <f>IF($G1338="","",IFERROR(INDEX(設定!$E$6:$E$18,MATCH($G1338,設定!$B$6:$B$18,0)),""))</f>
        <v/>
      </c>
      <c r="J1338" s="80">
        <f>IFERROR(INDEX(打卡匯入!$C$3:$C$2002,MATCH($C1338&amp;"|"&amp;DAY($A1338),打卡匯入!$E$3:$E$2002,0)),"")</f>
        <v/>
      </c>
      <c r="K1338" s="80">
        <f>IFERROR(INDEX(打卡匯入!$D$3:$D$2002,MATCH($C1338&amp;"|"&amp;DAY($A1338),打卡匯入!$E$3:$E$2002,0)),"")</f>
        <v/>
      </c>
      <c r="L1338" s="81">
        <f>IF(OR($J1338="",$K1338=""),"",IFERROR(INDEX(設定!$F$6:$F$18,MATCH($G1338,設定!$B$6:$B$18,0)),0))</f>
        <v/>
      </c>
      <c r="M1338" s="82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1">
        <f>IF(OR($C1338="",$H1338="",$J1338=""),0,IF(ROUND(($J1338-$H1338)*1440,0)&gt;設定!$C$42,ROUND(($J1338-$H1338)*1440,0),0))</f>
        <v/>
      </c>
      <c r="P1338" s="81">
        <f>IF(OR($C1338="",$I1338="",$K1338=""),0,IF(ROUND(($I1338-$K1338)*1440,0)&gt;設定!$C$42,ROUND(($I1338-$K1338)*1440,0),0))</f>
        <v/>
      </c>
      <c r="Q1338" s="82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79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0">
        <f>IF($G1339="","",IFERROR(INDEX(設定!$D$6:$D$18,MATCH($G1339,設定!$B$6:$B$18,0)),""))</f>
        <v/>
      </c>
      <c r="I1339" s="80">
        <f>IF($G1339="","",IFERROR(INDEX(設定!$E$6:$E$18,MATCH($G1339,設定!$B$6:$B$18,0)),""))</f>
        <v/>
      </c>
      <c r="J1339" s="80">
        <f>IFERROR(INDEX(打卡匯入!$C$3:$C$2002,MATCH($C1339&amp;"|"&amp;DAY($A1339),打卡匯入!$E$3:$E$2002,0)),"")</f>
        <v/>
      </c>
      <c r="K1339" s="80">
        <f>IFERROR(INDEX(打卡匯入!$D$3:$D$2002,MATCH($C1339&amp;"|"&amp;DAY($A1339),打卡匯入!$E$3:$E$2002,0)),"")</f>
        <v/>
      </c>
      <c r="L1339" s="81">
        <f>IF(OR($J1339="",$K1339=""),"",IFERROR(INDEX(設定!$F$6:$F$18,MATCH($G1339,設定!$B$6:$B$18,0)),0))</f>
        <v/>
      </c>
      <c r="M1339" s="82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1">
        <f>IF(OR($C1339="",$H1339="",$J1339=""),0,IF(ROUND(($J1339-$H1339)*1440,0)&gt;設定!$C$42,ROUND(($J1339-$H1339)*1440,0),0))</f>
        <v/>
      </c>
      <c r="P1339" s="81">
        <f>IF(OR($C1339="",$I1339="",$K1339=""),0,IF(ROUND(($I1339-$K1339)*1440,0)&gt;設定!$C$42,ROUND(($I1339-$K1339)*1440,0),0))</f>
        <v/>
      </c>
      <c r="Q1339" s="82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79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0">
        <f>IF($G1340="","",IFERROR(INDEX(設定!$D$6:$D$18,MATCH($G1340,設定!$B$6:$B$18,0)),""))</f>
        <v/>
      </c>
      <c r="I1340" s="80">
        <f>IF($G1340="","",IFERROR(INDEX(設定!$E$6:$E$18,MATCH($G1340,設定!$B$6:$B$18,0)),""))</f>
        <v/>
      </c>
      <c r="J1340" s="80">
        <f>IFERROR(INDEX(打卡匯入!$C$3:$C$2002,MATCH($C1340&amp;"|"&amp;DAY($A1340),打卡匯入!$E$3:$E$2002,0)),"")</f>
        <v/>
      </c>
      <c r="K1340" s="80">
        <f>IFERROR(INDEX(打卡匯入!$D$3:$D$2002,MATCH($C1340&amp;"|"&amp;DAY($A1340),打卡匯入!$E$3:$E$2002,0)),"")</f>
        <v/>
      </c>
      <c r="L1340" s="81">
        <f>IF(OR($J1340="",$K1340=""),"",IFERROR(INDEX(設定!$F$6:$F$18,MATCH($G1340,設定!$B$6:$B$18,0)),0))</f>
        <v/>
      </c>
      <c r="M1340" s="82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1">
        <f>IF(OR($C1340="",$H1340="",$J1340=""),0,IF(ROUND(($J1340-$H1340)*1440,0)&gt;設定!$C$42,ROUND(($J1340-$H1340)*1440,0),0))</f>
        <v/>
      </c>
      <c r="P1340" s="81">
        <f>IF(OR($C1340="",$I1340="",$K1340=""),0,IF(ROUND(($I1340-$K1340)*1440,0)&gt;設定!$C$42,ROUND(($I1340-$K1340)*1440,0),0))</f>
        <v/>
      </c>
      <c r="Q1340" s="82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79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0">
        <f>IF($G1341="","",IFERROR(INDEX(設定!$D$6:$D$18,MATCH($G1341,設定!$B$6:$B$18,0)),""))</f>
        <v/>
      </c>
      <c r="I1341" s="80">
        <f>IF($G1341="","",IFERROR(INDEX(設定!$E$6:$E$18,MATCH($G1341,設定!$B$6:$B$18,0)),""))</f>
        <v/>
      </c>
      <c r="J1341" s="80">
        <f>IFERROR(INDEX(打卡匯入!$C$3:$C$2002,MATCH($C1341&amp;"|"&amp;DAY($A1341),打卡匯入!$E$3:$E$2002,0)),"")</f>
        <v/>
      </c>
      <c r="K1341" s="80">
        <f>IFERROR(INDEX(打卡匯入!$D$3:$D$2002,MATCH($C1341&amp;"|"&amp;DAY($A1341),打卡匯入!$E$3:$E$2002,0)),"")</f>
        <v/>
      </c>
      <c r="L1341" s="81">
        <f>IF(OR($J1341="",$K1341=""),"",IFERROR(INDEX(設定!$F$6:$F$18,MATCH($G1341,設定!$B$6:$B$18,0)),0))</f>
        <v/>
      </c>
      <c r="M1341" s="82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1">
        <f>IF(OR($C1341="",$H1341="",$J1341=""),0,IF(ROUND(($J1341-$H1341)*1440,0)&gt;設定!$C$42,ROUND(($J1341-$H1341)*1440,0),0))</f>
        <v/>
      </c>
      <c r="P1341" s="81">
        <f>IF(OR($C1341="",$I1341="",$K1341=""),0,IF(ROUND(($I1341-$K1341)*1440,0)&gt;設定!$C$42,ROUND(($I1341-$K1341)*1440,0),0))</f>
        <v/>
      </c>
      <c r="Q1341" s="82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79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0">
        <f>IF($G1342="","",IFERROR(INDEX(設定!$D$6:$D$18,MATCH($G1342,設定!$B$6:$B$18,0)),""))</f>
        <v/>
      </c>
      <c r="I1342" s="80">
        <f>IF($G1342="","",IFERROR(INDEX(設定!$E$6:$E$18,MATCH($G1342,設定!$B$6:$B$18,0)),""))</f>
        <v/>
      </c>
      <c r="J1342" s="80">
        <f>IFERROR(INDEX(打卡匯入!$C$3:$C$2002,MATCH($C1342&amp;"|"&amp;DAY($A1342),打卡匯入!$E$3:$E$2002,0)),"")</f>
        <v/>
      </c>
      <c r="K1342" s="80">
        <f>IFERROR(INDEX(打卡匯入!$D$3:$D$2002,MATCH($C1342&amp;"|"&amp;DAY($A1342),打卡匯入!$E$3:$E$2002,0)),"")</f>
        <v/>
      </c>
      <c r="L1342" s="81">
        <f>IF(OR($J1342="",$K1342=""),"",IFERROR(INDEX(設定!$F$6:$F$18,MATCH($G1342,設定!$B$6:$B$18,0)),0))</f>
        <v/>
      </c>
      <c r="M1342" s="82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1">
        <f>IF(OR($C1342="",$H1342="",$J1342=""),0,IF(ROUND(($J1342-$H1342)*1440,0)&gt;設定!$C$42,ROUND(($J1342-$H1342)*1440,0),0))</f>
        <v/>
      </c>
      <c r="P1342" s="81">
        <f>IF(OR($C1342="",$I1342="",$K1342=""),0,IF(ROUND(($I1342-$K1342)*1440,0)&gt;設定!$C$42,ROUND(($I1342-$K1342)*1440,0),0))</f>
        <v/>
      </c>
      <c r="Q1342" s="82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79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0">
        <f>IF($G1343="","",IFERROR(INDEX(設定!$D$6:$D$18,MATCH($G1343,設定!$B$6:$B$18,0)),""))</f>
        <v/>
      </c>
      <c r="I1343" s="80">
        <f>IF($G1343="","",IFERROR(INDEX(設定!$E$6:$E$18,MATCH($G1343,設定!$B$6:$B$18,0)),""))</f>
        <v/>
      </c>
      <c r="J1343" s="80">
        <f>IFERROR(INDEX(打卡匯入!$C$3:$C$2002,MATCH($C1343&amp;"|"&amp;DAY($A1343),打卡匯入!$E$3:$E$2002,0)),"")</f>
        <v/>
      </c>
      <c r="K1343" s="80">
        <f>IFERROR(INDEX(打卡匯入!$D$3:$D$2002,MATCH($C1343&amp;"|"&amp;DAY($A1343),打卡匯入!$E$3:$E$2002,0)),"")</f>
        <v/>
      </c>
      <c r="L1343" s="81">
        <f>IF(OR($J1343="",$K1343=""),"",IFERROR(INDEX(設定!$F$6:$F$18,MATCH($G1343,設定!$B$6:$B$18,0)),0))</f>
        <v/>
      </c>
      <c r="M1343" s="82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1">
        <f>IF(OR($C1343="",$H1343="",$J1343=""),0,IF(ROUND(($J1343-$H1343)*1440,0)&gt;設定!$C$42,ROUND(($J1343-$H1343)*1440,0),0))</f>
        <v/>
      </c>
      <c r="P1343" s="81">
        <f>IF(OR($C1343="",$I1343="",$K1343=""),0,IF(ROUND(($I1343-$K1343)*1440,0)&gt;設定!$C$42,ROUND(($I1343-$K1343)*1440,0),0))</f>
        <v/>
      </c>
      <c r="Q1343" s="82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79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0">
        <f>IF($G1344="","",IFERROR(INDEX(設定!$D$6:$D$18,MATCH($G1344,設定!$B$6:$B$18,0)),""))</f>
        <v/>
      </c>
      <c r="I1344" s="80">
        <f>IF($G1344="","",IFERROR(INDEX(設定!$E$6:$E$18,MATCH($G1344,設定!$B$6:$B$18,0)),""))</f>
        <v/>
      </c>
      <c r="J1344" s="80">
        <f>IFERROR(INDEX(打卡匯入!$C$3:$C$2002,MATCH($C1344&amp;"|"&amp;DAY($A1344),打卡匯入!$E$3:$E$2002,0)),"")</f>
        <v/>
      </c>
      <c r="K1344" s="80">
        <f>IFERROR(INDEX(打卡匯入!$D$3:$D$2002,MATCH($C1344&amp;"|"&amp;DAY($A1344),打卡匯入!$E$3:$E$2002,0)),"")</f>
        <v/>
      </c>
      <c r="L1344" s="81">
        <f>IF(OR($J1344="",$K1344=""),"",IFERROR(INDEX(設定!$F$6:$F$18,MATCH($G1344,設定!$B$6:$B$18,0)),0))</f>
        <v/>
      </c>
      <c r="M1344" s="82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1">
        <f>IF(OR($C1344="",$H1344="",$J1344=""),0,IF(ROUND(($J1344-$H1344)*1440,0)&gt;設定!$C$42,ROUND(($J1344-$H1344)*1440,0),0))</f>
        <v/>
      </c>
      <c r="P1344" s="81">
        <f>IF(OR($C1344="",$I1344="",$K1344=""),0,IF(ROUND(($I1344-$K1344)*1440,0)&gt;設定!$C$42,ROUND(($I1344-$K1344)*1440,0),0))</f>
        <v/>
      </c>
      <c r="Q1344" s="82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79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0">
        <f>IF($G1345="","",IFERROR(INDEX(設定!$D$6:$D$18,MATCH($G1345,設定!$B$6:$B$18,0)),""))</f>
        <v/>
      </c>
      <c r="I1345" s="80">
        <f>IF($G1345="","",IFERROR(INDEX(設定!$E$6:$E$18,MATCH($G1345,設定!$B$6:$B$18,0)),""))</f>
        <v/>
      </c>
      <c r="J1345" s="80">
        <f>IFERROR(INDEX(打卡匯入!$C$3:$C$2002,MATCH($C1345&amp;"|"&amp;DAY($A1345),打卡匯入!$E$3:$E$2002,0)),"")</f>
        <v/>
      </c>
      <c r="K1345" s="80">
        <f>IFERROR(INDEX(打卡匯入!$D$3:$D$2002,MATCH($C1345&amp;"|"&amp;DAY($A1345),打卡匯入!$E$3:$E$2002,0)),"")</f>
        <v/>
      </c>
      <c r="L1345" s="81">
        <f>IF(OR($J1345="",$K1345=""),"",IFERROR(INDEX(設定!$F$6:$F$18,MATCH($G1345,設定!$B$6:$B$18,0)),0))</f>
        <v/>
      </c>
      <c r="M1345" s="82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1">
        <f>IF(OR($C1345="",$H1345="",$J1345=""),0,IF(ROUND(($J1345-$H1345)*1440,0)&gt;設定!$C$42,ROUND(($J1345-$H1345)*1440,0),0))</f>
        <v/>
      </c>
      <c r="P1345" s="81">
        <f>IF(OR($C1345="",$I1345="",$K1345=""),0,IF(ROUND(($I1345-$K1345)*1440,0)&gt;設定!$C$42,ROUND(($I1345-$K1345)*1440,0),0))</f>
        <v/>
      </c>
      <c r="Q1345" s="82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79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0">
        <f>IF($G1346="","",IFERROR(INDEX(設定!$D$6:$D$18,MATCH($G1346,設定!$B$6:$B$18,0)),""))</f>
        <v/>
      </c>
      <c r="I1346" s="80">
        <f>IF($G1346="","",IFERROR(INDEX(設定!$E$6:$E$18,MATCH($G1346,設定!$B$6:$B$18,0)),""))</f>
        <v/>
      </c>
      <c r="J1346" s="80">
        <f>IFERROR(INDEX(打卡匯入!$C$3:$C$2002,MATCH($C1346&amp;"|"&amp;DAY($A1346),打卡匯入!$E$3:$E$2002,0)),"")</f>
        <v/>
      </c>
      <c r="K1346" s="80">
        <f>IFERROR(INDEX(打卡匯入!$D$3:$D$2002,MATCH($C1346&amp;"|"&amp;DAY($A1346),打卡匯入!$E$3:$E$2002,0)),"")</f>
        <v/>
      </c>
      <c r="L1346" s="81">
        <f>IF(OR($J1346="",$K1346=""),"",IFERROR(INDEX(設定!$F$6:$F$18,MATCH($G1346,設定!$B$6:$B$18,0)),0))</f>
        <v/>
      </c>
      <c r="M1346" s="82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1">
        <f>IF(OR($C1346="",$H1346="",$J1346=""),0,IF(ROUND(($J1346-$H1346)*1440,0)&gt;設定!$C$42,ROUND(($J1346-$H1346)*1440,0),0))</f>
        <v/>
      </c>
      <c r="P1346" s="81">
        <f>IF(OR($C1346="",$I1346="",$K1346=""),0,IF(ROUND(($I1346-$K1346)*1440,0)&gt;設定!$C$42,ROUND(($I1346-$K1346)*1440,0),0))</f>
        <v/>
      </c>
      <c r="Q1346" s="82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79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0">
        <f>IF($G1347="","",IFERROR(INDEX(設定!$D$6:$D$18,MATCH($G1347,設定!$B$6:$B$18,0)),""))</f>
        <v/>
      </c>
      <c r="I1347" s="80">
        <f>IF($G1347="","",IFERROR(INDEX(設定!$E$6:$E$18,MATCH($G1347,設定!$B$6:$B$18,0)),""))</f>
        <v/>
      </c>
      <c r="J1347" s="80">
        <f>IFERROR(INDEX(打卡匯入!$C$3:$C$2002,MATCH($C1347&amp;"|"&amp;DAY($A1347),打卡匯入!$E$3:$E$2002,0)),"")</f>
        <v/>
      </c>
      <c r="K1347" s="80">
        <f>IFERROR(INDEX(打卡匯入!$D$3:$D$2002,MATCH($C1347&amp;"|"&amp;DAY($A1347),打卡匯入!$E$3:$E$2002,0)),"")</f>
        <v/>
      </c>
      <c r="L1347" s="81">
        <f>IF(OR($J1347="",$K1347=""),"",IFERROR(INDEX(設定!$F$6:$F$18,MATCH($G1347,設定!$B$6:$B$18,0)),0))</f>
        <v/>
      </c>
      <c r="M1347" s="82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1">
        <f>IF(OR($C1347="",$H1347="",$J1347=""),0,IF(ROUND(($J1347-$H1347)*1440,0)&gt;設定!$C$42,ROUND(($J1347-$H1347)*1440,0),0))</f>
        <v/>
      </c>
      <c r="P1347" s="81">
        <f>IF(OR($C1347="",$I1347="",$K1347=""),0,IF(ROUND(($I1347-$K1347)*1440,0)&gt;設定!$C$42,ROUND(($I1347-$K1347)*1440,0),0))</f>
        <v/>
      </c>
      <c r="Q1347" s="82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79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0">
        <f>IF($G1348="","",IFERROR(INDEX(設定!$D$6:$D$18,MATCH($G1348,設定!$B$6:$B$18,0)),""))</f>
        <v/>
      </c>
      <c r="I1348" s="80">
        <f>IF($G1348="","",IFERROR(INDEX(設定!$E$6:$E$18,MATCH($G1348,設定!$B$6:$B$18,0)),""))</f>
        <v/>
      </c>
      <c r="J1348" s="80">
        <f>IFERROR(INDEX(打卡匯入!$C$3:$C$2002,MATCH($C1348&amp;"|"&amp;DAY($A1348),打卡匯入!$E$3:$E$2002,0)),"")</f>
        <v/>
      </c>
      <c r="K1348" s="80">
        <f>IFERROR(INDEX(打卡匯入!$D$3:$D$2002,MATCH($C1348&amp;"|"&amp;DAY($A1348),打卡匯入!$E$3:$E$2002,0)),"")</f>
        <v/>
      </c>
      <c r="L1348" s="81">
        <f>IF(OR($J1348="",$K1348=""),"",IFERROR(INDEX(設定!$F$6:$F$18,MATCH($G1348,設定!$B$6:$B$18,0)),0))</f>
        <v/>
      </c>
      <c r="M1348" s="82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1">
        <f>IF(OR($C1348="",$H1348="",$J1348=""),0,IF(ROUND(($J1348-$H1348)*1440,0)&gt;設定!$C$42,ROUND(($J1348-$H1348)*1440,0),0))</f>
        <v/>
      </c>
      <c r="P1348" s="81">
        <f>IF(OR($C1348="",$I1348="",$K1348=""),0,IF(ROUND(($I1348-$K1348)*1440,0)&gt;設定!$C$42,ROUND(($I1348-$K1348)*1440,0),0))</f>
        <v/>
      </c>
      <c r="Q1348" s="82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79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0">
        <f>IF($G1349="","",IFERROR(INDEX(設定!$D$6:$D$18,MATCH($G1349,設定!$B$6:$B$18,0)),""))</f>
        <v/>
      </c>
      <c r="I1349" s="80">
        <f>IF($G1349="","",IFERROR(INDEX(設定!$E$6:$E$18,MATCH($G1349,設定!$B$6:$B$18,0)),""))</f>
        <v/>
      </c>
      <c r="J1349" s="80">
        <f>IFERROR(INDEX(打卡匯入!$C$3:$C$2002,MATCH($C1349&amp;"|"&amp;DAY($A1349),打卡匯入!$E$3:$E$2002,0)),"")</f>
        <v/>
      </c>
      <c r="K1349" s="80">
        <f>IFERROR(INDEX(打卡匯入!$D$3:$D$2002,MATCH($C1349&amp;"|"&amp;DAY($A1349),打卡匯入!$E$3:$E$2002,0)),"")</f>
        <v/>
      </c>
      <c r="L1349" s="81">
        <f>IF(OR($J1349="",$K1349=""),"",IFERROR(INDEX(設定!$F$6:$F$18,MATCH($G1349,設定!$B$6:$B$18,0)),0))</f>
        <v/>
      </c>
      <c r="M1349" s="82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1">
        <f>IF(OR($C1349="",$H1349="",$J1349=""),0,IF(ROUND(($J1349-$H1349)*1440,0)&gt;設定!$C$42,ROUND(($J1349-$H1349)*1440,0),0))</f>
        <v/>
      </c>
      <c r="P1349" s="81">
        <f>IF(OR($C1349="",$I1349="",$K1349=""),0,IF(ROUND(($I1349-$K1349)*1440,0)&gt;設定!$C$42,ROUND(($I1349-$K1349)*1440,0),0))</f>
        <v/>
      </c>
      <c r="Q1349" s="82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79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0">
        <f>IF($G1350="","",IFERROR(INDEX(設定!$D$6:$D$18,MATCH($G1350,設定!$B$6:$B$18,0)),""))</f>
        <v/>
      </c>
      <c r="I1350" s="80">
        <f>IF($G1350="","",IFERROR(INDEX(設定!$E$6:$E$18,MATCH($G1350,設定!$B$6:$B$18,0)),""))</f>
        <v/>
      </c>
      <c r="J1350" s="80">
        <f>IFERROR(INDEX(打卡匯入!$C$3:$C$2002,MATCH($C1350&amp;"|"&amp;DAY($A1350),打卡匯入!$E$3:$E$2002,0)),"")</f>
        <v/>
      </c>
      <c r="K1350" s="80">
        <f>IFERROR(INDEX(打卡匯入!$D$3:$D$2002,MATCH($C1350&amp;"|"&amp;DAY($A1350),打卡匯入!$E$3:$E$2002,0)),"")</f>
        <v/>
      </c>
      <c r="L1350" s="81">
        <f>IF(OR($J1350="",$K1350=""),"",IFERROR(INDEX(設定!$F$6:$F$18,MATCH($G1350,設定!$B$6:$B$18,0)),0))</f>
        <v/>
      </c>
      <c r="M1350" s="82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1">
        <f>IF(OR($C1350="",$H1350="",$J1350=""),0,IF(ROUND(($J1350-$H1350)*1440,0)&gt;設定!$C$42,ROUND(($J1350-$H1350)*1440,0),0))</f>
        <v/>
      </c>
      <c r="P1350" s="81">
        <f>IF(OR($C1350="",$I1350="",$K1350=""),0,IF(ROUND(($I1350-$K1350)*1440,0)&gt;設定!$C$42,ROUND(($I1350-$K1350)*1440,0),0))</f>
        <v/>
      </c>
      <c r="Q1350" s="82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79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0">
        <f>IF($G1351="","",IFERROR(INDEX(設定!$D$6:$D$18,MATCH($G1351,設定!$B$6:$B$18,0)),""))</f>
        <v/>
      </c>
      <c r="I1351" s="80">
        <f>IF($G1351="","",IFERROR(INDEX(設定!$E$6:$E$18,MATCH($G1351,設定!$B$6:$B$18,0)),""))</f>
        <v/>
      </c>
      <c r="J1351" s="80">
        <f>IFERROR(INDEX(打卡匯入!$C$3:$C$2002,MATCH($C1351&amp;"|"&amp;DAY($A1351),打卡匯入!$E$3:$E$2002,0)),"")</f>
        <v/>
      </c>
      <c r="K1351" s="80">
        <f>IFERROR(INDEX(打卡匯入!$D$3:$D$2002,MATCH($C1351&amp;"|"&amp;DAY($A1351),打卡匯入!$E$3:$E$2002,0)),"")</f>
        <v/>
      </c>
      <c r="L1351" s="81">
        <f>IF(OR($J1351="",$K1351=""),"",IFERROR(INDEX(設定!$F$6:$F$18,MATCH($G1351,設定!$B$6:$B$18,0)),0))</f>
        <v/>
      </c>
      <c r="M1351" s="82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1">
        <f>IF(OR($C1351="",$H1351="",$J1351=""),0,IF(ROUND(($J1351-$H1351)*1440,0)&gt;設定!$C$42,ROUND(($J1351-$H1351)*1440,0),0))</f>
        <v/>
      </c>
      <c r="P1351" s="81">
        <f>IF(OR($C1351="",$I1351="",$K1351=""),0,IF(ROUND(($I1351-$K1351)*1440,0)&gt;設定!$C$42,ROUND(($I1351-$K1351)*1440,0),0))</f>
        <v/>
      </c>
      <c r="Q1351" s="82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79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0">
        <f>IF($G1352="","",IFERROR(INDEX(設定!$D$6:$D$18,MATCH($G1352,設定!$B$6:$B$18,0)),""))</f>
        <v/>
      </c>
      <c r="I1352" s="80">
        <f>IF($G1352="","",IFERROR(INDEX(設定!$E$6:$E$18,MATCH($G1352,設定!$B$6:$B$18,0)),""))</f>
        <v/>
      </c>
      <c r="J1352" s="80">
        <f>IFERROR(INDEX(打卡匯入!$C$3:$C$2002,MATCH($C1352&amp;"|"&amp;DAY($A1352),打卡匯入!$E$3:$E$2002,0)),"")</f>
        <v/>
      </c>
      <c r="K1352" s="80">
        <f>IFERROR(INDEX(打卡匯入!$D$3:$D$2002,MATCH($C1352&amp;"|"&amp;DAY($A1352),打卡匯入!$E$3:$E$2002,0)),"")</f>
        <v/>
      </c>
      <c r="L1352" s="81">
        <f>IF(OR($J1352="",$K1352=""),"",IFERROR(INDEX(設定!$F$6:$F$18,MATCH($G1352,設定!$B$6:$B$18,0)),0))</f>
        <v/>
      </c>
      <c r="M1352" s="82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1">
        <f>IF(OR($C1352="",$H1352="",$J1352=""),0,IF(ROUND(($J1352-$H1352)*1440,0)&gt;設定!$C$42,ROUND(($J1352-$H1352)*1440,0),0))</f>
        <v/>
      </c>
      <c r="P1352" s="81">
        <f>IF(OR($C1352="",$I1352="",$K1352=""),0,IF(ROUND(($I1352-$K1352)*1440,0)&gt;設定!$C$42,ROUND(($I1352-$K1352)*1440,0),0))</f>
        <v/>
      </c>
      <c r="Q1352" s="82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79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0">
        <f>IF($G1353="","",IFERROR(INDEX(設定!$D$6:$D$18,MATCH($G1353,設定!$B$6:$B$18,0)),""))</f>
        <v/>
      </c>
      <c r="I1353" s="80">
        <f>IF($G1353="","",IFERROR(INDEX(設定!$E$6:$E$18,MATCH($G1353,設定!$B$6:$B$18,0)),""))</f>
        <v/>
      </c>
      <c r="J1353" s="80">
        <f>IFERROR(INDEX(打卡匯入!$C$3:$C$2002,MATCH($C1353&amp;"|"&amp;DAY($A1353),打卡匯入!$E$3:$E$2002,0)),"")</f>
        <v/>
      </c>
      <c r="K1353" s="80">
        <f>IFERROR(INDEX(打卡匯入!$D$3:$D$2002,MATCH($C1353&amp;"|"&amp;DAY($A1353),打卡匯入!$E$3:$E$2002,0)),"")</f>
        <v/>
      </c>
      <c r="L1353" s="81">
        <f>IF(OR($J1353="",$K1353=""),"",IFERROR(INDEX(設定!$F$6:$F$18,MATCH($G1353,設定!$B$6:$B$18,0)),0))</f>
        <v/>
      </c>
      <c r="M1353" s="82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1">
        <f>IF(OR($C1353="",$H1353="",$J1353=""),0,IF(ROUND(($J1353-$H1353)*1440,0)&gt;設定!$C$42,ROUND(($J1353-$H1353)*1440,0),0))</f>
        <v/>
      </c>
      <c r="P1353" s="81">
        <f>IF(OR($C1353="",$I1353="",$K1353=""),0,IF(ROUND(($I1353-$K1353)*1440,0)&gt;設定!$C$42,ROUND(($I1353-$K1353)*1440,0),0))</f>
        <v/>
      </c>
      <c r="Q1353" s="82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79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0">
        <f>IF($G1354="","",IFERROR(INDEX(設定!$D$6:$D$18,MATCH($G1354,設定!$B$6:$B$18,0)),""))</f>
        <v/>
      </c>
      <c r="I1354" s="80">
        <f>IF($G1354="","",IFERROR(INDEX(設定!$E$6:$E$18,MATCH($G1354,設定!$B$6:$B$18,0)),""))</f>
        <v/>
      </c>
      <c r="J1354" s="80">
        <f>IFERROR(INDEX(打卡匯入!$C$3:$C$2002,MATCH($C1354&amp;"|"&amp;DAY($A1354),打卡匯入!$E$3:$E$2002,0)),"")</f>
        <v/>
      </c>
      <c r="K1354" s="80">
        <f>IFERROR(INDEX(打卡匯入!$D$3:$D$2002,MATCH($C1354&amp;"|"&amp;DAY($A1354),打卡匯入!$E$3:$E$2002,0)),"")</f>
        <v/>
      </c>
      <c r="L1354" s="81">
        <f>IF(OR($J1354="",$K1354=""),"",IFERROR(INDEX(設定!$F$6:$F$18,MATCH($G1354,設定!$B$6:$B$18,0)),0))</f>
        <v/>
      </c>
      <c r="M1354" s="82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1">
        <f>IF(OR($C1354="",$H1354="",$J1354=""),0,IF(ROUND(($J1354-$H1354)*1440,0)&gt;設定!$C$42,ROUND(($J1354-$H1354)*1440,0),0))</f>
        <v/>
      </c>
      <c r="P1354" s="81">
        <f>IF(OR($C1354="",$I1354="",$K1354=""),0,IF(ROUND(($I1354-$K1354)*1440,0)&gt;設定!$C$42,ROUND(($I1354-$K1354)*1440,0),0))</f>
        <v/>
      </c>
      <c r="Q1354" s="82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79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0">
        <f>IF($G1355="","",IFERROR(INDEX(設定!$D$6:$D$18,MATCH($G1355,設定!$B$6:$B$18,0)),""))</f>
        <v/>
      </c>
      <c r="I1355" s="80">
        <f>IF($G1355="","",IFERROR(INDEX(設定!$E$6:$E$18,MATCH($G1355,設定!$B$6:$B$18,0)),""))</f>
        <v/>
      </c>
      <c r="J1355" s="80">
        <f>IFERROR(INDEX(打卡匯入!$C$3:$C$2002,MATCH($C1355&amp;"|"&amp;DAY($A1355),打卡匯入!$E$3:$E$2002,0)),"")</f>
        <v/>
      </c>
      <c r="K1355" s="80">
        <f>IFERROR(INDEX(打卡匯入!$D$3:$D$2002,MATCH($C1355&amp;"|"&amp;DAY($A1355),打卡匯入!$E$3:$E$2002,0)),"")</f>
        <v/>
      </c>
      <c r="L1355" s="81">
        <f>IF(OR($J1355="",$K1355=""),"",IFERROR(INDEX(設定!$F$6:$F$18,MATCH($G1355,設定!$B$6:$B$18,0)),0))</f>
        <v/>
      </c>
      <c r="M1355" s="82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1">
        <f>IF(OR($C1355="",$H1355="",$J1355=""),0,IF(ROUND(($J1355-$H1355)*1440,0)&gt;設定!$C$42,ROUND(($J1355-$H1355)*1440,0),0))</f>
        <v/>
      </c>
      <c r="P1355" s="81">
        <f>IF(OR($C1355="",$I1355="",$K1355=""),0,IF(ROUND(($I1355-$K1355)*1440,0)&gt;設定!$C$42,ROUND(($I1355-$K1355)*1440,0),0))</f>
        <v/>
      </c>
      <c r="Q1355" s="82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79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0">
        <f>IF($G1356="","",IFERROR(INDEX(設定!$D$6:$D$18,MATCH($G1356,設定!$B$6:$B$18,0)),""))</f>
        <v/>
      </c>
      <c r="I1356" s="80">
        <f>IF($G1356="","",IFERROR(INDEX(設定!$E$6:$E$18,MATCH($G1356,設定!$B$6:$B$18,0)),""))</f>
        <v/>
      </c>
      <c r="J1356" s="80">
        <f>IFERROR(INDEX(打卡匯入!$C$3:$C$2002,MATCH($C1356&amp;"|"&amp;DAY($A1356),打卡匯入!$E$3:$E$2002,0)),"")</f>
        <v/>
      </c>
      <c r="K1356" s="80">
        <f>IFERROR(INDEX(打卡匯入!$D$3:$D$2002,MATCH($C1356&amp;"|"&amp;DAY($A1356),打卡匯入!$E$3:$E$2002,0)),"")</f>
        <v/>
      </c>
      <c r="L1356" s="81">
        <f>IF(OR($J1356="",$K1356=""),"",IFERROR(INDEX(設定!$F$6:$F$18,MATCH($G1356,設定!$B$6:$B$18,0)),0))</f>
        <v/>
      </c>
      <c r="M1356" s="82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1">
        <f>IF(OR($C1356="",$H1356="",$J1356=""),0,IF(ROUND(($J1356-$H1356)*1440,0)&gt;設定!$C$42,ROUND(($J1356-$H1356)*1440,0),0))</f>
        <v/>
      </c>
      <c r="P1356" s="81">
        <f>IF(OR($C1356="",$I1356="",$K1356=""),0,IF(ROUND(($I1356-$K1356)*1440,0)&gt;設定!$C$42,ROUND(($I1356-$K1356)*1440,0),0))</f>
        <v/>
      </c>
      <c r="Q1356" s="82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79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0">
        <f>IF($G1357="","",IFERROR(INDEX(設定!$D$6:$D$18,MATCH($G1357,設定!$B$6:$B$18,0)),""))</f>
        <v/>
      </c>
      <c r="I1357" s="80">
        <f>IF($G1357="","",IFERROR(INDEX(設定!$E$6:$E$18,MATCH($G1357,設定!$B$6:$B$18,0)),""))</f>
        <v/>
      </c>
      <c r="J1357" s="80">
        <f>IFERROR(INDEX(打卡匯入!$C$3:$C$2002,MATCH($C1357&amp;"|"&amp;DAY($A1357),打卡匯入!$E$3:$E$2002,0)),"")</f>
        <v/>
      </c>
      <c r="K1357" s="80">
        <f>IFERROR(INDEX(打卡匯入!$D$3:$D$2002,MATCH($C1357&amp;"|"&amp;DAY($A1357),打卡匯入!$E$3:$E$2002,0)),"")</f>
        <v/>
      </c>
      <c r="L1357" s="81">
        <f>IF(OR($J1357="",$K1357=""),"",IFERROR(INDEX(設定!$F$6:$F$18,MATCH($G1357,設定!$B$6:$B$18,0)),0))</f>
        <v/>
      </c>
      <c r="M1357" s="82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1">
        <f>IF(OR($C1357="",$H1357="",$J1357=""),0,IF(ROUND(($J1357-$H1357)*1440,0)&gt;設定!$C$42,ROUND(($J1357-$H1357)*1440,0),0))</f>
        <v/>
      </c>
      <c r="P1357" s="81">
        <f>IF(OR($C1357="",$I1357="",$K1357=""),0,IF(ROUND(($I1357-$K1357)*1440,0)&gt;設定!$C$42,ROUND(($I1357-$K1357)*1440,0),0))</f>
        <v/>
      </c>
      <c r="Q1357" s="82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79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0">
        <f>IF($G1358="","",IFERROR(INDEX(設定!$D$6:$D$18,MATCH($G1358,設定!$B$6:$B$18,0)),""))</f>
        <v/>
      </c>
      <c r="I1358" s="80">
        <f>IF($G1358="","",IFERROR(INDEX(設定!$E$6:$E$18,MATCH($G1358,設定!$B$6:$B$18,0)),""))</f>
        <v/>
      </c>
      <c r="J1358" s="80">
        <f>IFERROR(INDEX(打卡匯入!$C$3:$C$2002,MATCH($C1358&amp;"|"&amp;DAY($A1358),打卡匯入!$E$3:$E$2002,0)),"")</f>
        <v/>
      </c>
      <c r="K1358" s="80">
        <f>IFERROR(INDEX(打卡匯入!$D$3:$D$2002,MATCH($C1358&amp;"|"&amp;DAY($A1358),打卡匯入!$E$3:$E$2002,0)),"")</f>
        <v/>
      </c>
      <c r="L1358" s="81">
        <f>IF(OR($J1358="",$K1358=""),"",IFERROR(INDEX(設定!$F$6:$F$18,MATCH($G1358,設定!$B$6:$B$18,0)),0))</f>
        <v/>
      </c>
      <c r="M1358" s="82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1">
        <f>IF(OR($C1358="",$H1358="",$J1358=""),0,IF(ROUND(($J1358-$H1358)*1440,0)&gt;設定!$C$42,ROUND(($J1358-$H1358)*1440,0),0))</f>
        <v/>
      </c>
      <c r="P1358" s="81">
        <f>IF(OR($C1358="",$I1358="",$K1358=""),0,IF(ROUND(($I1358-$K1358)*1440,0)&gt;設定!$C$42,ROUND(($I1358-$K1358)*1440,0),0))</f>
        <v/>
      </c>
      <c r="Q1358" s="82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79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0">
        <f>IF($G1359="","",IFERROR(INDEX(設定!$D$6:$D$18,MATCH($G1359,設定!$B$6:$B$18,0)),""))</f>
        <v/>
      </c>
      <c r="I1359" s="80">
        <f>IF($G1359="","",IFERROR(INDEX(設定!$E$6:$E$18,MATCH($G1359,設定!$B$6:$B$18,0)),""))</f>
        <v/>
      </c>
      <c r="J1359" s="80">
        <f>IFERROR(INDEX(打卡匯入!$C$3:$C$2002,MATCH($C1359&amp;"|"&amp;DAY($A1359),打卡匯入!$E$3:$E$2002,0)),"")</f>
        <v/>
      </c>
      <c r="K1359" s="80">
        <f>IFERROR(INDEX(打卡匯入!$D$3:$D$2002,MATCH($C1359&amp;"|"&amp;DAY($A1359),打卡匯入!$E$3:$E$2002,0)),"")</f>
        <v/>
      </c>
      <c r="L1359" s="81">
        <f>IF(OR($J1359="",$K1359=""),"",IFERROR(INDEX(設定!$F$6:$F$18,MATCH($G1359,設定!$B$6:$B$18,0)),0))</f>
        <v/>
      </c>
      <c r="M1359" s="82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1">
        <f>IF(OR($C1359="",$H1359="",$J1359=""),0,IF(ROUND(($J1359-$H1359)*1440,0)&gt;設定!$C$42,ROUND(($J1359-$H1359)*1440,0),0))</f>
        <v/>
      </c>
      <c r="P1359" s="81">
        <f>IF(OR($C1359="",$I1359="",$K1359=""),0,IF(ROUND(($I1359-$K1359)*1440,0)&gt;設定!$C$42,ROUND(($I1359-$K1359)*1440,0),0))</f>
        <v/>
      </c>
      <c r="Q1359" s="82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79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0">
        <f>IF($G1360="","",IFERROR(INDEX(設定!$D$6:$D$18,MATCH($G1360,設定!$B$6:$B$18,0)),""))</f>
        <v/>
      </c>
      <c r="I1360" s="80">
        <f>IF($G1360="","",IFERROR(INDEX(設定!$E$6:$E$18,MATCH($G1360,設定!$B$6:$B$18,0)),""))</f>
        <v/>
      </c>
      <c r="J1360" s="80">
        <f>IFERROR(INDEX(打卡匯入!$C$3:$C$2002,MATCH($C1360&amp;"|"&amp;DAY($A1360),打卡匯入!$E$3:$E$2002,0)),"")</f>
        <v/>
      </c>
      <c r="K1360" s="80">
        <f>IFERROR(INDEX(打卡匯入!$D$3:$D$2002,MATCH($C1360&amp;"|"&amp;DAY($A1360),打卡匯入!$E$3:$E$2002,0)),"")</f>
        <v/>
      </c>
      <c r="L1360" s="81">
        <f>IF(OR($J1360="",$K1360=""),"",IFERROR(INDEX(設定!$F$6:$F$18,MATCH($G1360,設定!$B$6:$B$18,0)),0))</f>
        <v/>
      </c>
      <c r="M1360" s="82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1">
        <f>IF(OR($C1360="",$H1360="",$J1360=""),0,IF(ROUND(($J1360-$H1360)*1440,0)&gt;設定!$C$42,ROUND(($J1360-$H1360)*1440,0),0))</f>
        <v/>
      </c>
      <c r="P1360" s="81">
        <f>IF(OR($C1360="",$I1360="",$K1360=""),0,IF(ROUND(($I1360-$K1360)*1440,0)&gt;設定!$C$42,ROUND(($I1360-$K1360)*1440,0),0))</f>
        <v/>
      </c>
      <c r="Q1360" s="82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79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0">
        <f>IF($G1361="","",IFERROR(INDEX(設定!$D$6:$D$18,MATCH($G1361,設定!$B$6:$B$18,0)),""))</f>
        <v/>
      </c>
      <c r="I1361" s="80">
        <f>IF($G1361="","",IFERROR(INDEX(設定!$E$6:$E$18,MATCH($G1361,設定!$B$6:$B$18,0)),""))</f>
        <v/>
      </c>
      <c r="J1361" s="80">
        <f>IFERROR(INDEX(打卡匯入!$C$3:$C$2002,MATCH($C1361&amp;"|"&amp;DAY($A1361),打卡匯入!$E$3:$E$2002,0)),"")</f>
        <v/>
      </c>
      <c r="K1361" s="80">
        <f>IFERROR(INDEX(打卡匯入!$D$3:$D$2002,MATCH($C1361&amp;"|"&amp;DAY($A1361),打卡匯入!$E$3:$E$2002,0)),"")</f>
        <v/>
      </c>
      <c r="L1361" s="81">
        <f>IF(OR($J1361="",$K1361=""),"",IFERROR(INDEX(設定!$F$6:$F$18,MATCH($G1361,設定!$B$6:$B$18,0)),0))</f>
        <v/>
      </c>
      <c r="M1361" s="82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1">
        <f>IF(OR($C1361="",$H1361="",$J1361=""),0,IF(ROUND(($J1361-$H1361)*1440,0)&gt;設定!$C$42,ROUND(($J1361-$H1361)*1440,0),0))</f>
        <v/>
      </c>
      <c r="P1361" s="81">
        <f>IF(OR($C1361="",$I1361="",$K1361=""),0,IF(ROUND(($I1361-$K1361)*1440,0)&gt;設定!$C$42,ROUND(($I1361-$K1361)*1440,0),0))</f>
        <v/>
      </c>
      <c r="Q1361" s="82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79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0">
        <f>IF($G1362="","",IFERROR(INDEX(設定!$D$6:$D$18,MATCH($G1362,設定!$B$6:$B$18,0)),""))</f>
        <v/>
      </c>
      <c r="I1362" s="80">
        <f>IF($G1362="","",IFERROR(INDEX(設定!$E$6:$E$18,MATCH($G1362,設定!$B$6:$B$18,0)),""))</f>
        <v/>
      </c>
      <c r="J1362" s="80">
        <f>IFERROR(INDEX(打卡匯入!$C$3:$C$2002,MATCH($C1362&amp;"|"&amp;DAY($A1362),打卡匯入!$E$3:$E$2002,0)),"")</f>
        <v/>
      </c>
      <c r="K1362" s="80">
        <f>IFERROR(INDEX(打卡匯入!$D$3:$D$2002,MATCH($C1362&amp;"|"&amp;DAY($A1362),打卡匯入!$E$3:$E$2002,0)),"")</f>
        <v/>
      </c>
      <c r="L1362" s="81">
        <f>IF(OR($J1362="",$K1362=""),"",IFERROR(INDEX(設定!$F$6:$F$18,MATCH($G1362,設定!$B$6:$B$18,0)),0))</f>
        <v/>
      </c>
      <c r="M1362" s="82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1">
        <f>IF(OR($C1362="",$H1362="",$J1362=""),0,IF(ROUND(($J1362-$H1362)*1440,0)&gt;設定!$C$42,ROUND(($J1362-$H1362)*1440,0),0))</f>
        <v/>
      </c>
      <c r="P1362" s="81">
        <f>IF(OR($C1362="",$I1362="",$K1362=""),0,IF(ROUND(($I1362-$K1362)*1440,0)&gt;設定!$C$42,ROUND(($I1362-$K1362)*1440,0),0))</f>
        <v/>
      </c>
      <c r="Q1362" s="82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79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0">
        <f>IF($G1363="","",IFERROR(INDEX(設定!$D$6:$D$18,MATCH($G1363,設定!$B$6:$B$18,0)),""))</f>
        <v/>
      </c>
      <c r="I1363" s="80">
        <f>IF($G1363="","",IFERROR(INDEX(設定!$E$6:$E$18,MATCH($G1363,設定!$B$6:$B$18,0)),""))</f>
        <v/>
      </c>
      <c r="J1363" s="80">
        <f>IFERROR(INDEX(打卡匯入!$C$3:$C$2002,MATCH($C1363&amp;"|"&amp;DAY($A1363),打卡匯入!$E$3:$E$2002,0)),"")</f>
        <v/>
      </c>
      <c r="K1363" s="80">
        <f>IFERROR(INDEX(打卡匯入!$D$3:$D$2002,MATCH($C1363&amp;"|"&amp;DAY($A1363),打卡匯入!$E$3:$E$2002,0)),"")</f>
        <v/>
      </c>
      <c r="L1363" s="81">
        <f>IF(OR($J1363="",$K1363=""),"",IFERROR(INDEX(設定!$F$6:$F$18,MATCH($G1363,設定!$B$6:$B$18,0)),0))</f>
        <v/>
      </c>
      <c r="M1363" s="82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1">
        <f>IF(OR($C1363="",$H1363="",$J1363=""),0,IF(ROUND(($J1363-$H1363)*1440,0)&gt;設定!$C$42,ROUND(($J1363-$H1363)*1440,0),0))</f>
        <v/>
      </c>
      <c r="P1363" s="81">
        <f>IF(OR($C1363="",$I1363="",$K1363=""),0,IF(ROUND(($I1363-$K1363)*1440,0)&gt;設定!$C$42,ROUND(($I1363-$K1363)*1440,0),0))</f>
        <v/>
      </c>
      <c r="Q1363" s="82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79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0">
        <f>IF($G1364="","",IFERROR(INDEX(設定!$D$6:$D$18,MATCH($G1364,設定!$B$6:$B$18,0)),""))</f>
        <v/>
      </c>
      <c r="I1364" s="80">
        <f>IF($G1364="","",IFERROR(INDEX(設定!$E$6:$E$18,MATCH($G1364,設定!$B$6:$B$18,0)),""))</f>
        <v/>
      </c>
      <c r="J1364" s="80">
        <f>IFERROR(INDEX(打卡匯入!$C$3:$C$2002,MATCH($C1364&amp;"|"&amp;DAY($A1364),打卡匯入!$E$3:$E$2002,0)),"")</f>
        <v/>
      </c>
      <c r="K1364" s="80">
        <f>IFERROR(INDEX(打卡匯入!$D$3:$D$2002,MATCH($C1364&amp;"|"&amp;DAY($A1364),打卡匯入!$E$3:$E$2002,0)),"")</f>
        <v/>
      </c>
      <c r="L1364" s="81">
        <f>IF(OR($J1364="",$K1364=""),"",IFERROR(INDEX(設定!$F$6:$F$18,MATCH($G1364,設定!$B$6:$B$18,0)),0))</f>
        <v/>
      </c>
      <c r="M1364" s="82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1">
        <f>IF(OR($C1364="",$H1364="",$J1364=""),0,IF(ROUND(($J1364-$H1364)*1440,0)&gt;設定!$C$42,ROUND(($J1364-$H1364)*1440,0),0))</f>
        <v/>
      </c>
      <c r="P1364" s="81">
        <f>IF(OR($C1364="",$I1364="",$K1364=""),0,IF(ROUND(($I1364-$K1364)*1440,0)&gt;設定!$C$42,ROUND(($I1364-$K1364)*1440,0),0))</f>
        <v/>
      </c>
      <c r="Q1364" s="82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79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0">
        <f>IF($G1365="","",IFERROR(INDEX(設定!$D$6:$D$18,MATCH($G1365,設定!$B$6:$B$18,0)),""))</f>
        <v/>
      </c>
      <c r="I1365" s="80">
        <f>IF($G1365="","",IFERROR(INDEX(設定!$E$6:$E$18,MATCH($G1365,設定!$B$6:$B$18,0)),""))</f>
        <v/>
      </c>
      <c r="J1365" s="80">
        <f>IFERROR(INDEX(打卡匯入!$C$3:$C$2002,MATCH($C1365&amp;"|"&amp;DAY($A1365),打卡匯入!$E$3:$E$2002,0)),"")</f>
        <v/>
      </c>
      <c r="K1365" s="80">
        <f>IFERROR(INDEX(打卡匯入!$D$3:$D$2002,MATCH($C1365&amp;"|"&amp;DAY($A1365),打卡匯入!$E$3:$E$2002,0)),"")</f>
        <v/>
      </c>
      <c r="L1365" s="81">
        <f>IF(OR($J1365="",$K1365=""),"",IFERROR(INDEX(設定!$F$6:$F$18,MATCH($G1365,設定!$B$6:$B$18,0)),0))</f>
        <v/>
      </c>
      <c r="M1365" s="82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1">
        <f>IF(OR($C1365="",$H1365="",$J1365=""),0,IF(ROUND(($J1365-$H1365)*1440,0)&gt;設定!$C$42,ROUND(($J1365-$H1365)*1440,0),0))</f>
        <v/>
      </c>
      <c r="P1365" s="81">
        <f>IF(OR($C1365="",$I1365="",$K1365=""),0,IF(ROUND(($I1365-$K1365)*1440,0)&gt;設定!$C$42,ROUND(($I1365-$K1365)*1440,0),0))</f>
        <v/>
      </c>
      <c r="Q1365" s="82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79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0">
        <f>IF($G1366="","",IFERROR(INDEX(設定!$D$6:$D$18,MATCH($G1366,設定!$B$6:$B$18,0)),""))</f>
        <v/>
      </c>
      <c r="I1366" s="80">
        <f>IF($G1366="","",IFERROR(INDEX(設定!$E$6:$E$18,MATCH($G1366,設定!$B$6:$B$18,0)),""))</f>
        <v/>
      </c>
      <c r="J1366" s="80">
        <f>IFERROR(INDEX(打卡匯入!$C$3:$C$2002,MATCH($C1366&amp;"|"&amp;DAY($A1366),打卡匯入!$E$3:$E$2002,0)),"")</f>
        <v/>
      </c>
      <c r="K1366" s="80">
        <f>IFERROR(INDEX(打卡匯入!$D$3:$D$2002,MATCH($C1366&amp;"|"&amp;DAY($A1366),打卡匯入!$E$3:$E$2002,0)),"")</f>
        <v/>
      </c>
      <c r="L1366" s="81">
        <f>IF(OR($J1366="",$K1366=""),"",IFERROR(INDEX(設定!$F$6:$F$18,MATCH($G1366,設定!$B$6:$B$18,0)),0))</f>
        <v/>
      </c>
      <c r="M1366" s="82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1">
        <f>IF(OR($C1366="",$H1366="",$J1366=""),0,IF(ROUND(($J1366-$H1366)*1440,0)&gt;設定!$C$42,ROUND(($J1366-$H1366)*1440,0),0))</f>
        <v/>
      </c>
      <c r="P1366" s="81">
        <f>IF(OR($C1366="",$I1366="",$K1366=""),0,IF(ROUND(($I1366-$K1366)*1440,0)&gt;設定!$C$42,ROUND(($I1366-$K1366)*1440,0),0))</f>
        <v/>
      </c>
      <c r="Q1366" s="82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79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0">
        <f>IF($G1367="","",IFERROR(INDEX(設定!$D$6:$D$18,MATCH($G1367,設定!$B$6:$B$18,0)),""))</f>
        <v/>
      </c>
      <c r="I1367" s="80">
        <f>IF($G1367="","",IFERROR(INDEX(設定!$E$6:$E$18,MATCH($G1367,設定!$B$6:$B$18,0)),""))</f>
        <v/>
      </c>
      <c r="J1367" s="80">
        <f>IFERROR(INDEX(打卡匯入!$C$3:$C$2002,MATCH($C1367&amp;"|"&amp;DAY($A1367),打卡匯入!$E$3:$E$2002,0)),"")</f>
        <v/>
      </c>
      <c r="K1367" s="80">
        <f>IFERROR(INDEX(打卡匯入!$D$3:$D$2002,MATCH($C1367&amp;"|"&amp;DAY($A1367),打卡匯入!$E$3:$E$2002,0)),"")</f>
        <v/>
      </c>
      <c r="L1367" s="81">
        <f>IF(OR($J1367="",$K1367=""),"",IFERROR(INDEX(設定!$F$6:$F$18,MATCH($G1367,設定!$B$6:$B$18,0)),0))</f>
        <v/>
      </c>
      <c r="M1367" s="82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1">
        <f>IF(OR($C1367="",$H1367="",$J1367=""),0,IF(ROUND(($J1367-$H1367)*1440,0)&gt;設定!$C$42,ROUND(($J1367-$H1367)*1440,0),0))</f>
        <v/>
      </c>
      <c r="P1367" s="81">
        <f>IF(OR($C1367="",$I1367="",$K1367=""),0,IF(ROUND(($I1367-$K1367)*1440,0)&gt;設定!$C$42,ROUND(($I1367-$K1367)*1440,0),0))</f>
        <v/>
      </c>
      <c r="Q1367" s="82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79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0">
        <f>IF($G1368="","",IFERROR(INDEX(設定!$D$6:$D$18,MATCH($G1368,設定!$B$6:$B$18,0)),""))</f>
        <v/>
      </c>
      <c r="I1368" s="80">
        <f>IF($G1368="","",IFERROR(INDEX(設定!$E$6:$E$18,MATCH($G1368,設定!$B$6:$B$18,0)),""))</f>
        <v/>
      </c>
      <c r="J1368" s="80">
        <f>IFERROR(INDEX(打卡匯入!$C$3:$C$2002,MATCH($C1368&amp;"|"&amp;DAY($A1368),打卡匯入!$E$3:$E$2002,0)),"")</f>
        <v/>
      </c>
      <c r="K1368" s="80">
        <f>IFERROR(INDEX(打卡匯入!$D$3:$D$2002,MATCH($C1368&amp;"|"&amp;DAY($A1368),打卡匯入!$E$3:$E$2002,0)),"")</f>
        <v/>
      </c>
      <c r="L1368" s="81">
        <f>IF(OR($J1368="",$K1368=""),"",IFERROR(INDEX(設定!$F$6:$F$18,MATCH($G1368,設定!$B$6:$B$18,0)),0))</f>
        <v/>
      </c>
      <c r="M1368" s="82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1">
        <f>IF(OR($C1368="",$H1368="",$J1368=""),0,IF(ROUND(($J1368-$H1368)*1440,0)&gt;設定!$C$42,ROUND(($J1368-$H1368)*1440,0),0))</f>
        <v/>
      </c>
      <c r="P1368" s="81">
        <f>IF(OR($C1368="",$I1368="",$K1368=""),0,IF(ROUND(($I1368-$K1368)*1440,0)&gt;設定!$C$42,ROUND(($I1368-$K1368)*1440,0),0))</f>
        <v/>
      </c>
      <c r="Q1368" s="82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79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0">
        <f>IF($G1369="","",IFERROR(INDEX(設定!$D$6:$D$18,MATCH($G1369,設定!$B$6:$B$18,0)),""))</f>
        <v/>
      </c>
      <c r="I1369" s="80">
        <f>IF($G1369="","",IFERROR(INDEX(設定!$E$6:$E$18,MATCH($G1369,設定!$B$6:$B$18,0)),""))</f>
        <v/>
      </c>
      <c r="J1369" s="80">
        <f>IFERROR(INDEX(打卡匯入!$C$3:$C$2002,MATCH($C1369&amp;"|"&amp;DAY($A1369),打卡匯入!$E$3:$E$2002,0)),"")</f>
        <v/>
      </c>
      <c r="K1369" s="80">
        <f>IFERROR(INDEX(打卡匯入!$D$3:$D$2002,MATCH($C1369&amp;"|"&amp;DAY($A1369),打卡匯入!$E$3:$E$2002,0)),"")</f>
        <v/>
      </c>
      <c r="L1369" s="81">
        <f>IF(OR($J1369="",$K1369=""),"",IFERROR(INDEX(設定!$F$6:$F$18,MATCH($G1369,設定!$B$6:$B$18,0)),0))</f>
        <v/>
      </c>
      <c r="M1369" s="82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1">
        <f>IF(OR($C1369="",$H1369="",$J1369=""),0,IF(ROUND(($J1369-$H1369)*1440,0)&gt;設定!$C$42,ROUND(($J1369-$H1369)*1440,0),0))</f>
        <v/>
      </c>
      <c r="P1369" s="81">
        <f>IF(OR($C1369="",$I1369="",$K1369=""),0,IF(ROUND(($I1369-$K1369)*1440,0)&gt;設定!$C$42,ROUND(($I1369-$K1369)*1440,0),0))</f>
        <v/>
      </c>
      <c r="Q1369" s="82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79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0">
        <f>IF($G1370="","",IFERROR(INDEX(設定!$D$6:$D$18,MATCH($G1370,設定!$B$6:$B$18,0)),""))</f>
        <v/>
      </c>
      <c r="I1370" s="80">
        <f>IF($G1370="","",IFERROR(INDEX(設定!$E$6:$E$18,MATCH($G1370,設定!$B$6:$B$18,0)),""))</f>
        <v/>
      </c>
      <c r="J1370" s="80">
        <f>IFERROR(INDEX(打卡匯入!$C$3:$C$2002,MATCH($C1370&amp;"|"&amp;DAY($A1370),打卡匯入!$E$3:$E$2002,0)),"")</f>
        <v/>
      </c>
      <c r="K1370" s="80">
        <f>IFERROR(INDEX(打卡匯入!$D$3:$D$2002,MATCH($C1370&amp;"|"&amp;DAY($A1370),打卡匯入!$E$3:$E$2002,0)),"")</f>
        <v/>
      </c>
      <c r="L1370" s="81">
        <f>IF(OR($J1370="",$K1370=""),"",IFERROR(INDEX(設定!$F$6:$F$18,MATCH($G1370,設定!$B$6:$B$18,0)),0))</f>
        <v/>
      </c>
      <c r="M1370" s="82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1">
        <f>IF(OR($C1370="",$H1370="",$J1370=""),0,IF(ROUND(($J1370-$H1370)*1440,0)&gt;設定!$C$42,ROUND(($J1370-$H1370)*1440,0),0))</f>
        <v/>
      </c>
      <c r="P1370" s="81">
        <f>IF(OR($C1370="",$I1370="",$K1370=""),0,IF(ROUND(($I1370-$K1370)*1440,0)&gt;設定!$C$42,ROUND(($I1370-$K1370)*1440,0),0))</f>
        <v/>
      </c>
      <c r="Q1370" s="82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79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0">
        <f>IF($G1371="","",IFERROR(INDEX(設定!$D$6:$D$18,MATCH($G1371,設定!$B$6:$B$18,0)),""))</f>
        <v/>
      </c>
      <c r="I1371" s="80">
        <f>IF($G1371="","",IFERROR(INDEX(設定!$E$6:$E$18,MATCH($G1371,設定!$B$6:$B$18,0)),""))</f>
        <v/>
      </c>
      <c r="J1371" s="80">
        <f>IFERROR(INDEX(打卡匯入!$C$3:$C$2002,MATCH($C1371&amp;"|"&amp;DAY($A1371),打卡匯入!$E$3:$E$2002,0)),"")</f>
        <v/>
      </c>
      <c r="K1371" s="80">
        <f>IFERROR(INDEX(打卡匯入!$D$3:$D$2002,MATCH($C1371&amp;"|"&amp;DAY($A1371),打卡匯入!$E$3:$E$2002,0)),"")</f>
        <v/>
      </c>
      <c r="L1371" s="81">
        <f>IF(OR($J1371="",$K1371=""),"",IFERROR(INDEX(設定!$F$6:$F$18,MATCH($G1371,設定!$B$6:$B$18,0)),0))</f>
        <v/>
      </c>
      <c r="M1371" s="82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1">
        <f>IF(OR($C1371="",$H1371="",$J1371=""),0,IF(ROUND(($J1371-$H1371)*1440,0)&gt;設定!$C$42,ROUND(($J1371-$H1371)*1440,0),0))</f>
        <v/>
      </c>
      <c r="P1371" s="81">
        <f>IF(OR($C1371="",$I1371="",$K1371=""),0,IF(ROUND(($I1371-$K1371)*1440,0)&gt;設定!$C$42,ROUND(($I1371-$K1371)*1440,0),0))</f>
        <v/>
      </c>
      <c r="Q1371" s="82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79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0">
        <f>IF($G1372="","",IFERROR(INDEX(設定!$D$6:$D$18,MATCH($G1372,設定!$B$6:$B$18,0)),""))</f>
        <v/>
      </c>
      <c r="I1372" s="80">
        <f>IF($G1372="","",IFERROR(INDEX(設定!$E$6:$E$18,MATCH($G1372,設定!$B$6:$B$18,0)),""))</f>
        <v/>
      </c>
      <c r="J1372" s="80">
        <f>IFERROR(INDEX(打卡匯入!$C$3:$C$2002,MATCH($C1372&amp;"|"&amp;DAY($A1372),打卡匯入!$E$3:$E$2002,0)),"")</f>
        <v/>
      </c>
      <c r="K1372" s="80">
        <f>IFERROR(INDEX(打卡匯入!$D$3:$D$2002,MATCH($C1372&amp;"|"&amp;DAY($A1372),打卡匯入!$E$3:$E$2002,0)),"")</f>
        <v/>
      </c>
      <c r="L1372" s="81">
        <f>IF(OR($J1372="",$K1372=""),"",IFERROR(INDEX(設定!$F$6:$F$18,MATCH($G1372,設定!$B$6:$B$18,0)),0))</f>
        <v/>
      </c>
      <c r="M1372" s="82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1">
        <f>IF(OR($C1372="",$H1372="",$J1372=""),0,IF(ROUND(($J1372-$H1372)*1440,0)&gt;設定!$C$42,ROUND(($J1372-$H1372)*1440,0),0))</f>
        <v/>
      </c>
      <c r="P1372" s="81">
        <f>IF(OR($C1372="",$I1372="",$K1372=""),0,IF(ROUND(($I1372-$K1372)*1440,0)&gt;設定!$C$42,ROUND(($I1372-$K1372)*1440,0),0))</f>
        <v/>
      </c>
      <c r="Q1372" s="82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79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0">
        <f>IF($G1373="","",IFERROR(INDEX(設定!$D$6:$D$18,MATCH($G1373,設定!$B$6:$B$18,0)),""))</f>
        <v/>
      </c>
      <c r="I1373" s="80">
        <f>IF($G1373="","",IFERROR(INDEX(設定!$E$6:$E$18,MATCH($G1373,設定!$B$6:$B$18,0)),""))</f>
        <v/>
      </c>
      <c r="J1373" s="80">
        <f>IFERROR(INDEX(打卡匯入!$C$3:$C$2002,MATCH($C1373&amp;"|"&amp;DAY($A1373),打卡匯入!$E$3:$E$2002,0)),"")</f>
        <v/>
      </c>
      <c r="K1373" s="80">
        <f>IFERROR(INDEX(打卡匯入!$D$3:$D$2002,MATCH($C1373&amp;"|"&amp;DAY($A1373),打卡匯入!$E$3:$E$2002,0)),"")</f>
        <v/>
      </c>
      <c r="L1373" s="81">
        <f>IF(OR($J1373="",$K1373=""),"",IFERROR(INDEX(設定!$F$6:$F$18,MATCH($G1373,設定!$B$6:$B$18,0)),0))</f>
        <v/>
      </c>
      <c r="M1373" s="82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1">
        <f>IF(OR($C1373="",$H1373="",$J1373=""),0,IF(ROUND(($J1373-$H1373)*1440,0)&gt;設定!$C$42,ROUND(($J1373-$H1373)*1440,0),0))</f>
        <v/>
      </c>
      <c r="P1373" s="81">
        <f>IF(OR($C1373="",$I1373="",$K1373=""),0,IF(ROUND(($I1373-$K1373)*1440,0)&gt;設定!$C$42,ROUND(($I1373-$K1373)*1440,0),0))</f>
        <v/>
      </c>
      <c r="Q1373" s="82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79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0">
        <f>IF($G1374="","",IFERROR(INDEX(設定!$D$6:$D$18,MATCH($G1374,設定!$B$6:$B$18,0)),""))</f>
        <v/>
      </c>
      <c r="I1374" s="80">
        <f>IF($G1374="","",IFERROR(INDEX(設定!$E$6:$E$18,MATCH($G1374,設定!$B$6:$B$18,0)),""))</f>
        <v/>
      </c>
      <c r="J1374" s="80">
        <f>IFERROR(INDEX(打卡匯入!$C$3:$C$2002,MATCH($C1374&amp;"|"&amp;DAY($A1374),打卡匯入!$E$3:$E$2002,0)),"")</f>
        <v/>
      </c>
      <c r="K1374" s="80">
        <f>IFERROR(INDEX(打卡匯入!$D$3:$D$2002,MATCH($C1374&amp;"|"&amp;DAY($A1374),打卡匯入!$E$3:$E$2002,0)),"")</f>
        <v/>
      </c>
      <c r="L1374" s="81">
        <f>IF(OR($J1374="",$K1374=""),"",IFERROR(INDEX(設定!$F$6:$F$18,MATCH($G1374,設定!$B$6:$B$18,0)),0))</f>
        <v/>
      </c>
      <c r="M1374" s="82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1">
        <f>IF(OR($C1374="",$H1374="",$J1374=""),0,IF(ROUND(($J1374-$H1374)*1440,0)&gt;設定!$C$42,ROUND(($J1374-$H1374)*1440,0),0))</f>
        <v/>
      </c>
      <c r="P1374" s="81">
        <f>IF(OR($C1374="",$I1374="",$K1374=""),0,IF(ROUND(($I1374-$K1374)*1440,0)&gt;設定!$C$42,ROUND(($I1374-$K1374)*1440,0),0))</f>
        <v/>
      </c>
      <c r="Q1374" s="82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79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0">
        <f>IF($G1375="","",IFERROR(INDEX(設定!$D$6:$D$18,MATCH($G1375,設定!$B$6:$B$18,0)),""))</f>
        <v/>
      </c>
      <c r="I1375" s="80">
        <f>IF($G1375="","",IFERROR(INDEX(設定!$E$6:$E$18,MATCH($G1375,設定!$B$6:$B$18,0)),""))</f>
        <v/>
      </c>
      <c r="J1375" s="80">
        <f>IFERROR(INDEX(打卡匯入!$C$3:$C$2002,MATCH($C1375&amp;"|"&amp;DAY($A1375),打卡匯入!$E$3:$E$2002,0)),"")</f>
        <v/>
      </c>
      <c r="K1375" s="80">
        <f>IFERROR(INDEX(打卡匯入!$D$3:$D$2002,MATCH($C1375&amp;"|"&amp;DAY($A1375),打卡匯入!$E$3:$E$2002,0)),"")</f>
        <v/>
      </c>
      <c r="L1375" s="81">
        <f>IF(OR($J1375="",$K1375=""),"",IFERROR(INDEX(設定!$F$6:$F$18,MATCH($G1375,設定!$B$6:$B$18,0)),0))</f>
        <v/>
      </c>
      <c r="M1375" s="82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1">
        <f>IF(OR($C1375="",$H1375="",$J1375=""),0,IF(ROUND(($J1375-$H1375)*1440,0)&gt;設定!$C$42,ROUND(($J1375-$H1375)*1440,0),0))</f>
        <v/>
      </c>
      <c r="P1375" s="81">
        <f>IF(OR($C1375="",$I1375="",$K1375=""),0,IF(ROUND(($I1375-$K1375)*1440,0)&gt;設定!$C$42,ROUND(($I1375-$K1375)*1440,0),0))</f>
        <v/>
      </c>
      <c r="Q1375" s="82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79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0">
        <f>IF($G1376="","",IFERROR(INDEX(設定!$D$6:$D$18,MATCH($G1376,設定!$B$6:$B$18,0)),""))</f>
        <v/>
      </c>
      <c r="I1376" s="80">
        <f>IF($G1376="","",IFERROR(INDEX(設定!$E$6:$E$18,MATCH($G1376,設定!$B$6:$B$18,0)),""))</f>
        <v/>
      </c>
      <c r="J1376" s="80">
        <f>IFERROR(INDEX(打卡匯入!$C$3:$C$2002,MATCH($C1376&amp;"|"&amp;DAY($A1376),打卡匯入!$E$3:$E$2002,0)),"")</f>
        <v/>
      </c>
      <c r="K1376" s="80">
        <f>IFERROR(INDEX(打卡匯入!$D$3:$D$2002,MATCH($C1376&amp;"|"&amp;DAY($A1376),打卡匯入!$E$3:$E$2002,0)),"")</f>
        <v/>
      </c>
      <c r="L1376" s="81">
        <f>IF(OR($J1376="",$K1376=""),"",IFERROR(INDEX(設定!$F$6:$F$18,MATCH($G1376,設定!$B$6:$B$18,0)),0))</f>
        <v/>
      </c>
      <c r="M1376" s="82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1">
        <f>IF(OR($C1376="",$H1376="",$J1376=""),0,IF(ROUND(($J1376-$H1376)*1440,0)&gt;設定!$C$42,ROUND(($J1376-$H1376)*1440,0),0))</f>
        <v/>
      </c>
      <c r="P1376" s="81">
        <f>IF(OR($C1376="",$I1376="",$K1376=""),0,IF(ROUND(($I1376-$K1376)*1440,0)&gt;設定!$C$42,ROUND(($I1376-$K1376)*1440,0),0))</f>
        <v/>
      </c>
      <c r="Q1376" s="82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79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0">
        <f>IF($G1377="","",IFERROR(INDEX(設定!$D$6:$D$18,MATCH($G1377,設定!$B$6:$B$18,0)),""))</f>
        <v/>
      </c>
      <c r="I1377" s="80">
        <f>IF($G1377="","",IFERROR(INDEX(設定!$E$6:$E$18,MATCH($G1377,設定!$B$6:$B$18,0)),""))</f>
        <v/>
      </c>
      <c r="J1377" s="80">
        <f>IFERROR(INDEX(打卡匯入!$C$3:$C$2002,MATCH($C1377&amp;"|"&amp;DAY($A1377),打卡匯入!$E$3:$E$2002,0)),"")</f>
        <v/>
      </c>
      <c r="K1377" s="80">
        <f>IFERROR(INDEX(打卡匯入!$D$3:$D$2002,MATCH($C1377&amp;"|"&amp;DAY($A1377),打卡匯入!$E$3:$E$2002,0)),"")</f>
        <v/>
      </c>
      <c r="L1377" s="81">
        <f>IF(OR($J1377="",$K1377=""),"",IFERROR(INDEX(設定!$F$6:$F$18,MATCH($G1377,設定!$B$6:$B$18,0)),0))</f>
        <v/>
      </c>
      <c r="M1377" s="82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1">
        <f>IF(OR($C1377="",$H1377="",$J1377=""),0,IF(ROUND(($J1377-$H1377)*1440,0)&gt;設定!$C$42,ROUND(($J1377-$H1377)*1440,0),0))</f>
        <v/>
      </c>
      <c r="P1377" s="81">
        <f>IF(OR($C1377="",$I1377="",$K1377=""),0,IF(ROUND(($I1377-$K1377)*1440,0)&gt;設定!$C$42,ROUND(($I1377-$K1377)*1440,0),0))</f>
        <v/>
      </c>
      <c r="Q1377" s="82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79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0">
        <f>IF($G1378="","",IFERROR(INDEX(設定!$D$6:$D$18,MATCH($G1378,設定!$B$6:$B$18,0)),""))</f>
        <v/>
      </c>
      <c r="I1378" s="80">
        <f>IF($G1378="","",IFERROR(INDEX(設定!$E$6:$E$18,MATCH($G1378,設定!$B$6:$B$18,0)),""))</f>
        <v/>
      </c>
      <c r="J1378" s="80">
        <f>IFERROR(INDEX(打卡匯入!$C$3:$C$2002,MATCH($C1378&amp;"|"&amp;DAY($A1378),打卡匯入!$E$3:$E$2002,0)),"")</f>
        <v/>
      </c>
      <c r="K1378" s="80">
        <f>IFERROR(INDEX(打卡匯入!$D$3:$D$2002,MATCH($C1378&amp;"|"&amp;DAY($A1378),打卡匯入!$E$3:$E$2002,0)),"")</f>
        <v/>
      </c>
      <c r="L1378" s="81">
        <f>IF(OR($J1378="",$K1378=""),"",IFERROR(INDEX(設定!$F$6:$F$18,MATCH($G1378,設定!$B$6:$B$18,0)),0))</f>
        <v/>
      </c>
      <c r="M1378" s="82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1">
        <f>IF(OR($C1378="",$H1378="",$J1378=""),0,IF(ROUND(($J1378-$H1378)*1440,0)&gt;設定!$C$42,ROUND(($J1378-$H1378)*1440,0),0))</f>
        <v/>
      </c>
      <c r="P1378" s="81">
        <f>IF(OR($C1378="",$I1378="",$K1378=""),0,IF(ROUND(($I1378-$K1378)*1440,0)&gt;設定!$C$42,ROUND(($I1378-$K1378)*1440,0),0))</f>
        <v/>
      </c>
      <c r="Q1378" s="82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79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0">
        <f>IF($G1379="","",IFERROR(INDEX(設定!$D$6:$D$18,MATCH($G1379,設定!$B$6:$B$18,0)),""))</f>
        <v/>
      </c>
      <c r="I1379" s="80">
        <f>IF($G1379="","",IFERROR(INDEX(設定!$E$6:$E$18,MATCH($G1379,設定!$B$6:$B$18,0)),""))</f>
        <v/>
      </c>
      <c r="J1379" s="80">
        <f>IFERROR(INDEX(打卡匯入!$C$3:$C$2002,MATCH($C1379&amp;"|"&amp;DAY($A1379),打卡匯入!$E$3:$E$2002,0)),"")</f>
        <v/>
      </c>
      <c r="K1379" s="80">
        <f>IFERROR(INDEX(打卡匯入!$D$3:$D$2002,MATCH($C1379&amp;"|"&amp;DAY($A1379),打卡匯入!$E$3:$E$2002,0)),"")</f>
        <v/>
      </c>
      <c r="L1379" s="81">
        <f>IF(OR($J1379="",$K1379=""),"",IFERROR(INDEX(設定!$F$6:$F$18,MATCH($G1379,設定!$B$6:$B$18,0)),0))</f>
        <v/>
      </c>
      <c r="M1379" s="82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1">
        <f>IF(OR($C1379="",$H1379="",$J1379=""),0,IF(ROUND(($J1379-$H1379)*1440,0)&gt;設定!$C$42,ROUND(($J1379-$H1379)*1440,0),0))</f>
        <v/>
      </c>
      <c r="P1379" s="81">
        <f>IF(OR($C1379="",$I1379="",$K1379=""),0,IF(ROUND(($I1379-$K1379)*1440,0)&gt;設定!$C$42,ROUND(($I1379-$K1379)*1440,0),0))</f>
        <v/>
      </c>
      <c r="Q1379" s="82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79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0">
        <f>IF($G1380="","",IFERROR(INDEX(設定!$D$6:$D$18,MATCH($G1380,設定!$B$6:$B$18,0)),""))</f>
        <v/>
      </c>
      <c r="I1380" s="80">
        <f>IF($G1380="","",IFERROR(INDEX(設定!$E$6:$E$18,MATCH($G1380,設定!$B$6:$B$18,0)),""))</f>
        <v/>
      </c>
      <c r="J1380" s="80">
        <f>IFERROR(INDEX(打卡匯入!$C$3:$C$2002,MATCH($C1380&amp;"|"&amp;DAY($A1380),打卡匯入!$E$3:$E$2002,0)),"")</f>
        <v/>
      </c>
      <c r="K1380" s="80">
        <f>IFERROR(INDEX(打卡匯入!$D$3:$D$2002,MATCH($C1380&amp;"|"&amp;DAY($A1380),打卡匯入!$E$3:$E$2002,0)),"")</f>
        <v/>
      </c>
      <c r="L1380" s="81">
        <f>IF(OR($J1380="",$K1380=""),"",IFERROR(INDEX(設定!$F$6:$F$18,MATCH($G1380,設定!$B$6:$B$18,0)),0))</f>
        <v/>
      </c>
      <c r="M1380" s="82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1">
        <f>IF(OR($C1380="",$H1380="",$J1380=""),0,IF(ROUND(($J1380-$H1380)*1440,0)&gt;設定!$C$42,ROUND(($J1380-$H1380)*1440,0),0))</f>
        <v/>
      </c>
      <c r="P1380" s="81">
        <f>IF(OR($C1380="",$I1380="",$K1380=""),0,IF(ROUND(($I1380-$K1380)*1440,0)&gt;設定!$C$42,ROUND(($I1380-$K1380)*1440,0),0))</f>
        <v/>
      </c>
      <c r="Q1380" s="82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79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0">
        <f>IF($G1381="","",IFERROR(INDEX(設定!$D$6:$D$18,MATCH($G1381,設定!$B$6:$B$18,0)),""))</f>
        <v/>
      </c>
      <c r="I1381" s="80">
        <f>IF($G1381="","",IFERROR(INDEX(設定!$E$6:$E$18,MATCH($G1381,設定!$B$6:$B$18,0)),""))</f>
        <v/>
      </c>
      <c r="J1381" s="80">
        <f>IFERROR(INDEX(打卡匯入!$C$3:$C$2002,MATCH($C1381&amp;"|"&amp;DAY($A1381),打卡匯入!$E$3:$E$2002,0)),"")</f>
        <v/>
      </c>
      <c r="K1381" s="80">
        <f>IFERROR(INDEX(打卡匯入!$D$3:$D$2002,MATCH($C1381&amp;"|"&amp;DAY($A1381),打卡匯入!$E$3:$E$2002,0)),"")</f>
        <v/>
      </c>
      <c r="L1381" s="81">
        <f>IF(OR($J1381="",$K1381=""),"",IFERROR(INDEX(設定!$F$6:$F$18,MATCH($G1381,設定!$B$6:$B$18,0)),0))</f>
        <v/>
      </c>
      <c r="M1381" s="82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1">
        <f>IF(OR($C1381="",$H1381="",$J1381=""),0,IF(ROUND(($J1381-$H1381)*1440,0)&gt;設定!$C$42,ROUND(($J1381-$H1381)*1440,0),0))</f>
        <v/>
      </c>
      <c r="P1381" s="81">
        <f>IF(OR($C1381="",$I1381="",$K1381=""),0,IF(ROUND(($I1381-$K1381)*1440,0)&gt;設定!$C$42,ROUND(($I1381-$K1381)*1440,0),0))</f>
        <v/>
      </c>
      <c r="Q1381" s="82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79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0">
        <f>IF($G1382="","",IFERROR(INDEX(設定!$D$6:$D$18,MATCH($G1382,設定!$B$6:$B$18,0)),""))</f>
        <v/>
      </c>
      <c r="I1382" s="80">
        <f>IF($G1382="","",IFERROR(INDEX(設定!$E$6:$E$18,MATCH($G1382,設定!$B$6:$B$18,0)),""))</f>
        <v/>
      </c>
      <c r="J1382" s="80">
        <f>IFERROR(INDEX(打卡匯入!$C$3:$C$2002,MATCH($C1382&amp;"|"&amp;DAY($A1382),打卡匯入!$E$3:$E$2002,0)),"")</f>
        <v/>
      </c>
      <c r="K1382" s="80">
        <f>IFERROR(INDEX(打卡匯入!$D$3:$D$2002,MATCH($C1382&amp;"|"&amp;DAY($A1382),打卡匯入!$E$3:$E$2002,0)),"")</f>
        <v/>
      </c>
      <c r="L1382" s="81">
        <f>IF(OR($J1382="",$K1382=""),"",IFERROR(INDEX(設定!$F$6:$F$18,MATCH($G1382,設定!$B$6:$B$18,0)),0))</f>
        <v/>
      </c>
      <c r="M1382" s="82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1">
        <f>IF(OR($C1382="",$H1382="",$J1382=""),0,IF(ROUND(($J1382-$H1382)*1440,0)&gt;設定!$C$42,ROUND(($J1382-$H1382)*1440,0),0))</f>
        <v/>
      </c>
      <c r="P1382" s="81">
        <f>IF(OR($C1382="",$I1382="",$K1382=""),0,IF(ROUND(($I1382-$K1382)*1440,0)&gt;設定!$C$42,ROUND(($I1382-$K1382)*1440,0),0))</f>
        <v/>
      </c>
      <c r="Q1382" s="82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79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0">
        <f>IF($G1383="","",IFERROR(INDEX(設定!$D$6:$D$18,MATCH($G1383,設定!$B$6:$B$18,0)),""))</f>
        <v/>
      </c>
      <c r="I1383" s="80">
        <f>IF($G1383="","",IFERROR(INDEX(設定!$E$6:$E$18,MATCH($G1383,設定!$B$6:$B$18,0)),""))</f>
        <v/>
      </c>
      <c r="J1383" s="80">
        <f>IFERROR(INDEX(打卡匯入!$C$3:$C$2002,MATCH($C1383&amp;"|"&amp;DAY($A1383),打卡匯入!$E$3:$E$2002,0)),"")</f>
        <v/>
      </c>
      <c r="K1383" s="80">
        <f>IFERROR(INDEX(打卡匯入!$D$3:$D$2002,MATCH($C1383&amp;"|"&amp;DAY($A1383),打卡匯入!$E$3:$E$2002,0)),"")</f>
        <v/>
      </c>
      <c r="L1383" s="81">
        <f>IF(OR($J1383="",$K1383=""),"",IFERROR(INDEX(設定!$F$6:$F$18,MATCH($G1383,設定!$B$6:$B$18,0)),0))</f>
        <v/>
      </c>
      <c r="M1383" s="82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1">
        <f>IF(OR($C1383="",$H1383="",$J1383=""),0,IF(ROUND(($J1383-$H1383)*1440,0)&gt;設定!$C$42,ROUND(($J1383-$H1383)*1440,0),0))</f>
        <v/>
      </c>
      <c r="P1383" s="81">
        <f>IF(OR($C1383="",$I1383="",$K1383=""),0,IF(ROUND(($I1383-$K1383)*1440,0)&gt;設定!$C$42,ROUND(($I1383-$K1383)*1440,0),0))</f>
        <v/>
      </c>
      <c r="Q1383" s="82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79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0">
        <f>IF($G1384="","",IFERROR(INDEX(設定!$D$6:$D$18,MATCH($G1384,設定!$B$6:$B$18,0)),""))</f>
        <v/>
      </c>
      <c r="I1384" s="80">
        <f>IF($G1384="","",IFERROR(INDEX(設定!$E$6:$E$18,MATCH($G1384,設定!$B$6:$B$18,0)),""))</f>
        <v/>
      </c>
      <c r="J1384" s="80">
        <f>IFERROR(INDEX(打卡匯入!$C$3:$C$2002,MATCH($C1384&amp;"|"&amp;DAY($A1384),打卡匯入!$E$3:$E$2002,0)),"")</f>
        <v/>
      </c>
      <c r="K1384" s="80">
        <f>IFERROR(INDEX(打卡匯入!$D$3:$D$2002,MATCH($C1384&amp;"|"&amp;DAY($A1384),打卡匯入!$E$3:$E$2002,0)),"")</f>
        <v/>
      </c>
      <c r="L1384" s="81">
        <f>IF(OR($J1384="",$K1384=""),"",IFERROR(INDEX(設定!$F$6:$F$18,MATCH($G1384,設定!$B$6:$B$18,0)),0))</f>
        <v/>
      </c>
      <c r="M1384" s="82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1">
        <f>IF(OR($C1384="",$H1384="",$J1384=""),0,IF(ROUND(($J1384-$H1384)*1440,0)&gt;設定!$C$42,ROUND(($J1384-$H1384)*1440,0),0))</f>
        <v/>
      </c>
      <c r="P1384" s="81">
        <f>IF(OR($C1384="",$I1384="",$K1384=""),0,IF(ROUND(($I1384-$K1384)*1440,0)&gt;設定!$C$42,ROUND(($I1384-$K1384)*1440,0),0))</f>
        <v/>
      </c>
      <c r="Q1384" s="82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79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0">
        <f>IF($G1385="","",IFERROR(INDEX(設定!$D$6:$D$18,MATCH($G1385,設定!$B$6:$B$18,0)),""))</f>
        <v/>
      </c>
      <c r="I1385" s="80">
        <f>IF($G1385="","",IFERROR(INDEX(設定!$E$6:$E$18,MATCH($G1385,設定!$B$6:$B$18,0)),""))</f>
        <v/>
      </c>
      <c r="J1385" s="80">
        <f>IFERROR(INDEX(打卡匯入!$C$3:$C$2002,MATCH($C1385&amp;"|"&amp;DAY($A1385),打卡匯入!$E$3:$E$2002,0)),"")</f>
        <v/>
      </c>
      <c r="K1385" s="80">
        <f>IFERROR(INDEX(打卡匯入!$D$3:$D$2002,MATCH($C1385&amp;"|"&amp;DAY($A1385),打卡匯入!$E$3:$E$2002,0)),"")</f>
        <v/>
      </c>
      <c r="L1385" s="81">
        <f>IF(OR($J1385="",$K1385=""),"",IFERROR(INDEX(設定!$F$6:$F$18,MATCH($G1385,設定!$B$6:$B$18,0)),0))</f>
        <v/>
      </c>
      <c r="M1385" s="82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1">
        <f>IF(OR($C1385="",$H1385="",$J1385=""),0,IF(ROUND(($J1385-$H1385)*1440,0)&gt;設定!$C$42,ROUND(($J1385-$H1385)*1440,0),0))</f>
        <v/>
      </c>
      <c r="P1385" s="81">
        <f>IF(OR($C1385="",$I1385="",$K1385=""),0,IF(ROUND(($I1385-$K1385)*1440,0)&gt;設定!$C$42,ROUND(($I1385-$K1385)*1440,0),0))</f>
        <v/>
      </c>
      <c r="Q1385" s="82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79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0">
        <f>IF($G1386="","",IFERROR(INDEX(設定!$D$6:$D$18,MATCH($G1386,設定!$B$6:$B$18,0)),""))</f>
        <v/>
      </c>
      <c r="I1386" s="80">
        <f>IF($G1386="","",IFERROR(INDEX(設定!$E$6:$E$18,MATCH($G1386,設定!$B$6:$B$18,0)),""))</f>
        <v/>
      </c>
      <c r="J1386" s="80">
        <f>IFERROR(INDEX(打卡匯入!$C$3:$C$2002,MATCH($C1386&amp;"|"&amp;DAY($A1386),打卡匯入!$E$3:$E$2002,0)),"")</f>
        <v/>
      </c>
      <c r="K1386" s="80">
        <f>IFERROR(INDEX(打卡匯入!$D$3:$D$2002,MATCH($C1386&amp;"|"&amp;DAY($A1386),打卡匯入!$E$3:$E$2002,0)),"")</f>
        <v/>
      </c>
      <c r="L1386" s="81">
        <f>IF(OR($J1386="",$K1386=""),"",IFERROR(INDEX(設定!$F$6:$F$18,MATCH($G1386,設定!$B$6:$B$18,0)),0))</f>
        <v/>
      </c>
      <c r="M1386" s="82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1">
        <f>IF(OR($C1386="",$H1386="",$J1386=""),0,IF(ROUND(($J1386-$H1386)*1440,0)&gt;設定!$C$42,ROUND(($J1386-$H1386)*1440,0),0))</f>
        <v/>
      </c>
      <c r="P1386" s="81">
        <f>IF(OR($C1386="",$I1386="",$K1386=""),0,IF(ROUND(($I1386-$K1386)*1440,0)&gt;設定!$C$42,ROUND(($I1386-$K1386)*1440,0),0))</f>
        <v/>
      </c>
      <c r="Q1386" s="82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79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0">
        <f>IF($G1387="","",IFERROR(INDEX(設定!$D$6:$D$18,MATCH($G1387,設定!$B$6:$B$18,0)),""))</f>
        <v/>
      </c>
      <c r="I1387" s="80">
        <f>IF($G1387="","",IFERROR(INDEX(設定!$E$6:$E$18,MATCH($G1387,設定!$B$6:$B$18,0)),""))</f>
        <v/>
      </c>
      <c r="J1387" s="80">
        <f>IFERROR(INDEX(打卡匯入!$C$3:$C$2002,MATCH($C1387&amp;"|"&amp;DAY($A1387),打卡匯入!$E$3:$E$2002,0)),"")</f>
        <v/>
      </c>
      <c r="K1387" s="80">
        <f>IFERROR(INDEX(打卡匯入!$D$3:$D$2002,MATCH($C1387&amp;"|"&amp;DAY($A1387),打卡匯入!$E$3:$E$2002,0)),"")</f>
        <v/>
      </c>
      <c r="L1387" s="81">
        <f>IF(OR($J1387="",$K1387=""),"",IFERROR(INDEX(設定!$F$6:$F$18,MATCH($G1387,設定!$B$6:$B$18,0)),0))</f>
        <v/>
      </c>
      <c r="M1387" s="82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1">
        <f>IF(OR($C1387="",$H1387="",$J1387=""),0,IF(ROUND(($J1387-$H1387)*1440,0)&gt;設定!$C$42,ROUND(($J1387-$H1387)*1440,0),0))</f>
        <v/>
      </c>
      <c r="P1387" s="81">
        <f>IF(OR($C1387="",$I1387="",$K1387=""),0,IF(ROUND(($I1387-$K1387)*1440,0)&gt;設定!$C$42,ROUND(($I1387-$K1387)*1440,0),0))</f>
        <v/>
      </c>
      <c r="Q1387" s="82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79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0">
        <f>IF($G1388="","",IFERROR(INDEX(設定!$D$6:$D$18,MATCH($G1388,設定!$B$6:$B$18,0)),""))</f>
        <v/>
      </c>
      <c r="I1388" s="80">
        <f>IF($G1388="","",IFERROR(INDEX(設定!$E$6:$E$18,MATCH($G1388,設定!$B$6:$B$18,0)),""))</f>
        <v/>
      </c>
      <c r="J1388" s="80">
        <f>IFERROR(INDEX(打卡匯入!$C$3:$C$2002,MATCH($C1388&amp;"|"&amp;DAY($A1388),打卡匯入!$E$3:$E$2002,0)),"")</f>
        <v/>
      </c>
      <c r="K1388" s="80">
        <f>IFERROR(INDEX(打卡匯入!$D$3:$D$2002,MATCH($C1388&amp;"|"&amp;DAY($A1388),打卡匯入!$E$3:$E$2002,0)),"")</f>
        <v/>
      </c>
      <c r="L1388" s="81">
        <f>IF(OR($J1388="",$K1388=""),"",IFERROR(INDEX(設定!$F$6:$F$18,MATCH($G1388,設定!$B$6:$B$18,0)),0))</f>
        <v/>
      </c>
      <c r="M1388" s="82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1">
        <f>IF(OR($C1388="",$H1388="",$J1388=""),0,IF(ROUND(($J1388-$H1388)*1440,0)&gt;設定!$C$42,ROUND(($J1388-$H1388)*1440,0),0))</f>
        <v/>
      </c>
      <c r="P1388" s="81">
        <f>IF(OR($C1388="",$I1388="",$K1388=""),0,IF(ROUND(($I1388-$K1388)*1440,0)&gt;設定!$C$42,ROUND(($I1388-$K1388)*1440,0),0))</f>
        <v/>
      </c>
      <c r="Q1388" s="82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79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0">
        <f>IF($G1389="","",IFERROR(INDEX(設定!$D$6:$D$18,MATCH($G1389,設定!$B$6:$B$18,0)),""))</f>
        <v/>
      </c>
      <c r="I1389" s="80">
        <f>IF($G1389="","",IFERROR(INDEX(設定!$E$6:$E$18,MATCH($G1389,設定!$B$6:$B$18,0)),""))</f>
        <v/>
      </c>
      <c r="J1389" s="80">
        <f>IFERROR(INDEX(打卡匯入!$C$3:$C$2002,MATCH($C1389&amp;"|"&amp;DAY($A1389),打卡匯入!$E$3:$E$2002,0)),"")</f>
        <v/>
      </c>
      <c r="K1389" s="80">
        <f>IFERROR(INDEX(打卡匯入!$D$3:$D$2002,MATCH($C1389&amp;"|"&amp;DAY($A1389),打卡匯入!$E$3:$E$2002,0)),"")</f>
        <v/>
      </c>
      <c r="L1389" s="81">
        <f>IF(OR($J1389="",$K1389=""),"",IFERROR(INDEX(設定!$F$6:$F$18,MATCH($G1389,設定!$B$6:$B$18,0)),0))</f>
        <v/>
      </c>
      <c r="M1389" s="82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1">
        <f>IF(OR($C1389="",$H1389="",$J1389=""),0,IF(ROUND(($J1389-$H1389)*1440,0)&gt;設定!$C$42,ROUND(($J1389-$H1389)*1440,0),0))</f>
        <v/>
      </c>
      <c r="P1389" s="81">
        <f>IF(OR($C1389="",$I1389="",$K1389=""),0,IF(ROUND(($I1389-$K1389)*1440,0)&gt;設定!$C$42,ROUND(($I1389-$K1389)*1440,0),0))</f>
        <v/>
      </c>
      <c r="Q1389" s="82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79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0">
        <f>IF($G1390="","",IFERROR(INDEX(設定!$D$6:$D$18,MATCH($G1390,設定!$B$6:$B$18,0)),""))</f>
        <v/>
      </c>
      <c r="I1390" s="80">
        <f>IF($G1390="","",IFERROR(INDEX(設定!$E$6:$E$18,MATCH($G1390,設定!$B$6:$B$18,0)),""))</f>
        <v/>
      </c>
      <c r="J1390" s="80">
        <f>IFERROR(INDEX(打卡匯入!$C$3:$C$2002,MATCH($C1390&amp;"|"&amp;DAY($A1390),打卡匯入!$E$3:$E$2002,0)),"")</f>
        <v/>
      </c>
      <c r="K1390" s="80">
        <f>IFERROR(INDEX(打卡匯入!$D$3:$D$2002,MATCH($C1390&amp;"|"&amp;DAY($A1390),打卡匯入!$E$3:$E$2002,0)),"")</f>
        <v/>
      </c>
      <c r="L1390" s="81">
        <f>IF(OR($J1390="",$K1390=""),"",IFERROR(INDEX(設定!$F$6:$F$18,MATCH($G1390,設定!$B$6:$B$18,0)),0))</f>
        <v/>
      </c>
      <c r="M1390" s="82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1">
        <f>IF(OR($C1390="",$H1390="",$J1390=""),0,IF(ROUND(($J1390-$H1390)*1440,0)&gt;設定!$C$42,ROUND(($J1390-$H1390)*1440,0),0))</f>
        <v/>
      </c>
      <c r="P1390" s="81">
        <f>IF(OR($C1390="",$I1390="",$K1390=""),0,IF(ROUND(($I1390-$K1390)*1440,0)&gt;設定!$C$42,ROUND(($I1390-$K1390)*1440,0),0))</f>
        <v/>
      </c>
      <c r="Q1390" s="82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79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0">
        <f>IF($G1391="","",IFERROR(INDEX(設定!$D$6:$D$18,MATCH($G1391,設定!$B$6:$B$18,0)),""))</f>
        <v/>
      </c>
      <c r="I1391" s="80">
        <f>IF($G1391="","",IFERROR(INDEX(設定!$E$6:$E$18,MATCH($G1391,設定!$B$6:$B$18,0)),""))</f>
        <v/>
      </c>
      <c r="J1391" s="80">
        <f>IFERROR(INDEX(打卡匯入!$C$3:$C$2002,MATCH($C1391&amp;"|"&amp;DAY($A1391),打卡匯入!$E$3:$E$2002,0)),"")</f>
        <v/>
      </c>
      <c r="K1391" s="80">
        <f>IFERROR(INDEX(打卡匯入!$D$3:$D$2002,MATCH($C1391&amp;"|"&amp;DAY($A1391),打卡匯入!$E$3:$E$2002,0)),"")</f>
        <v/>
      </c>
      <c r="L1391" s="81">
        <f>IF(OR($J1391="",$K1391=""),"",IFERROR(INDEX(設定!$F$6:$F$18,MATCH($G1391,設定!$B$6:$B$18,0)),0))</f>
        <v/>
      </c>
      <c r="M1391" s="82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1">
        <f>IF(OR($C1391="",$H1391="",$J1391=""),0,IF(ROUND(($J1391-$H1391)*1440,0)&gt;設定!$C$42,ROUND(($J1391-$H1391)*1440,0),0))</f>
        <v/>
      </c>
      <c r="P1391" s="81">
        <f>IF(OR($C1391="",$I1391="",$K1391=""),0,IF(ROUND(($I1391-$K1391)*1440,0)&gt;設定!$C$42,ROUND(($I1391-$K1391)*1440,0),0))</f>
        <v/>
      </c>
      <c r="Q1391" s="82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79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0">
        <f>IF($G1392="","",IFERROR(INDEX(設定!$D$6:$D$18,MATCH($G1392,設定!$B$6:$B$18,0)),""))</f>
        <v/>
      </c>
      <c r="I1392" s="80">
        <f>IF($G1392="","",IFERROR(INDEX(設定!$E$6:$E$18,MATCH($G1392,設定!$B$6:$B$18,0)),""))</f>
        <v/>
      </c>
      <c r="J1392" s="80">
        <f>IFERROR(INDEX(打卡匯入!$C$3:$C$2002,MATCH($C1392&amp;"|"&amp;DAY($A1392),打卡匯入!$E$3:$E$2002,0)),"")</f>
        <v/>
      </c>
      <c r="K1392" s="80">
        <f>IFERROR(INDEX(打卡匯入!$D$3:$D$2002,MATCH($C1392&amp;"|"&amp;DAY($A1392),打卡匯入!$E$3:$E$2002,0)),"")</f>
        <v/>
      </c>
      <c r="L1392" s="81">
        <f>IF(OR($J1392="",$K1392=""),"",IFERROR(INDEX(設定!$F$6:$F$18,MATCH($G1392,設定!$B$6:$B$18,0)),0))</f>
        <v/>
      </c>
      <c r="M1392" s="82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1">
        <f>IF(OR($C1392="",$H1392="",$J1392=""),0,IF(ROUND(($J1392-$H1392)*1440,0)&gt;設定!$C$42,ROUND(($J1392-$H1392)*1440,0),0))</f>
        <v/>
      </c>
      <c r="P1392" s="81">
        <f>IF(OR($C1392="",$I1392="",$K1392=""),0,IF(ROUND(($I1392-$K1392)*1440,0)&gt;設定!$C$42,ROUND(($I1392-$K1392)*1440,0),0))</f>
        <v/>
      </c>
      <c r="Q1392" s="82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79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0">
        <f>IF($G1393="","",IFERROR(INDEX(設定!$D$6:$D$18,MATCH($G1393,設定!$B$6:$B$18,0)),""))</f>
        <v/>
      </c>
      <c r="I1393" s="80">
        <f>IF($G1393="","",IFERROR(INDEX(設定!$E$6:$E$18,MATCH($G1393,設定!$B$6:$B$18,0)),""))</f>
        <v/>
      </c>
      <c r="J1393" s="80">
        <f>IFERROR(INDEX(打卡匯入!$C$3:$C$2002,MATCH($C1393&amp;"|"&amp;DAY($A1393),打卡匯入!$E$3:$E$2002,0)),"")</f>
        <v/>
      </c>
      <c r="K1393" s="80">
        <f>IFERROR(INDEX(打卡匯入!$D$3:$D$2002,MATCH($C1393&amp;"|"&amp;DAY($A1393),打卡匯入!$E$3:$E$2002,0)),"")</f>
        <v/>
      </c>
      <c r="L1393" s="81">
        <f>IF(OR($J1393="",$K1393=""),"",IFERROR(INDEX(設定!$F$6:$F$18,MATCH($G1393,設定!$B$6:$B$18,0)),0))</f>
        <v/>
      </c>
      <c r="M1393" s="82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1">
        <f>IF(OR($C1393="",$H1393="",$J1393=""),0,IF(ROUND(($J1393-$H1393)*1440,0)&gt;設定!$C$42,ROUND(($J1393-$H1393)*1440,0),0))</f>
        <v/>
      </c>
      <c r="P1393" s="81">
        <f>IF(OR($C1393="",$I1393="",$K1393=""),0,IF(ROUND(($I1393-$K1393)*1440,0)&gt;設定!$C$42,ROUND(($I1393-$K1393)*1440,0),0))</f>
        <v/>
      </c>
      <c r="Q1393" s="82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79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0">
        <f>IF($G1394="","",IFERROR(INDEX(設定!$D$6:$D$18,MATCH($G1394,設定!$B$6:$B$18,0)),""))</f>
        <v/>
      </c>
      <c r="I1394" s="80">
        <f>IF($G1394="","",IFERROR(INDEX(設定!$E$6:$E$18,MATCH($G1394,設定!$B$6:$B$18,0)),""))</f>
        <v/>
      </c>
      <c r="J1394" s="80">
        <f>IFERROR(INDEX(打卡匯入!$C$3:$C$2002,MATCH($C1394&amp;"|"&amp;DAY($A1394),打卡匯入!$E$3:$E$2002,0)),"")</f>
        <v/>
      </c>
      <c r="K1394" s="80">
        <f>IFERROR(INDEX(打卡匯入!$D$3:$D$2002,MATCH($C1394&amp;"|"&amp;DAY($A1394),打卡匯入!$E$3:$E$2002,0)),"")</f>
        <v/>
      </c>
      <c r="L1394" s="81">
        <f>IF(OR($J1394="",$K1394=""),"",IFERROR(INDEX(設定!$F$6:$F$18,MATCH($G1394,設定!$B$6:$B$18,0)),0))</f>
        <v/>
      </c>
      <c r="M1394" s="82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1">
        <f>IF(OR($C1394="",$H1394="",$J1394=""),0,IF(ROUND(($J1394-$H1394)*1440,0)&gt;設定!$C$42,ROUND(($J1394-$H1394)*1440,0),0))</f>
        <v/>
      </c>
      <c r="P1394" s="81">
        <f>IF(OR($C1394="",$I1394="",$K1394=""),0,IF(ROUND(($I1394-$K1394)*1440,0)&gt;設定!$C$42,ROUND(($I1394-$K1394)*1440,0),0))</f>
        <v/>
      </c>
      <c r="Q1394" s="82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79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0">
        <f>IF($G1395="","",IFERROR(INDEX(設定!$D$6:$D$18,MATCH($G1395,設定!$B$6:$B$18,0)),""))</f>
        <v/>
      </c>
      <c r="I1395" s="80">
        <f>IF($G1395="","",IFERROR(INDEX(設定!$E$6:$E$18,MATCH($G1395,設定!$B$6:$B$18,0)),""))</f>
        <v/>
      </c>
      <c r="J1395" s="80">
        <f>IFERROR(INDEX(打卡匯入!$C$3:$C$2002,MATCH($C1395&amp;"|"&amp;DAY($A1395),打卡匯入!$E$3:$E$2002,0)),"")</f>
        <v/>
      </c>
      <c r="K1395" s="80">
        <f>IFERROR(INDEX(打卡匯入!$D$3:$D$2002,MATCH($C1395&amp;"|"&amp;DAY($A1395),打卡匯入!$E$3:$E$2002,0)),"")</f>
        <v/>
      </c>
      <c r="L1395" s="81">
        <f>IF(OR($J1395="",$K1395=""),"",IFERROR(INDEX(設定!$F$6:$F$18,MATCH($G1395,設定!$B$6:$B$18,0)),0))</f>
        <v/>
      </c>
      <c r="M1395" s="82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1">
        <f>IF(OR($C1395="",$H1395="",$J1395=""),0,IF(ROUND(($J1395-$H1395)*1440,0)&gt;設定!$C$42,ROUND(($J1395-$H1395)*1440,0),0))</f>
        <v/>
      </c>
      <c r="P1395" s="81">
        <f>IF(OR($C1395="",$I1395="",$K1395=""),0,IF(ROUND(($I1395-$K1395)*1440,0)&gt;設定!$C$42,ROUND(($I1395-$K1395)*1440,0),0))</f>
        <v/>
      </c>
      <c r="Q1395" s="82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79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0">
        <f>IF($G1396="","",IFERROR(INDEX(設定!$D$6:$D$18,MATCH($G1396,設定!$B$6:$B$18,0)),""))</f>
        <v/>
      </c>
      <c r="I1396" s="80">
        <f>IF($G1396="","",IFERROR(INDEX(設定!$E$6:$E$18,MATCH($G1396,設定!$B$6:$B$18,0)),""))</f>
        <v/>
      </c>
      <c r="J1396" s="80">
        <f>IFERROR(INDEX(打卡匯入!$C$3:$C$2002,MATCH($C1396&amp;"|"&amp;DAY($A1396),打卡匯入!$E$3:$E$2002,0)),"")</f>
        <v/>
      </c>
      <c r="K1396" s="80">
        <f>IFERROR(INDEX(打卡匯入!$D$3:$D$2002,MATCH($C1396&amp;"|"&amp;DAY($A1396),打卡匯入!$E$3:$E$2002,0)),"")</f>
        <v/>
      </c>
      <c r="L1396" s="81">
        <f>IF(OR($J1396="",$K1396=""),"",IFERROR(INDEX(設定!$F$6:$F$18,MATCH($G1396,設定!$B$6:$B$18,0)),0))</f>
        <v/>
      </c>
      <c r="M1396" s="82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1">
        <f>IF(OR($C1396="",$H1396="",$J1396=""),0,IF(ROUND(($J1396-$H1396)*1440,0)&gt;設定!$C$42,ROUND(($J1396-$H1396)*1440,0),0))</f>
        <v/>
      </c>
      <c r="P1396" s="81">
        <f>IF(OR($C1396="",$I1396="",$K1396=""),0,IF(ROUND(($I1396-$K1396)*1440,0)&gt;設定!$C$42,ROUND(($I1396-$K1396)*1440,0),0))</f>
        <v/>
      </c>
      <c r="Q1396" s="82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79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0">
        <f>IF($G1397="","",IFERROR(INDEX(設定!$D$6:$D$18,MATCH($G1397,設定!$B$6:$B$18,0)),""))</f>
        <v/>
      </c>
      <c r="I1397" s="80">
        <f>IF($G1397="","",IFERROR(INDEX(設定!$E$6:$E$18,MATCH($G1397,設定!$B$6:$B$18,0)),""))</f>
        <v/>
      </c>
      <c r="J1397" s="80">
        <f>IFERROR(INDEX(打卡匯入!$C$3:$C$2002,MATCH($C1397&amp;"|"&amp;DAY($A1397),打卡匯入!$E$3:$E$2002,0)),"")</f>
        <v/>
      </c>
      <c r="K1397" s="80">
        <f>IFERROR(INDEX(打卡匯入!$D$3:$D$2002,MATCH($C1397&amp;"|"&amp;DAY($A1397),打卡匯入!$E$3:$E$2002,0)),"")</f>
        <v/>
      </c>
      <c r="L1397" s="81">
        <f>IF(OR($J1397="",$K1397=""),"",IFERROR(INDEX(設定!$F$6:$F$18,MATCH($G1397,設定!$B$6:$B$18,0)),0))</f>
        <v/>
      </c>
      <c r="M1397" s="82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1">
        <f>IF(OR($C1397="",$H1397="",$J1397=""),0,IF(ROUND(($J1397-$H1397)*1440,0)&gt;設定!$C$42,ROUND(($J1397-$H1397)*1440,0),0))</f>
        <v/>
      </c>
      <c r="P1397" s="81">
        <f>IF(OR($C1397="",$I1397="",$K1397=""),0,IF(ROUND(($I1397-$K1397)*1440,0)&gt;設定!$C$42,ROUND(($I1397-$K1397)*1440,0),0))</f>
        <v/>
      </c>
      <c r="Q1397" s="82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79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0">
        <f>IF($G1398="","",IFERROR(INDEX(設定!$D$6:$D$18,MATCH($G1398,設定!$B$6:$B$18,0)),""))</f>
        <v/>
      </c>
      <c r="I1398" s="80">
        <f>IF($G1398="","",IFERROR(INDEX(設定!$E$6:$E$18,MATCH($G1398,設定!$B$6:$B$18,0)),""))</f>
        <v/>
      </c>
      <c r="J1398" s="80">
        <f>IFERROR(INDEX(打卡匯入!$C$3:$C$2002,MATCH($C1398&amp;"|"&amp;DAY($A1398),打卡匯入!$E$3:$E$2002,0)),"")</f>
        <v/>
      </c>
      <c r="K1398" s="80">
        <f>IFERROR(INDEX(打卡匯入!$D$3:$D$2002,MATCH($C1398&amp;"|"&amp;DAY($A1398),打卡匯入!$E$3:$E$2002,0)),"")</f>
        <v/>
      </c>
      <c r="L1398" s="81">
        <f>IF(OR($J1398="",$K1398=""),"",IFERROR(INDEX(設定!$F$6:$F$18,MATCH($G1398,設定!$B$6:$B$18,0)),0))</f>
        <v/>
      </c>
      <c r="M1398" s="82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1">
        <f>IF(OR($C1398="",$H1398="",$J1398=""),0,IF(ROUND(($J1398-$H1398)*1440,0)&gt;設定!$C$42,ROUND(($J1398-$H1398)*1440,0),0))</f>
        <v/>
      </c>
      <c r="P1398" s="81">
        <f>IF(OR($C1398="",$I1398="",$K1398=""),0,IF(ROUND(($I1398-$K1398)*1440,0)&gt;設定!$C$42,ROUND(($I1398-$K1398)*1440,0),0))</f>
        <v/>
      </c>
      <c r="Q1398" s="82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79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0">
        <f>IF($G1399="","",IFERROR(INDEX(設定!$D$6:$D$18,MATCH($G1399,設定!$B$6:$B$18,0)),""))</f>
        <v/>
      </c>
      <c r="I1399" s="80">
        <f>IF($G1399="","",IFERROR(INDEX(設定!$E$6:$E$18,MATCH($G1399,設定!$B$6:$B$18,0)),""))</f>
        <v/>
      </c>
      <c r="J1399" s="80">
        <f>IFERROR(INDEX(打卡匯入!$C$3:$C$2002,MATCH($C1399&amp;"|"&amp;DAY($A1399),打卡匯入!$E$3:$E$2002,0)),"")</f>
        <v/>
      </c>
      <c r="K1399" s="80">
        <f>IFERROR(INDEX(打卡匯入!$D$3:$D$2002,MATCH($C1399&amp;"|"&amp;DAY($A1399),打卡匯入!$E$3:$E$2002,0)),"")</f>
        <v/>
      </c>
      <c r="L1399" s="81">
        <f>IF(OR($J1399="",$K1399=""),"",IFERROR(INDEX(設定!$F$6:$F$18,MATCH($G1399,設定!$B$6:$B$18,0)),0))</f>
        <v/>
      </c>
      <c r="M1399" s="82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1">
        <f>IF(OR($C1399="",$H1399="",$J1399=""),0,IF(ROUND(($J1399-$H1399)*1440,0)&gt;設定!$C$42,ROUND(($J1399-$H1399)*1440,0),0))</f>
        <v/>
      </c>
      <c r="P1399" s="81">
        <f>IF(OR($C1399="",$I1399="",$K1399=""),0,IF(ROUND(($I1399-$K1399)*1440,0)&gt;設定!$C$42,ROUND(($I1399-$K1399)*1440,0),0))</f>
        <v/>
      </c>
      <c r="Q1399" s="82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79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0">
        <f>IF($G1400="","",IFERROR(INDEX(設定!$D$6:$D$18,MATCH($G1400,設定!$B$6:$B$18,0)),""))</f>
        <v/>
      </c>
      <c r="I1400" s="80">
        <f>IF($G1400="","",IFERROR(INDEX(設定!$E$6:$E$18,MATCH($G1400,設定!$B$6:$B$18,0)),""))</f>
        <v/>
      </c>
      <c r="J1400" s="80">
        <f>IFERROR(INDEX(打卡匯入!$C$3:$C$2002,MATCH($C1400&amp;"|"&amp;DAY($A1400),打卡匯入!$E$3:$E$2002,0)),"")</f>
        <v/>
      </c>
      <c r="K1400" s="80">
        <f>IFERROR(INDEX(打卡匯入!$D$3:$D$2002,MATCH($C1400&amp;"|"&amp;DAY($A1400),打卡匯入!$E$3:$E$2002,0)),"")</f>
        <v/>
      </c>
      <c r="L1400" s="81">
        <f>IF(OR($J1400="",$K1400=""),"",IFERROR(INDEX(設定!$F$6:$F$18,MATCH($G1400,設定!$B$6:$B$18,0)),0))</f>
        <v/>
      </c>
      <c r="M1400" s="82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1">
        <f>IF(OR($C1400="",$H1400="",$J1400=""),0,IF(ROUND(($J1400-$H1400)*1440,0)&gt;設定!$C$42,ROUND(($J1400-$H1400)*1440,0),0))</f>
        <v/>
      </c>
      <c r="P1400" s="81">
        <f>IF(OR($C1400="",$I1400="",$K1400=""),0,IF(ROUND(($I1400-$K1400)*1440,0)&gt;設定!$C$42,ROUND(($I1400-$K1400)*1440,0),0))</f>
        <v/>
      </c>
      <c r="Q1400" s="82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79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0">
        <f>IF($G1401="","",IFERROR(INDEX(設定!$D$6:$D$18,MATCH($G1401,設定!$B$6:$B$18,0)),""))</f>
        <v/>
      </c>
      <c r="I1401" s="80">
        <f>IF($G1401="","",IFERROR(INDEX(設定!$E$6:$E$18,MATCH($G1401,設定!$B$6:$B$18,0)),""))</f>
        <v/>
      </c>
      <c r="J1401" s="80">
        <f>IFERROR(INDEX(打卡匯入!$C$3:$C$2002,MATCH($C1401&amp;"|"&amp;DAY($A1401),打卡匯入!$E$3:$E$2002,0)),"")</f>
        <v/>
      </c>
      <c r="K1401" s="80">
        <f>IFERROR(INDEX(打卡匯入!$D$3:$D$2002,MATCH($C1401&amp;"|"&amp;DAY($A1401),打卡匯入!$E$3:$E$2002,0)),"")</f>
        <v/>
      </c>
      <c r="L1401" s="81">
        <f>IF(OR($J1401="",$K1401=""),"",IFERROR(INDEX(設定!$F$6:$F$18,MATCH($G1401,設定!$B$6:$B$18,0)),0))</f>
        <v/>
      </c>
      <c r="M1401" s="82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1">
        <f>IF(OR($C1401="",$H1401="",$J1401=""),0,IF(ROUND(($J1401-$H1401)*1440,0)&gt;設定!$C$42,ROUND(($J1401-$H1401)*1440,0),0))</f>
        <v/>
      </c>
      <c r="P1401" s="81">
        <f>IF(OR($C1401="",$I1401="",$K1401=""),0,IF(ROUND(($I1401-$K1401)*1440,0)&gt;設定!$C$42,ROUND(($I1401-$K1401)*1440,0),0))</f>
        <v/>
      </c>
      <c r="Q1401" s="82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79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0">
        <f>IF($G1402="","",IFERROR(INDEX(設定!$D$6:$D$18,MATCH($G1402,設定!$B$6:$B$18,0)),""))</f>
        <v/>
      </c>
      <c r="I1402" s="80">
        <f>IF($G1402="","",IFERROR(INDEX(設定!$E$6:$E$18,MATCH($G1402,設定!$B$6:$B$18,0)),""))</f>
        <v/>
      </c>
      <c r="J1402" s="80">
        <f>IFERROR(INDEX(打卡匯入!$C$3:$C$2002,MATCH($C1402&amp;"|"&amp;DAY($A1402),打卡匯入!$E$3:$E$2002,0)),"")</f>
        <v/>
      </c>
      <c r="K1402" s="80">
        <f>IFERROR(INDEX(打卡匯入!$D$3:$D$2002,MATCH($C1402&amp;"|"&amp;DAY($A1402),打卡匯入!$E$3:$E$2002,0)),"")</f>
        <v/>
      </c>
      <c r="L1402" s="81">
        <f>IF(OR($J1402="",$K1402=""),"",IFERROR(INDEX(設定!$F$6:$F$18,MATCH($G1402,設定!$B$6:$B$18,0)),0))</f>
        <v/>
      </c>
      <c r="M1402" s="82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1">
        <f>IF(OR($C1402="",$H1402="",$J1402=""),0,IF(ROUND(($J1402-$H1402)*1440,0)&gt;設定!$C$42,ROUND(($J1402-$H1402)*1440,0),0))</f>
        <v/>
      </c>
      <c r="P1402" s="81">
        <f>IF(OR($C1402="",$I1402="",$K1402=""),0,IF(ROUND(($I1402-$K1402)*1440,0)&gt;設定!$C$42,ROUND(($I1402-$K1402)*1440,0),0))</f>
        <v/>
      </c>
      <c r="Q1402" s="82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79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0">
        <f>IF($G1403="","",IFERROR(INDEX(設定!$D$6:$D$18,MATCH($G1403,設定!$B$6:$B$18,0)),""))</f>
        <v/>
      </c>
      <c r="I1403" s="80">
        <f>IF($G1403="","",IFERROR(INDEX(設定!$E$6:$E$18,MATCH($G1403,設定!$B$6:$B$18,0)),""))</f>
        <v/>
      </c>
      <c r="J1403" s="80">
        <f>IFERROR(INDEX(打卡匯入!$C$3:$C$2002,MATCH($C1403&amp;"|"&amp;DAY($A1403),打卡匯入!$E$3:$E$2002,0)),"")</f>
        <v/>
      </c>
      <c r="K1403" s="80">
        <f>IFERROR(INDEX(打卡匯入!$D$3:$D$2002,MATCH($C1403&amp;"|"&amp;DAY($A1403),打卡匯入!$E$3:$E$2002,0)),"")</f>
        <v/>
      </c>
      <c r="L1403" s="81">
        <f>IF(OR($J1403="",$K1403=""),"",IFERROR(INDEX(設定!$F$6:$F$18,MATCH($G1403,設定!$B$6:$B$18,0)),0))</f>
        <v/>
      </c>
      <c r="M1403" s="82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1">
        <f>IF(OR($C1403="",$H1403="",$J1403=""),0,IF(ROUND(($J1403-$H1403)*1440,0)&gt;設定!$C$42,ROUND(($J1403-$H1403)*1440,0),0))</f>
        <v/>
      </c>
      <c r="P1403" s="81">
        <f>IF(OR($C1403="",$I1403="",$K1403=""),0,IF(ROUND(($I1403-$K1403)*1440,0)&gt;設定!$C$42,ROUND(($I1403-$K1403)*1440,0),0))</f>
        <v/>
      </c>
      <c r="Q1403" s="82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79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0">
        <f>IF($G1404="","",IFERROR(INDEX(設定!$D$6:$D$18,MATCH($G1404,設定!$B$6:$B$18,0)),""))</f>
        <v/>
      </c>
      <c r="I1404" s="80">
        <f>IF($G1404="","",IFERROR(INDEX(設定!$E$6:$E$18,MATCH($G1404,設定!$B$6:$B$18,0)),""))</f>
        <v/>
      </c>
      <c r="J1404" s="80">
        <f>IFERROR(INDEX(打卡匯入!$C$3:$C$2002,MATCH($C1404&amp;"|"&amp;DAY($A1404),打卡匯入!$E$3:$E$2002,0)),"")</f>
        <v/>
      </c>
      <c r="K1404" s="80">
        <f>IFERROR(INDEX(打卡匯入!$D$3:$D$2002,MATCH($C1404&amp;"|"&amp;DAY($A1404),打卡匯入!$E$3:$E$2002,0)),"")</f>
        <v/>
      </c>
      <c r="L1404" s="81">
        <f>IF(OR($J1404="",$K1404=""),"",IFERROR(INDEX(設定!$F$6:$F$18,MATCH($G1404,設定!$B$6:$B$18,0)),0))</f>
        <v/>
      </c>
      <c r="M1404" s="82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1">
        <f>IF(OR($C1404="",$H1404="",$J1404=""),0,IF(ROUND(($J1404-$H1404)*1440,0)&gt;設定!$C$42,ROUND(($J1404-$H1404)*1440,0),0))</f>
        <v/>
      </c>
      <c r="P1404" s="81">
        <f>IF(OR($C1404="",$I1404="",$K1404=""),0,IF(ROUND(($I1404-$K1404)*1440,0)&gt;設定!$C$42,ROUND(($I1404-$K1404)*1440,0),0))</f>
        <v/>
      </c>
      <c r="Q1404" s="82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79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0">
        <f>IF($G1405="","",IFERROR(INDEX(設定!$D$6:$D$18,MATCH($G1405,設定!$B$6:$B$18,0)),""))</f>
        <v/>
      </c>
      <c r="I1405" s="80">
        <f>IF($G1405="","",IFERROR(INDEX(設定!$E$6:$E$18,MATCH($G1405,設定!$B$6:$B$18,0)),""))</f>
        <v/>
      </c>
      <c r="J1405" s="80">
        <f>IFERROR(INDEX(打卡匯入!$C$3:$C$2002,MATCH($C1405&amp;"|"&amp;DAY($A1405),打卡匯入!$E$3:$E$2002,0)),"")</f>
        <v/>
      </c>
      <c r="K1405" s="80">
        <f>IFERROR(INDEX(打卡匯入!$D$3:$D$2002,MATCH($C1405&amp;"|"&amp;DAY($A1405),打卡匯入!$E$3:$E$2002,0)),"")</f>
        <v/>
      </c>
      <c r="L1405" s="81">
        <f>IF(OR($J1405="",$K1405=""),"",IFERROR(INDEX(設定!$F$6:$F$18,MATCH($G1405,設定!$B$6:$B$18,0)),0))</f>
        <v/>
      </c>
      <c r="M1405" s="82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1">
        <f>IF(OR($C1405="",$H1405="",$J1405=""),0,IF(ROUND(($J1405-$H1405)*1440,0)&gt;設定!$C$42,ROUND(($J1405-$H1405)*1440,0),0))</f>
        <v/>
      </c>
      <c r="P1405" s="81">
        <f>IF(OR($C1405="",$I1405="",$K1405=""),0,IF(ROUND(($I1405-$K1405)*1440,0)&gt;設定!$C$42,ROUND(($I1405-$K1405)*1440,0),0))</f>
        <v/>
      </c>
      <c r="Q1405" s="82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79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0">
        <f>IF($G1406="","",IFERROR(INDEX(設定!$D$6:$D$18,MATCH($G1406,設定!$B$6:$B$18,0)),""))</f>
        <v/>
      </c>
      <c r="I1406" s="80">
        <f>IF($G1406="","",IFERROR(INDEX(設定!$E$6:$E$18,MATCH($G1406,設定!$B$6:$B$18,0)),""))</f>
        <v/>
      </c>
      <c r="J1406" s="80">
        <f>IFERROR(INDEX(打卡匯入!$C$3:$C$2002,MATCH($C1406&amp;"|"&amp;DAY($A1406),打卡匯入!$E$3:$E$2002,0)),"")</f>
        <v/>
      </c>
      <c r="K1406" s="80">
        <f>IFERROR(INDEX(打卡匯入!$D$3:$D$2002,MATCH($C1406&amp;"|"&amp;DAY($A1406),打卡匯入!$E$3:$E$2002,0)),"")</f>
        <v/>
      </c>
      <c r="L1406" s="81">
        <f>IF(OR($J1406="",$K1406=""),"",IFERROR(INDEX(設定!$F$6:$F$18,MATCH($G1406,設定!$B$6:$B$18,0)),0))</f>
        <v/>
      </c>
      <c r="M1406" s="82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1">
        <f>IF(OR($C1406="",$H1406="",$J1406=""),0,IF(ROUND(($J1406-$H1406)*1440,0)&gt;設定!$C$42,ROUND(($J1406-$H1406)*1440,0),0))</f>
        <v/>
      </c>
      <c r="P1406" s="81">
        <f>IF(OR($C1406="",$I1406="",$K1406=""),0,IF(ROUND(($I1406-$K1406)*1440,0)&gt;設定!$C$42,ROUND(($I1406-$K1406)*1440,0),0))</f>
        <v/>
      </c>
      <c r="Q1406" s="82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79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0">
        <f>IF($G1407="","",IFERROR(INDEX(設定!$D$6:$D$18,MATCH($G1407,設定!$B$6:$B$18,0)),""))</f>
        <v/>
      </c>
      <c r="I1407" s="80">
        <f>IF($G1407="","",IFERROR(INDEX(設定!$E$6:$E$18,MATCH($G1407,設定!$B$6:$B$18,0)),""))</f>
        <v/>
      </c>
      <c r="J1407" s="80">
        <f>IFERROR(INDEX(打卡匯入!$C$3:$C$2002,MATCH($C1407&amp;"|"&amp;DAY($A1407),打卡匯入!$E$3:$E$2002,0)),"")</f>
        <v/>
      </c>
      <c r="K1407" s="80">
        <f>IFERROR(INDEX(打卡匯入!$D$3:$D$2002,MATCH($C1407&amp;"|"&amp;DAY($A1407),打卡匯入!$E$3:$E$2002,0)),"")</f>
        <v/>
      </c>
      <c r="L1407" s="81">
        <f>IF(OR($J1407="",$K1407=""),"",IFERROR(INDEX(設定!$F$6:$F$18,MATCH($G1407,設定!$B$6:$B$18,0)),0))</f>
        <v/>
      </c>
      <c r="M1407" s="82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1">
        <f>IF(OR($C1407="",$H1407="",$J1407=""),0,IF(ROUND(($J1407-$H1407)*1440,0)&gt;設定!$C$42,ROUND(($J1407-$H1407)*1440,0),0))</f>
        <v/>
      </c>
      <c r="P1407" s="81">
        <f>IF(OR($C1407="",$I1407="",$K1407=""),0,IF(ROUND(($I1407-$K1407)*1440,0)&gt;設定!$C$42,ROUND(($I1407-$K1407)*1440,0),0))</f>
        <v/>
      </c>
      <c r="Q1407" s="82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79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0">
        <f>IF($G1408="","",IFERROR(INDEX(設定!$D$6:$D$18,MATCH($G1408,設定!$B$6:$B$18,0)),""))</f>
        <v/>
      </c>
      <c r="I1408" s="80">
        <f>IF($G1408="","",IFERROR(INDEX(設定!$E$6:$E$18,MATCH($G1408,設定!$B$6:$B$18,0)),""))</f>
        <v/>
      </c>
      <c r="J1408" s="80">
        <f>IFERROR(INDEX(打卡匯入!$C$3:$C$2002,MATCH($C1408&amp;"|"&amp;DAY($A1408),打卡匯入!$E$3:$E$2002,0)),"")</f>
        <v/>
      </c>
      <c r="K1408" s="80">
        <f>IFERROR(INDEX(打卡匯入!$D$3:$D$2002,MATCH($C1408&amp;"|"&amp;DAY($A1408),打卡匯入!$E$3:$E$2002,0)),"")</f>
        <v/>
      </c>
      <c r="L1408" s="81">
        <f>IF(OR($J1408="",$K1408=""),"",IFERROR(INDEX(設定!$F$6:$F$18,MATCH($G1408,設定!$B$6:$B$18,0)),0))</f>
        <v/>
      </c>
      <c r="M1408" s="82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1">
        <f>IF(OR($C1408="",$H1408="",$J1408=""),0,IF(ROUND(($J1408-$H1408)*1440,0)&gt;設定!$C$42,ROUND(($J1408-$H1408)*1440,0),0))</f>
        <v/>
      </c>
      <c r="P1408" s="81">
        <f>IF(OR($C1408="",$I1408="",$K1408=""),0,IF(ROUND(($I1408-$K1408)*1440,0)&gt;設定!$C$42,ROUND(($I1408-$K1408)*1440,0),0))</f>
        <v/>
      </c>
      <c r="Q1408" s="82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79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0">
        <f>IF($G1409="","",IFERROR(INDEX(設定!$D$6:$D$18,MATCH($G1409,設定!$B$6:$B$18,0)),""))</f>
        <v/>
      </c>
      <c r="I1409" s="80">
        <f>IF($G1409="","",IFERROR(INDEX(設定!$E$6:$E$18,MATCH($G1409,設定!$B$6:$B$18,0)),""))</f>
        <v/>
      </c>
      <c r="J1409" s="80">
        <f>IFERROR(INDEX(打卡匯入!$C$3:$C$2002,MATCH($C1409&amp;"|"&amp;DAY($A1409),打卡匯入!$E$3:$E$2002,0)),"")</f>
        <v/>
      </c>
      <c r="K1409" s="80">
        <f>IFERROR(INDEX(打卡匯入!$D$3:$D$2002,MATCH($C1409&amp;"|"&amp;DAY($A1409),打卡匯入!$E$3:$E$2002,0)),"")</f>
        <v/>
      </c>
      <c r="L1409" s="81">
        <f>IF(OR($J1409="",$K1409=""),"",IFERROR(INDEX(設定!$F$6:$F$18,MATCH($G1409,設定!$B$6:$B$18,0)),0))</f>
        <v/>
      </c>
      <c r="M1409" s="82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1">
        <f>IF(OR($C1409="",$H1409="",$J1409=""),0,IF(ROUND(($J1409-$H1409)*1440,0)&gt;設定!$C$42,ROUND(($J1409-$H1409)*1440,0),0))</f>
        <v/>
      </c>
      <c r="P1409" s="81">
        <f>IF(OR($C1409="",$I1409="",$K1409=""),0,IF(ROUND(($I1409-$K1409)*1440,0)&gt;設定!$C$42,ROUND(($I1409-$K1409)*1440,0),0))</f>
        <v/>
      </c>
      <c r="Q1409" s="82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79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0">
        <f>IF($G1410="","",IFERROR(INDEX(設定!$D$6:$D$18,MATCH($G1410,設定!$B$6:$B$18,0)),""))</f>
        <v/>
      </c>
      <c r="I1410" s="80">
        <f>IF($G1410="","",IFERROR(INDEX(設定!$E$6:$E$18,MATCH($G1410,設定!$B$6:$B$18,0)),""))</f>
        <v/>
      </c>
      <c r="J1410" s="80">
        <f>IFERROR(INDEX(打卡匯入!$C$3:$C$2002,MATCH($C1410&amp;"|"&amp;DAY($A1410),打卡匯入!$E$3:$E$2002,0)),"")</f>
        <v/>
      </c>
      <c r="K1410" s="80">
        <f>IFERROR(INDEX(打卡匯入!$D$3:$D$2002,MATCH($C1410&amp;"|"&amp;DAY($A1410),打卡匯入!$E$3:$E$2002,0)),"")</f>
        <v/>
      </c>
      <c r="L1410" s="81">
        <f>IF(OR($J1410="",$K1410=""),"",IFERROR(INDEX(設定!$F$6:$F$18,MATCH($G1410,設定!$B$6:$B$18,0)),0))</f>
        <v/>
      </c>
      <c r="M1410" s="82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1">
        <f>IF(OR($C1410="",$H1410="",$J1410=""),0,IF(ROUND(($J1410-$H1410)*1440,0)&gt;設定!$C$42,ROUND(($J1410-$H1410)*1440,0),0))</f>
        <v/>
      </c>
      <c r="P1410" s="81">
        <f>IF(OR($C1410="",$I1410="",$K1410=""),0,IF(ROUND(($I1410-$K1410)*1440,0)&gt;設定!$C$42,ROUND(($I1410-$K1410)*1440,0),0))</f>
        <v/>
      </c>
      <c r="Q1410" s="82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79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0">
        <f>IF($G1411="","",IFERROR(INDEX(設定!$D$6:$D$18,MATCH($G1411,設定!$B$6:$B$18,0)),""))</f>
        <v/>
      </c>
      <c r="I1411" s="80">
        <f>IF($G1411="","",IFERROR(INDEX(設定!$E$6:$E$18,MATCH($G1411,設定!$B$6:$B$18,0)),""))</f>
        <v/>
      </c>
      <c r="J1411" s="80">
        <f>IFERROR(INDEX(打卡匯入!$C$3:$C$2002,MATCH($C1411&amp;"|"&amp;DAY($A1411),打卡匯入!$E$3:$E$2002,0)),"")</f>
        <v/>
      </c>
      <c r="K1411" s="80">
        <f>IFERROR(INDEX(打卡匯入!$D$3:$D$2002,MATCH($C1411&amp;"|"&amp;DAY($A1411),打卡匯入!$E$3:$E$2002,0)),"")</f>
        <v/>
      </c>
      <c r="L1411" s="81">
        <f>IF(OR($J1411="",$K1411=""),"",IFERROR(INDEX(設定!$F$6:$F$18,MATCH($G1411,設定!$B$6:$B$18,0)),0))</f>
        <v/>
      </c>
      <c r="M1411" s="82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1">
        <f>IF(OR($C1411="",$H1411="",$J1411=""),0,IF(ROUND(($J1411-$H1411)*1440,0)&gt;設定!$C$42,ROUND(($J1411-$H1411)*1440,0),0))</f>
        <v/>
      </c>
      <c r="P1411" s="81">
        <f>IF(OR($C1411="",$I1411="",$K1411=""),0,IF(ROUND(($I1411-$K1411)*1440,0)&gt;設定!$C$42,ROUND(($I1411-$K1411)*1440,0),0))</f>
        <v/>
      </c>
      <c r="Q1411" s="82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79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0">
        <f>IF($G1412="","",IFERROR(INDEX(設定!$D$6:$D$18,MATCH($G1412,設定!$B$6:$B$18,0)),""))</f>
        <v/>
      </c>
      <c r="I1412" s="80">
        <f>IF($G1412="","",IFERROR(INDEX(設定!$E$6:$E$18,MATCH($G1412,設定!$B$6:$B$18,0)),""))</f>
        <v/>
      </c>
      <c r="J1412" s="80">
        <f>IFERROR(INDEX(打卡匯入!$C$3:$C$2002,MATCH($C1412&amp;"|"&amp;DAY($A1412),打卡匯入!$E$3:$E$2002,0)),"")</f>
        <v/>
      </c>
      <c r="K1412" s="80">
        <f>IFERROR(INDEX(打卡匯入!$D$3:$D$2002,MATCH($C1412&amp;"|"&amp;DAY($A1412),打卡匯入!$E$3:$E$2002,0)),"")</f>
        <v/>
      </c>
      <c r="L1412" s="81">
        <f>IF(OR($J1412="",$K1412=""),"",IFERROR(INDEX(設定!$F$6:$F$18,MATCH($G1412,設定!$B$6:$B$18,0)),0))</f>
        <v/>
      </c>
      <c r="M1412" s="82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1">
        <f>IF(OR($C1412="",$H1412="",$J1412=""),0,IF(ROUND(($J1412-$H1412)*1440,0)&gt;設定!$C$42,ROUND(($J1412-$H1412)*1440,0),0))</f>
        <v/>
      </c>
      <c r="P1412" s="81">
        <f>IF(OR($C1412="",$I1412="",$K1412=""),0,IF(ROUND(($I1412-$K1412)*1440,0)&gt;設定!$C$42,ROUND(($I1412-$K1412)*1440,0),0))</f>
        <v/>
      </c>
      <c r="Q1412" s="82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79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0">
        <f>IF($G1413="","",IFERROR(INDEX(設定!$D$6:$D$18,MATCH($G1413,設定!$B$6:$B$18,0)),""))</f>
        <v/>
      </c>
      <c r="I1413" s="80">
        <f>IF($G1413="","",IFERROR(INDEX(設定!$E$6:$E$18,MATCH($G1413,設定!$B$6:$B$18,0)),""))</f>
        <v/>
      </c>
      <c r="J1413" s="80">
        <f>IFERROR(INDEX(打卡匯入!$C$3:$C$2002,MATCH($C1413&amp;"|"&amp;DAY($A1413),打卡匯入!$E$3:$E$2002,0)),"")</f>
        <v/>
      </c>
      <c r="K1413" s="80">
        <f>IFERROR(INDEX(打卡匯入!$D$3:$D$2002,MATCH($C1413&amp;"|"&amp;DAY($A1413),打卡匯入!$E$3:$E$2002,0)),"")</f>
        <v/>
      </c>
      <c r="L1413" s="81">
        <f>IF(OR($J1413="",$K1413=""),"",IFERROR(INDEX(設定!$F$6:$F$18,MATCH($G1413,設定!$B$6:$B$18,0)),0))</f>
        <v/>
      </c>
      <c r="M1413" s="82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1">
        <f>IF(OR($C1413="",$H1413="",$J1413=""),0,IF(ROUND(($J1413-$H1413)*1440,0)&gt;設定!$C$42,ROUND(($J1413-$H1413)*1440,0),0))</f>
        <v/>
      </c>
      <c r="P1413" s="81">
        <f>IF(OR($C1413="",$I1413="",$K1413=""),0,IF(ROUND(($I1413-$K1413)*1440,0)&gt;設定!$C$42,ROUND(($I1413-$K1413)*1440,0),0))</f>
        <v/>
      </c>
      <c r="Q1413" s="82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79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0">
        <f>IF($G1414="","",IFERROR(INDEX(設定!$D$6:$D$18,MATCH($G1414,設定!$B$6:$B$18,0)),""))</f>
        <v/>
      </c>
      <c r="I1414" s="80">
        <f>IF($G1414="","",IFERROR(INDEX(設定!$E$6:$E$18,MATCH($G1414,設定!$B$6:$B$18,0)),""))</f>
        <v/>
      </c>
      <c r="J1414" s="80">
        <f>IFERROR(INDEX(打卡匯入!$C$3:$C$2002,MATCH($C1414&amp;"|"&amp;DAY($A1414),打卡匯入!$E$3:$E$2002,0)),"")</f>
        <v/>
      </c>
      <c r="K1414" s="80">
        <f>IFERROR(INDEX(打卡匯入!$D$3:$D$2002,MATCH($C1414&amp;"|"&amp;DAY($A1414),打卡匯入!$E$3:$E$2002,0)),"")</f>
        <v/>
      </c>
      <c r="L1414" s="81">
        <f>IF(OR($J1414="",$K1414=""),"",IFERROR(INDEX(設定!$F$6:$F$18,MATCH($G1414,設定!$B$6:$B$18,0)),0))</f>
        <v/>
      </c>
      <c r="M1414" s="82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1">
        <f>IF(OR($C1414="",$H1414="",$J1414=""),0,IF(ROUND(($J1414-$H1414)*1440,0)&gt;設定!$C$42,ROUND(($J1414-$H1414)*1440,0),0))</f>
        <v/>
      </c>
      <c r="P1414" s="81">
        <f>IF(OR($C1414="",$I1414="",$K1414=""),0,IF(ROUND(($I1414-$K1414)*1440,0)&gt;設定!$C$42,ROUND(($I1414-$K1414)*1440,0),0))</f>
        <v/>
      </c>
      <c r="Q1414" s="82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79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0">
        <f>IF($G1415="","",IFERROR(INDEX(設定!$D$6:$D$18,MATCH($G1415,設定!$B$6:$B$18,0)),""))</f>
        <v/>
      </c>
      <c r="I1415" s="80">
        <f>IF($G1415="","",IFERROR(INDEX(設定!$E$6:$E$18,MATCH($G1415,設定!$B$6:$B$18,0)),""))</f>
        <v/>
      </c>
      <c r="J1415" s="80">
        <f>IFERROR(INDEX(打卡匯入!$C$3:$C$2002,MATCH($C1415&amp;"|"&amp;DAY($A1415),打卡匯入!$E$3:$E$2002,0)),"")</f>
        <v/>
      </c>
      <c r="K1415" s="80">
        <f>IFERROR(INDEX(打卡匯入!$D$3:$D$2002,MATCH($C1415&amp;"|"&amp;DAY($A1415),打卡匯入!$E$3:$E$2002,0)),"")</f>
        <v/>
      </c>
      <c r="L1415" s="81">
        <f>IF(OR($J1415="",$K1415=""),"",IFERROR(INDEX(設定!$F$6:$F$18,MATCH($G1415,設定!$B$6:$B$18,0)),0))</f>
        <v/>
      </c>
      <c r="M1415" s="82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1">
        <f>IF(OR($C1415="",$H1415="",$J1415=""),0,IF(ROUND(($J1415-$H1415)*1440,0)&gt;設定!$C$42,ROUND(($J1415-$H1415)*1440,0),0))</f>
        <v/>
      </c>
      <c r="P1415" s="81">
        <f>IF(OR($C1415="",$I1415="",$K1415=""),0,IF(ROUND(($I1415-$K1415)*1440,0)&gt;設定!$C$42,ROUND(($I1415-$K1415)*1440,0),0))</f>
        <v/>
      </c>
      <c r="Q1415" s="82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79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0">
        <f>IF($G1416="","",IFERROR(INDEX(設定!$D$6:$D$18,MATCH($G1416,設定!$B$6:$B$18,0)),""))</f>
        <v/>
      </c>
      <c r="I1416" s="80">
        <f>IF($G1416="","",IFERROR(INDEX(設定!$E$6:$E$18,MATCH($G1416,設定!$B$6:$B$18,0)),""))</f>
        <v/>
      </c>
      <c r="J1416" s="80">
        <f>IFERROR(INDEX(打卡匯入!$C$3:$C$2002,MATCH($C1416&amp;"|"&amp;DAY($A1416),打卡匯入!$E$3:$E$2002,0)),"")</f>
        <v/>
      </c>
      <c r="K1416" s="80">
        <f>IFERROR(INDEX(打卡匯入!$D$3:$D$2002,MATCH($C1416&amp;"|"&amp;DAY($A1416),打卡匯入!$E$3:$E$2002,0)),"")</f>
        <v/>
      </c>
      <c r="L1416" s="81">
        <f>IF(OR($J1416="",$K1416=""),"",IFERROR(INDEX(設定!$F$6:$F$18,MATCH($G1416,設定!$B$6:$B$18,0)),0))</f>
        <v/>
      </c>
      <c r="M1416" s="82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1">
        <f>IF(OR($C1416="",$H1416="",$J1416=""),0,IF(ROUND(($J1416-$H1416)*1440,0)&gt;設定!$C$42,ROUND(($J1416-$H1416)*1440,0),0))</f>
        <v/>
      </c>
      <c r="P1416" s="81">
        <f>IF(OR($C1416="",$I1416="",$K1416=""),0,IF(ROUND(($I1416-$K1416)*1440,0)&gt;設定!$C$42,ROUND(($I1416-$K1416)*1440,0),0))</f>
        <v/>
      </c>
      <c r="Q1416" s="82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79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0">
        <f>IF($G1417="","",IFERROR(INDEX(設定!$D$6:$D$18,MATCH($G1417,設定!$B$6:$B$18,0)),""))</f>
        <v/>
      </c>
      <c r="I1417" s="80">
        <f>IF($G1417="","",IFERROR(INDEX(設定!$E$6:$E$18,MATCH($G1417,設定!$B$6:$B$18,0)),""))</f>
        <v/>
      </c>
      <c r="J1417" s="80">
        <f>IFERROR(INDEX(打卡匯入!$C$3:$C$2002,MATCH($C1417&amp;"|"&amp;DAY($A1417),打卡匯入!$E$3:$E$2002,0)),"")</f>
        <v/>
      </c>
      <c r="K1417" s="80">
        <f>IFERROR(INDEX(打卡匯入!$D$3:$D$2002,MATCH($C1417&amp;"|"&amp;DAY($A1417),打卡匯入!$E$3:$E$2002,0)),"")</f>
        <v/>
      </c>
      <c r="L1417" s="81">
        <f>IF(OR($J1417="",$K1417=""),"",IFERROR(INDEX(設定!$F$6:$F$18,MATCH($G1417,設定!$B$6:$B$18,0)),0))</f>
        <v/>
      </c>
      <c r="M1417" s="82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1">
        <f>IF(OR($C1417="",$H1417="",$J1417=""),0,IF(ROUND(($J1417-$H1417)*1440,0)&gt;設定!$C$42,ROUND(($J1417-$H1417)*1440,0),0))</f>
        <v/>
      </c>
      <c r="P1417" s="81">
        <f>IF(OR($C1417="",$I1417="",$K1417=""),0,IF(ROUND(($I1417-$K1417)*1440,0)&gt;設定!$C$42,ROUND(($I1417-$K1417)*1440,0),0))</f>
        <v/>
      </c>
      <c r="Q1417" s="82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79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0">
        <f>IF($G1418="","",IFERROR(INDEX(設定!$D$6:$D$18,MATCH($G1418,設定!$B$6:$B$18,0)),""))</f>
        <v/>
      </c>
      <c r="I1418" s="80">
        <f>IF($G1418="","",IFERROR(INDEX(設定!$E$6:$E$18,MATCH($G1418,設定!$B$6:$B$18,0)),""))</f>
        <v/>
      </c>
      <c r="J1418" s="80">
        <f>IFERROR(INDEX(打卡匯入!$C$3:$C$2002,MATCH($C1418&amp;"|"&amp;DAY($A1418),打卡匯入!$E$3:$E$2002,0)),"")</f>
        <v/>
      </c>
      <c r="K1418" s="80">
        <f>IFERROR(INDEX(打卡匯入!$D$3:$D$2002,MATCH($C1418&amp;"|"&amp;DAY($A1418),打卡匯入!$E$3:$E$2002,0)),"")</f>
        <v/>
      </c>
      <c r="L1418" s="81">
        <f>IF(OR($J1418="",$K1418=""),"",IFERROR(INDEX(設定!$F$6:$F$18,MATCH($G1418,設定!$B$6:$B$18,0)),0))</f>
        <v/>
      </c>
      <c r="M1418" s="82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1">
        <f>IF(OR($C1418="",$H1418="",$J1418=""),0,IF(ROUND(($J1418-$H1418)*1440,0)&gt;設定!$C$42,ROUND(($J1418-$H1418)*1440,0),0))</f>
        <v/>
      </c>
      <c r="P1418" s="81">
        <f>IF(OR($C1418="",$I1418="",$K1418=""),0,IF(ROUND(($I1418-$K1418)*1440,0)&gt;設定!$C$42,ROUND(($I1418-$K1418)*1440,0),0))</f>
        <v/>
      </c>
      <c r="Q1418" s="82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79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0">
        <f>IF($G1419="","",IFERROR(INDEX(設定!$D$6:$D$18,MATCH($G1419,設定!$B$6:$B$18,0)),""))</f>
        <v/>
      </c>
      <c r="I1419" s="80">
        <f>IF($G1419="","",IFERROR(INDEX(設定!$E$6:$E$18,MATCH($G1419,設定!$B$6:$B$18,0)),""))</f>
        <v/>
      </c>
      <c r="J1419" s="80">
        <f>IFERROR(INDEX(打卡匯入!$C$3:$C$2002,MATCH($C1419&amp;"|"&amp;DAY($A1419),打卡匯入!$E$3:$E$2002,0)),"")</f>
        <v/>
      </c>
      <c r="K1419" s="80">
        <f>IFERROR(INDEX(打卡匯入!$D$3:$D$2002,MATCH($C1419&amp;"|"&amp;DAY($A1419),打卡匯入!$E$3:$E$2002,0)),"")</f>
        <v/>
      </c>
      <c r="L1419" s="81">
        <f>IF(OR($J1419="",$K1419=""),"",IFERROR(INDEX(設定!$F$6:$F$18,MATCH($G1419,設定!$B$6:$B$18,0)),0))</f>
        <v/>
      </c>
      <c r="M1419" s="82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1">
        <f>IF(OR($C1419="",$H1419="",$J1419=""),0,IF(ROUND(($J1419-$H1419)*1440,0)&gt;設定!$C$42,ROUND(($J1419-$H1419)*1440,0),0))</f>
        <v/>
      </c>
      <c r="P1419" s="81">
        <f>IF(OR($C1419="",$I1419="",$K1419=""),0,IF(ROUND(($I1419-$K1419)*1440,0)&gt;設定!$C$42,ROUND(($I1419-$K1419)*1440,0),0))</f>
        <v/>
      </c>
      <c r="Q1419" s="82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79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0">
        <f>IF($G1420="","",IFERROR(INDEX(設定!$D$6:$D$18,MATCH($G1420,設定!$B$6:$B$18,0)),""))</f>
        <v/>
      </c>
      <c r="I1420" s="80">
        <f>IF($G1420="","",IFERROR(INDEX(設定!$E$6:$E$18,MATCH($G1420,設定!$B$6:$B$18,0)),""))</f>
        <v/>
      </c>
      <c r="J1420" s="80">
        <f>IFERROR(INDEX(打卡匯入!$C$3:$C$2002,MATCH($C1420&amp;"|"&amp;DAY($A1420),打卡匯入!$E$3:$E$2002,0)),"")</f>
        <v/>
      </c>
      <c r="K1420" s="80">
        <f>IFERROR(INDEX(打卡匯入!$D$3:$D$2002,MATCH($C1420&amp;"|"&amp;DAY($A1420),打卡匯入!$E$3:$E$2002,0)),"")</f>
        <v/>
      </c>
      <c r="L1420" s="81">
        <f>IF(OR($J1420="",$K1420=""),"",IFERROR(INDEX(設定!$F$6:$F$18,MATCH($G1420,設定!$B$6:$B$18,0)),0))</f>
        <v/>
      </c>
      <c r="M1420" s="82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1">
        <f>IF(OR($C1420="",$H1420="",$J1420=""),0,IF(ROUND(($J1420-$H1420)*1440,0)&gt;設定!$C$42,ROUND(($J1420-$H1420)*1440,0),0))</f>
        <v/>
      </c>
      <c r="P1420" s="81">
        <f>IF(OR($C1420="",$I1420="",$K1420=""),0,IF(ROUND(($I1420-$K1420)*1440,0)&gt;設定!$C$42,ROUND(($I1420-$K1420)*1440,0),0))</f>
        <v/>
      </c>
      <c r="Q1420" s="82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79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0">
        <f>IF($G1421="","",IFERROR(INDEX(設定!$D$6:$D$18,MATCH($G1421,設定!$B$6:$B$18,0)),""))</f>
        <v/>
      </c>
      <c r="I1421" s="80">
        <f>IF($G1421="","",IFERROR(INDEX(設定!$E$6:$E$18,MATCH($G1421,設定!$B$6:$B$18,0)),""))</f>
        <v/>
      </c>
      <c r="J1421" s="80">
        <f>IFERROR(INDEX(打卡匯入!$C$3:$C$2002,MATCH($C1421&amp;"|"&amp;DAY($A1421),打卡匯入!$E$3:$E$2002,0)),"")</f>
        <v/>
      </c>
      <c r="K1421" s="80">
        <f>IFERROR(INDEX(打卡匯入!$D$3:$D$2002,MATCH($C1421&amp;"|"&amp;DAY($A1421),打卡匯入!$E$3:$E$2002,0)),"")</f>
        <v/>
      </c>
      <c r="L1421" s="81">
        <f>IF(OR($J1421="",$K1421=""),"",IFERROR(INDEX(設定!$F$6:$F$18,MATCH($G1421,設定!$B$6:$B$18,0)),0))</f>
        <v/>
      </c>
      <c r="M1421" s="82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1">
        <f>IF(OR($C1421="",$H1421="",$J1421=""),0,IF(ROUND(($J1421-$H1421)*1440,0)&gt;設定!$C$42,ROUND(($J1421-$H1421)*1440,0),0))</f>
        <v/>
      </c>
      <c r="P1421" s="81">
        <f>IF(OR($C1421="",$I1421="",$K1421=""),0,IF(ROUND(($I1421-$K1421)*1440,0)&gt;設定!$C$42,ROUND(($I1421-$K1421)*1440,0),0))</f>
        <v/>
      </c>
      <c r="Q1421" s="82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79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0">
        <f>IF($G1422="","",IFERROR(INDEX(設定!$D$6:$D$18,MATCH($G1422,設定!$B$6:$B$18,0)),""))</f>
        <v/>
      </c>
      <c r="I1422" s="80">
        <f>IF($G1422="","",IFERROR(INDEX(設定!$E$6:$E$18,MATCH($G1422,設定!$B$6:$B$18,0)),""))</f>
        <v/>
      </c>
      <c r="J1422" s="80">
        <f>IFERROR(INDEX(打卡匯入!$C$3:$C$2002,MATCH($C1422&amp;"|"&amp;DAY($A1422),打卡匯入!$E$3:$E$2002,0)),"")</f>
        <v/>
      </c>
      <c r="K1422" s="80">
        <f>IFERROR(INDEX(打卡匯入!$D$3:$D$2002,MATCH($C1422&amp;"|"&amp;DAY($A1422),打卡匯入!$E$3:$E$2002,0)),"")</f>
        <v/>
      </c>
      <c r="L1422" s="81">
        <f>IF(OR($J1422="",$K1422=""),"",IFERROR(INDEX(設定!$F$6:$F$18,MATCH($G1422,設定!$B$6:$B$18,0)),0))</f>
        <v/>
      </c>
      <c r="M1422" s="82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1">
        <f>IF(OR($C1422="",$H1422="",$J1422=""),0,IF(ROUND(($J1422-$H1422)*1440,0)&gt;設定!$C$42,ROUND(($J1422-$H1422)*1440,0),0))</f>
        <v/>
      </c>
      <c r="P1422" s="81">
        <f>IF(OR($C1422="",$I1422="",$K1422=""),0,IF(ROUND(($I1422-$K1422)*1440,0)&gt;設定!$C$42,ROUND(($I1422-$K1422)*1440,0),0))</f>
        <v/>
      </c>
      <c r="Q1422" s="82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79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0">
        <f>IF($G1423="","",IFERROR(INDEX(設定!$D$6:$D$18,MATCH($G1423,設定!$B$6:$B$18,0)),""))</f>
        <v/>
      </c>
      <c r="I1423" s="80">
        <f>IF($G1423="","",IFERROR(INDEX(設定!$E$6:$E$18,MATCH($G1423,設定!$B$6:$B$18,0)),""))</f>
        <v/>
      </c>
      <c r="J1423" s="80">
        <f>IFERROR(INDEX(打卡匯入!$C$3:$C$2002,MATCH($C1423&amp;"|"&amp;DAY($A1423),打卡匯入!$E$3:$E$2002,0)),"")</f>
        <v/>
      </c>
      <c r="K1423" s="80">
        <f>IFERROR(INDEX(打卡匯入!$D$3:$D$2002,MATCH($C1423&amp;"|"&amp;DAY($A1423),打卡匯入!$E$3:$E$2002,0)),"")</f>
        <v/>
      </c>
      <c r="L1423" s="81">
        <f>IF(OR($J1423="",$K1423=""),"",IFERROR(INDEX(設定!$F$6:$F$18,MATCH($G1423,設定!$B$6:$B$18,0)),0))</f>
        <v/>
      </c>
      <c r="M1423" s="82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1">
        <f>IF(OR($C1423="",$H1423="",$J1423=""),0,IF(ROUND(($J1423-$H1423)*1440,0)&gt;設定!$C$42,ROUND(($J1423-$H1423)*1440,0),0))</f>
        <v/>
      </c>
      <c r="P1423" s="81">
        <f>IF(OR($C1423="",$I1423="",$K1423=""),0,IF(ROUND(($I1423-$K1423)*1440,0)&gt;設定!$C$42,ROUND(($I1423-$K1423)*1440,0),0))</f>
        <v/>
      </c>
      <c r="Q1423" s="82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79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0">
        <f>IF($G1424="","",IFERROR(INDEX(設定!$D$6:$D$18,MATCH($G1424,設定!$B$6:$B$18,0)),""))</f>
        <v/>
      </c>
      <c r="I1424" s="80">
        <f>IF($G1424="","",IFERROR(INDEX(設定!$E$6:$E$18,MATCH($G1424,設定!$B$6:$B$18,0)),""))</f>
        <v/>
      </c>
      <c r="J1424" s="80">
        <f>IFERROR(INDEX(打卡匯入!$C$3:$C$2002,MATCH($C1424&amp;"|"&amp;DAY($A1424),打卡匯入!$E$3:$E$2002,0)),"")</f>
        <v/>
      </c>
      <c r="K1424" s="80">
        <f>IFERROR(INDEX(打卡匯入!$D$3:$D$2002,MATCH($C1424&amp;"|"&amp;DAY($A1424),打卡匯入!$E$3:$E$2002,0)),"")</f>
        <v/>
      </c>
      <c r="L1424" s="81">
        <f>IF(OR($J1424="",$K1424=""),"",IFERROR(INDEX(設定!$F$6:$F$18,MATCH($G1424,設定!$B$6:$B$18,0)),0))</f>
        <v/>
      </c>
      <c r="M1424" s="82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1">
        <f>IF(OR($C1424="",$H1424="",$J1424=""),0,IF(ROUND(($J1424-$H1424)*1440,0)&gt;設定!$C$42,ROUND(($J1424-$H1424)*1440,0),0))</f>
        <v/>
      </c>
      <c r="P1424" s="81">
        <f>IF(OR($C1424="",$I1424="",$K1424=""),0,IF(ROUND(($I1424-$K1424)*1440,0)&gt;設定!$C$42,ROUND(($I1424-$K1424)*1440,0),0))</f>
        <v/>
      </c>
      <c r="Q1424" s="82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79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0">
        <f>IF($G1425="","",IFERROR(INDEX(設定!$D$6:$D$18,MATCH($G1425,設定!$B$6:$B$18,0)),""))</f>
        <v/>
      </c>
      <c r="I1425" s="80">
        <f>IF($G1425="","",IFERROR(INDEX(設定!$E$6:$E$18,MATCH($G1425,設定!$B$6:$B$18,0)),""))</f>
        <v/>
      </c>
      <c r="J1425" s="80">
        <f>IFERROR(INDEX(打卡匯入!$C$3:$C$2002,MATCH($C1425&amp;"|"&amp;DAY($A1425),打卡匯入!$E$3:$E$2002,0)),"")</f>
        <v/>
      </c>
      <c r="K1425" s="80">
        <f>IFERROR(INDEX(打卡匯入!$D$3:$D$2002,MATCH($C1425&amp;"|"&amp;DAY($A1425),打卡匯入!$E$3:$E$2002,0)),"")</f>
        <v/>
      </c>
      <c r="L1425" s="81">
        <f>IF(OR($J1425="",$K1425=""),"",IFERROR(INDEX(設定!$F$6:$F$18,MATCH($G1425,設定!$B$6:$B$18,0)),0))</f>
        <v/>
      </c>
      <c r="M1425" s="82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1">
        <f>IF(OR($C1425="",$H1425="",$J1425=""),0,IF(ROUND(($J1425-$H1425)*1440,0)&gt;設定!$C$42,ROUND(($J1425-$H1425)*1440,0),0))</f>
        <v/>
      </c>
      <c r="P1425" s="81">
        <f>IF(OR($C1425="",$I1425="",$K1425=""),0,IF(ROUND(($I1425-$K1425)*1440,0)&gt;設定!$C$42,ROUND(($I1425-$K1425)*1440,0),0))</f>
        <v/>
      </c>
      <c r="Q1425" s="82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79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0">
        <f>IF($G1426="","",IFERROR(INDEX(設定!$D$6:$D$18,MATCH($G1426,設定!$B$6:$B$18,0)),""))</f>
        <v/>
      </c>
      <c r="I1426" s="80">
        <f>IF($G1426="","",IFERROR(INDEX(設定!$E$6:$E$18,MATCH($G1426,設定!$B$6:$B$18,0)),""))</f>
        <v/>
      </c>
      <c r="J1426" s="80">
        <f>IFERROR(INDEX(打卡匯入!$C$3:$C$2002,MATCH($C1426&amp;"|"&amp;DAY($A1426),打卡匯入!$E$3:$E$2002,0)),"")</f>
        <v/>
      </c>
      <c r="K1426" s="80">
        <f>IFERROR(INDEX(打卡匯入!$D$3:$D$2002,MATCH($C1426&amp;"|"&amp;DAY($A1426),打卡匯入!$E$3:$E$2002,0)),"")</f>
        <v/>
      </c>
      <c r="L1426" s="81">
        <f>IF(OR($J1426="",$K1426=""),"",IFERROR(INDEX(設定!$F$6:$F$18,MATCH($G1426,設定!$B$6:$B$18,0)),0))</f>
        <v/>
      </c>
      <c r="M1426" s="82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1">
        <f>IF(OR($C1426="",$H1426="",$J1426=""),0,IF(ROUND(($J1426-$H1426)*1440,0)&gt;設定!$C$42,ROUND(($J1426-$H1426)*1440,0),0))</f>
        <v/>
      </c>
      <c r="P1426" s="81">
        <f>IF(OR($C1426="",$I1426="",$K1426=""),0,IF(ROUND(($I1426-$K1426)*1440,0)&gt;設定!$C$42,ROUND(($I1426-$K1426)*1440,0),0))</f>
        <v/>
      </c>
      <c r="Q1426" s="82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79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0">
        <f>IF($G1427="","",IFERROR(INDEX(設定!$D$6:$D$18,MATCH($G1427,設定!$B$6:$B$18,0)),""))</f>
        <v/>
      </c>
      <c r="I1427" s="80">
        <f>IF($G1427="","",IFERROR(INDEX(設定!$E$6:$E$18,MATCH($G1427,設定!$B$6:$B$18,0)),""))</f>
        <v/>
      </c>
      <c r="J1427" s="80">
        <f>IFERROR(INDEX(打卡匯入!$C$3:$C$2002,MATCH($C1427&amp;"|"&amp;DAY($A1427),打卡匯入!$E$3:$E$2002,0)),"")</f>
        <v/>
      </c>
      <c r="K1427" s="80">
        <f>IFERROR(INDEX(打卡匯入!$D$3:$D$2002,MATCH($C1427&amp;"|"&amp;DAY($A1427),打卡匯入!$E$3:$E$2002,0)),"")</f>
        <v/>
      </c>
      <c r="L1427" s="81">
        <f>IF(OR($J1427="",$K1427=""),"",IFERROR(INDEX(設定!$F$6:$F$18,MATCH($G1427,設定!$B$6:$B$18,0)),0))</f>
        <v/>
      </c>
      <c r="M1427" s="82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1">
        <f>IF(OR($C1427="",$H1427="",$J1427=""),0,IF(ROUND(($J1427-$H1427)*1440,0)&gt;設定!$C$42,ROUND(($J1427-$H1427)*1440,0),0))</f>
        <v/>
      </c>
      <c r="P1427" s="81">
        <f>IF(OR($C1427="",$I1427="",$K1427=""),0,IF(ROUND(($I1427-$K1427)*1440,0)&gt;設定!$C$42,ROUND(($I1427-$K1427)*1440,0),0))</f>
        <v/>
      </c>
      <c r="Q1427" s="82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79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0">
        <f>IF($G1428="","",IFERROR(INDEX(設定!$D$6:$D$18,MATCH($G1428,設定!$B$6:$B$18,0)),""))</f>
        <v/>
      </c>
      <c r="I1428" s="80">
        <f>IF($G1428="","",IFERROR(INDEX(設定!$E$6:$E$18,MATCH($G1428,設定!$B$6:$B$18,0)),""))</f>
        <v/>
      </c>
      <c r="J1428" s="80">
        <f>IFERROR(INDEX(打卡匯入!$C$3:$C$2002,MATCH($C1428&amp;"|"&amp;DAY($A1428),打卡匯入!$E$3:$E$2002,0)),"")</f>
        <v/>
      </c>
      <c r="K1428" s="80">
        <f>IFERROR(INDEX(打卡匯入!$D$3:$D$2002,MATCH($C1428&amp;"|"&amp;DAY($A1428),打卡匯入!$E$3:$E$2002,0)),"")</f>
        <v/>
      </c>
      <c r="L1428" s="81">
        <f>IF(OR($J1428="",$K1428=""),"",IFERROR(INDEX(設定!$F$6:$F$18,MATCH($G1428,設定!$B$6:$B$18,0)),0))</f>
        <v/>
      </c>
      <c r="M1428" s="82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1">
        <f>IF(OR($C1428="",$H1428="",$J1428=""),0,IF(ROUND(($J1428-$H1428)*1440,0)&gt;設定!$C$42,ROUND(($J1428-$H1428)*1440,0),0))</f>
        <v/>
      </c>
      <c r="P1428" s="81">
        <f>IF(OR($C1428="",$I1428="",$K1428=""),0,IF(ROUND(($I1428-$K1428)*1440,0)&gt;設定!$C$42,ROUND(($I1428-$K1428)*1440,0),0))</f>
        <v/>
      </c>
      <c r="Q1428" s="82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79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0">
        <f>IF($G1429="","",IFERROR(INDEX(設定!$D$6:$D$18,MATCH($G1429,設定!$B$6:$B$18,0)),""))</f>
        <v/>
      </c>
      <c r="I1429" s="80">
        <f>IF($G1429="","",IFERROR(INDEX(設定!$E$6:$E$18,MATCH($G1429,設定!$B$6:$B$18,0)),""))</f>
        <v/>
      </c>
      <c r="J1429" s="80">
        <f>IFERROR(INDEX(打卡匯入!$C$3:$C$2002,MATCH($C1429&amp;"|"&amp;DAY($A1429),打卡匯入!$E$3:$E$2002,0)),"")</f>
        <v/>
      </c>
      <c r="K1429" s="80">
        <f>IFERROR(INDEX(打卡匯入!$D$3:$D$2002,MATCH($C1429&amp;"|"&amp;DAY($A1429),打卡匯入!$E$3:$E$2002,0)),"")</f>
        <v/>
      </c>
      <c r="L1429" s="81">
        <f>IF(OR($J1429="",$K1429=""),"",IFERROR(INDEX(設定!$F$6:$F$18,MATCH($G1429,設定!$B$6:$B$18,0)),0))</f>
        <v/>
      </c>
      <c r="M1429" s="82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1">
        <f>IF(OR($C1429="",$H1429="",$J1429=""),0,IF(ROUND(($J1429-$H1429)*1440,0)&gt;設定!$C$42,ROUND(($J1429-$H1429)*1440,0),0))</f>
        <v/>
      </c>
      <c r="P1429" s="81">
        <f>IF(OR($C1429="",$I1429="",$K1429=""),0,IF(ROUND(($I1429-$K1429)*1440,0)&gt;設定!$C$42,ROUND(($I1429-$K1429)*1440,0),0))</f>
        <v/>
      </c>
      <c r="Q1429" s="82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79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0">
        <f>IF($G1430="","",IFERROR(INDEX(設定!$D$6:$D$18,MATCH($G1430,設定!$B$6:$B$18,0)),""))</f>
        <v/>
      </c>
      <c r="I1430" s="80">
        <f>IF($G1430="","",IFERROR(INDEX(設定!$E$6:$E$18,MATCH($G1430,設定!$B$6:$B$18,0)),""))</f>
        <v/>
      </c>
      <c r="J1430" s="80">
        <f>IFERROR(INDEX(打卡匯入!$C$3:$C$2002,MATCH($C1430&amp;"|"&amp;DAY($A1430),打卡匯入!$E$3:$E$2002,0)),"")</f>
        <v/>
      </c>
      <c r="K1430" s="80">
        <f>IFERROR(INDEX(打卡匯入!$D$3:$D$2002,MATCH($C1430&amp;"|"&amp;DAY($A1430),打卡匯入!$E$3:$E$2002,0)),"")</f>
        <v/>
      </c>
      <c r="L1430" s="81">
        <f>IF(OR($J1430="",$K1430=""),"",IFERROR(INDEX(設定!$F$6:$F$18,MATCH($G1430,設定!$B$6:$B$18,0)),0))</f>
        <v/>
      </c>
      <c r="M1430" s="82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1">
        <f>IF(OR($C1430="",$H1430="",$J1430=""),0,IF(ROUND(($J1430-$H1430)*1440,0)&gt;設定!$C$42,ROUND(($J1430-$H1430)*1440,0),0))</f>
        <v/>
      </c>
      <c r="P1430" s="81">
        <f>IF(OR($C1430="",$I1430="",$K1430=""),0,IF(ROUND(($I1430-$K1430)*1440,0)&gt;設定!$C$42,ROUND(($I1430-$K1430)*1440,0),0))</f>
        <v/>
      </c>
      <c r="Q1430" s="82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79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0">
        <f>IF($G1431="","",IFERROR(INDEX(設定!$D$6:$D$18,MATCH($G1431,設定!$B$6:$B$18,0)),""))</f>
        <v/>
      </c>
      <c r="I1431" s="80">
        <f>IF($G1431="","",IFERROR(INDEX(設定!$E$6:$E$18,MATCH($G1431,設定!$B$6:$B$18,0)),""))</f>
        <v/>
      </c>
      <c r="J1431" s="80">
        <f>IFERROR(INDEX(打卡匯入!$C$3:$C$2002,MATCH($C1431&amp;"|"&amp;DAY($A1431),打卡匯入!$E$3:$E$2002,0)),"")</f>
        <v/>
      </c>
      <c r="K1431" s="80">
        <f>IFERROR(INDEX(打卡匯入!$D$3:$D$2002,MATCH($C1431&amp;"|"&amp;DAY($A1431),打卡匯入!$E$3:$E$2002,0)),"")</f>
        <v/>
      </c>
      <c r="L1431" s="81">
        <f>IF(OR($J1431="",$K1431=""),"",IFERROR(INDEX(設定!$F$6:$F$18,MATCH($G1431,設定!$B$6:$B$18,0)),0))</f>
        <v/>
      </c>
      <c r="M1431" s="82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1">
        <f>IF(OR($C1431="",$H1431="",$J1431=""),0,IF(ROUND(($J1431-$H1431)*1440,0)&gt;設定!$C$42,ROUND(($J1431-$H1431)*1440,0),0))</f>
        <v/>
      </c>
      <c r="P1431" s="81">
        <f>IF(OR($C1431="",$I1431="",$K1431=""),0,IF(ROUND(($I1431-$K1431)*1440,0)&gt;設定!$C$42,ROUND(($I1431-$K1431)*1440,0),0))</f>
        <v/>
      </c>
      <c r="Q1431" s="82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79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0">
        <f>IF($G1432="","",IFERROR(INDEX(設定!$D$6:$D$18,MATCH($G1432,設定!$B$6:$B$18,0)),""))</f>
        <v/>
      </c>
      <c r="I1432" s="80">
        <f>IF($G1432="","",IFERROR(INDEX(設定!$E$6:$E$18,MATCH($G1432,設定!$B$6:$B$18,0)),""))</f>
        <v/>
      </c>
      <c r="J1432" s="80">
        <f>IFERROR(INDEX(打卡匯入!$C$3:$C$2002,MATCH($C1432&amp;"|"&amp;DAY($A1432),打卡匯入!$E$3:$E$2002,0)),"")</f>
        <v/>
      </c>
      <c r="K1432" s="80">
        <f>IFERROR(INDEX(打卡匯入!$D$3:$D$2002,MATCH($C1432&amp;"|"&amp;DAY($A1432),打卡匯入!$E$3:$E$2002,0)),"")</f>
        <v/>
      </c>
      <c r="L1432" s="81">
        <f>IF(OR($J1432="",$K1432=""),"",IFERROR(INDEX(設定!$F$6:$F$18,MATCH($G1432,設定!$B$6:$B$18,0)),0))</f>
        <v/>
      </c>
      <c r="M1432" s="82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1">
        <f>IF(OR($C1432="",$H1432="",$J1432=""),0,IF(ROUND(($J1432-$H1432)*1440,0)&gt;設定!$C$42,ROUND(($J1432-$H1432)*1440,0),0))</f>
        <v/>
      </c>
      <c r="P1432" s="81">
        <f>IF(OR($C1432="",$I1432="",$K1432=""),0,IF(ROUND(($I1432-$K1432)*1440,0)&gt;設定!$C$42,ROUND(($I1432-$K1432)*1440,0),0))</f>
        <v/>
      </c>
      <c r="Q1432" s="82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79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0">
        <f>IF($G1433="","",IFERROR(INDEX(設定!$D$6:$D$18,MATCH($G1433,設定!$B$6:$B$18,0)),""))</f>
        <v/>
      </c>
      <c r="I1433" s="80">
        <f>IF($G1433="","",IFERROR(INDEX(設定!$E$6:$E$18,MATCH($G1433,設定!$B$6:$B$18,0)),""))</f>
        <v/>
      </c>
      <c r="J1433" s="80">
        <f>IFERROR(INDEX(打卡匯入!$C$3:$C$2002,MATCH($C1433&amp;"|"&amp;DAY($A1433),打卡匯入!$E$3:$E$2002,0)),"")</f>
        <v/>
      </c>
      <c r="K1433" s="80">
        <f>IFERROR(INDEX(打卡匯入!$D$3:$D$2002,MATCH($C1433&amp;"|"&amp;DAY($A1433),打卡匯入!$E$3:$E$2002,0)),"")</f>
        <v/>
      </c>
      <c r="L1433" s="81">
        <f>IF(OR($J1433="",$K1433=""),"",IFERROR(INDEX(設定!$F$6:$F$18,MATCH($G1433,設定!$B$6:$B$18,0)),0))</f>
        <v/>
      </c>
      <c r="M1433" s="82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1">
        <f>IF(OR($C1433="",$H1433="",$J1433=""),0,IF(ROUND(($J1433-$H1433)*1440,0)&gt;設定!$C$42,ROUND(($J1433-$H1433)*1440,0),0))</f>
        <v/>
      </c>
      <c r="P1433" s="81">
        <f>IF(OR($C1433="",$I1433="",$K1433=""),0,IF(ROUND(($I1433-$K1433)*1440,0)&gt;設定!$C$42,ROUND(($I1433-$K1433)*1440,0),0))</f>
        <v/>
      </c>
      <c r="Q1433" s="82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79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0">
        <f>IF($G1434="","",IFERROR(INDEX(設定!$D$6:$D$18,MATCH($G1434,設定!$B$6:$B$18,0)),""))</f>
        <v/>
      </c>
      <c r="I1434" s="80">
        <f>IF($G1434="","",IFERROR(INDEX(設定!$E$6:$E$18,MATCH($G1434,設定!$B$6:$B$18,0)),""))</f>
        <v/>
      </c>
      <c r="J1434" s="80">
        <f>IFERROR(INDEX(打卡匯入!$C$3:$C$2002,MATCH($C1434&amp;"|"&amp;DAY($A1434),打卡匯入!$E$3:$E$2002,0)),"")</f>
        <v/>
      </c>
      <c r="K1434" s="80">
        <f>IFERROR(INDEX(打卡匯入!$D$3:$D$2002,MATCH($C1434&amp;"|"&amp;DAY($A1434),打卡匯入!$E$3:$E$2002,0)),"")</f>
        <v/>
      </c>
      <c r="L1434" s="81">
        <f>IF(OR($J1434="",$K1434=""),"",IFERROR(INDEX(設定!$F$6:$F$18,MATCH($G1434,設定!$B$6:$B$18,0)),0))</f>
        <v/>
      </c>
      <c r="M1434" s="82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1">
        <f>IF(OR($C1434="",$H1434="",$J1434=""),0,IF(ROUND(($J1434-$H1434)*1440,0)&gt;設定!$C$42,ROUND(($J1434-$H1434)*1440,0),0))</f>
        <v/>
      </c>
      <c r="P1434" s="81">
        <f>IF(OR($C1434="",$I1434="",$K1434=""),0,IF(ROUND(($I1434-$K1434)*1440,0)&gt;設定!$C$42,ROUND(($I1434-$K1434)*1440,0),0))</f>
        <v/>
      </c>
      <c r="Q1434" s="82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79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0">
        <f>IF($G1435="","",IFERROR(INDEX(設定!$D$6:$D$18,MATCH($G1435,設定!$B$6:$B$18,0)),""))</f>
        <v/>
      </c>
      <c r="I1435" s="80">
        <f>IF($G1435="","",IFERROR(INDEX(設定!$E$6:$E$18,MATCH($G1435,設定!$B$6:$B$18,0)),""))</f>
        <v/>
      </c>
      <c r="J1435" s="80">
        <f>IFERROR(INDEX(打卡匯入!$C$3:$C$2002,MATCH($C1435&amp;"|"&amp;DAY($A1435),打卡匯入!$E$3:$E$2002,0)),"")</f>
        <v/>
      </c>
      <c r="K1435" s="80">
        <f>IFERROR(INDEX(打卡匯入!$D$3:$D$2002,MATCH($C1435&amp;"|"&amp;DAY($A1435),打卡匯入!$E$3:$E$2002,0)),"")</f>
        <v/>
      </c>
      <c r="L1435" s="81">
        <f>IF(OR($J1435="",$K1435=""),"",IFERROR(INDEX(設定!$F$6:$F$18,MATCH($G1435,設定!$B$6:$B$18,0)),0))</f>
        <v/>
      </c>
      <c r="M1435" s="82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1">
        <f>IF(OR($C1435="",$H1435="",$J1435=""),0,IF(ROUND(($J1435-$H1435)*1440,0)&gt;設定!$C$42,ROUND(($J1435-$H1435)*1440,0),0))</f>
        <v/>
      </c>
      <c r="P1435" s="81">
        <f>IF(OR($C1435="",$I1435="",$K1435=""),0,IF(ROUND(($I1435-$K1435)*1440,0)&gt;設定!$C$42,ROUND(($I1435-$K1435)*1440,0),0))</f>
        <v/>
      </c>
      <c r="Q1435" s="82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79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0">
        <f>IF($G1436="","",IFERROR(INDEX(設定!$D$6:$D$18,MATCH($G1436,設定!$B$6:$B$18,0)),""))</f>
        <v/>
      </c>
      <c r="I1436" s="80">
        <f>IF($G1436="","",IFERROR(INDEX(設定!$E$6:$E$18,MATCH($G1436,設定!$B$6:$B$18,0)),""))</f>
        <v/>
      </c>
      <c r="J1436" s="80">
        <f>IFERROR(INDEX(打卡匯入!$C$3:$C$2002,MATCH($C1436&amp;"|"&amp;DAY($A1436),打卡匯入!$E$3:$E$2002,0)),"")</f>
        <v/>
      </c>
      <c r="K1436" s="80">
        <f>IFERROR(INDEX(打卡匯入!$D$3:$D$2002,MATCH($C1436&amp;"|"&amp;DAY($A1436),打卡匯入!$E$3:$E$2002,0)),"")</f>
        <v/>
      </c>
      <c r="L1436" s="81">
        <f>IF(OR($J1436="",$K1436=""),"",IFERROR(INDEX(設定!$F$6:$F$18,MATCH($G1436,設定!$B$6:$B$18,0)),0))</f>
        <v/>
      </c>
      <c r="M1436" s="82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1">
        <f>IF(OR($C1436="",$H1436="",$J1436=""),0,IF(ROUND(($J1436-$H1436)*1440,0)&gt;設定!$C$42,ROUND(($J1436-$H1436)*1440,0),0))</f>
        <v/>
      </c>
      <c r="P1436" s="81">
        <f>IF(OR($C1436="",$I1436="",$K1436=""),0,IF(ROUND(($I1436-$K1436)*1440,0)&gt;設定!$C$42,ROUND(($I1436-$K1436)*1440,0),0))</f>
        <v/>
      </c>
      <c r="Q1436" s="82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79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0">
        <f>IF($G1437="","",IFERROR(INDEX(設定!$D$6:$D$18,MATCH($G1437,設定!$B$6:$B$18,0)),""))</f>
        <v/>
      </c>
      <c r="I1437" s="80">
        <f>IF($G1437="","",IFERROR(INDEX(設定!$E$6:$E$18,MATCH($G1437,設定!$B$6:$B$18,0)),""))</f>
        <v/>
      </c>
      <c r="J1437" s="80">
        <f>IFERROR(INDEX(打卡匯入!$C$3:$C$2002,MATCH($C1437&amp;"|"&amp;DAY($A1437),打卡匯入!$E$3:$E$2002,0)),"")</f>
        <v/>
      </c>
      <c r="K1437" s="80">
        <f>IFERROR(INDEX(打卡匯入!$D$3:$D$2002,MATCH($C1437&amp;"|"&amp;DAY($A1437),打卡匯入!$E$3:$E$2002,0)),"")</f>
        <v/>
      </c>
      <c r="L1437" s="81">
        <f>IF(OR($J1437="",$K1437=""),"",IFERROR(INDEX(設定!$F$6:$F$18,MATCH($G1437,設定!$B$6:$B$18,0)),0))</f>
        <v/>
      </c>
      <c r="M1437" s="82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1">
        <f>IF(OR($C1437="",$H1437="",$J1437=""),0,IF(ROUND(($J1437-$H1437)*1440,0)&gt;設定!$C$42,ROUND(($J1437-$H1437)*1440,0),0))</f>
        <v/>
      </c>
      <c r="P1437" s="81">
        <f>IF(OR($C1437="",$I1437="",$K1437=""),0,IF(ROUND(($I1437-$K1437)*1440,0)&gt;設定!$C$42,ROUND(($I1437-$K1437)*1440,0),0))</f>
        <v/>
      </c>
      <c r="Q1437" s="82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79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0">
        <f>IF($G1438="","",IFERROR(INDEX(設定!$D$6:$D$18,MATCH($G1438,設定!$B$6:$B$18,0)),""))</f>
        <v/>
      </c>
      <c r="I1438" s="80">
        <f>IF($G1438="","",IFERROR(INDEX(設定!$E$6:$E$18,MATCH($G1438,設定!$B$6:$B$18,0)),""))</f>
        <v/>
      </c>
      <c r="J1438" s="80">
        <f>IFERROR(INDEX(打卡匯入!$C$3:$C$2002,MATCH($C1438&amp;"|"&amp;DAY($A1438),打卡匯入!$E$3:$E$2002,0)),"")</f>
        <v/>
      </c>
      <c r="K1438" s="80">
        <f>IFERROR(INDEX(打卡匯入!$D$3:$D$2002,MATCH($C1438&amp;"|"&amp;DAY($A1438),打卡匯入!$E$3:$E$2002,0)),"")</f>
        <v/>
      </c>
      <c r="L1438" s="81">
        <f>IF(OR($J1438="",$K1438=""),"",IFERROR(INDEX(設定!$F$6:$F$18,MATCH($G1438,設定!$B$6:$B$18,0)),0))</f>
        <v/>
      </c>
      <c r="M1438" s="82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1">
        <f>IF(OR($C1438="",$H1438="",$J1438=""),0,IF(ROUND(($J1438-$H1438)*1440,0)&gt;設定!$C$42,ROUND(($J1438-$H1438)*1440,0),0))</f>
        <v/>
      </c>
      <c r="P1438" s="81">
        <f>IF(OR($C1438="",$I1438="",$K1438=""),0,IF(ROUND(($I1438-$K1438)*1440,0)&gt;設定!$C$42,ROUND(($I1438-$K1438)*1440,0),0))</f>
        <v/>
      </c>
      <c r="Q1438" s="82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79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0">
        <f>IF($G1439="","",IFERROR(INDEX(設定!$D$6:$D$18,MATCH($G1439,設定!$B$6:$B$18,0)),""))</f>
        <v/>
      </c>
      <c r="I1439" s="80">
        <f>IF($G1439="","",IFERROR(INDEX(設定!$E$6:$E$18,MATCH($G1439,設定!$B$6:$B$18,0)),""))</f>
        <v/>
      </c>
      <c r="J1439" s="80">
        <f>IFERROR(INDEX(打卡匯入!$C$3:$C$2002,MATCH($C1439&amp;"|"&amp;DAY($A1439),打卡匯入!$E$3:$E$2002,0)),"")</f>
        <v/>
      </c>
      <c r="K1439" s="80">
        <f>IFERROR(INDEX(打卡匯入!$D$3:$D$2002,MATCH($C1439&amp;"|"&amp;DAY($A1439),打卡匯入!$E$3:$E$2002,0)),"")</f>
        <v/>
      </c>
      <c r="L1439" s="81">
        <f>IF(OR($J1439="",$K1439=""),"",IFERROR(INDEX(設定!$F$6:$F$18,MATCH($G1439,設定!$B$6:$B$18,0)),0))</f>
        <v/>
      </c>
      <c r="M1439" s="82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1">
        <f>IF(OR($C1439="",$H1439="",$J1439=""),0,IF(ROUND(($J1439-$H1439)*1440,0)&gt;設定!$C$42,ROUND(($J1439-$H1439)*1440,0),0))</f>
        <v/>
      </c>
      <c r="P1439" s="81">
        <f>IF(OR($C1439="",$I1439="",$K1439=""),0,IF(ROUND(($I1439-$K1439)*1440,0)&gt;設定!$C$42,ROUND(($I1439-$K1439)*1440,0),0))</f>
        <v/>
      </c>
      <c r="Q1439" s="82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79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0">
        <f>IF($G1440="","",IFERROR(INDEX(設定!$D$6:$D$18,MATCH($G1440,設定!$B$6:$B$18,0)),""))</f>
        <v/>
      </c>
      <c r="I1440" s="80">
        <f>IF($G1440="","",IFERROR(INDEX(設定!$E$6:$E$18,MATCH($G1440,設定!$B$6:$B$18,0)),""))</f>
        <v/>
      </c>
      <c r="J1440" s="80">
        <f>IFERROR(INDEX(打卡匯入!$C$3:$C$2002,MATCH($C1440&amp;"|"&amp;DAY($A1440),打卡匯入!$E$3:$E$2002,0)),"")</f>
        <v/>
      </c>
      <c r="K1440" s="80">
        <f>IFERROR(INDEX(打卡匯入!$D$3:$D$2002,MATCH($C1440&amp;"|"&amp;DAY($A1440),打卡匯入!$E$3:$E$2002,0)),"")</f>
        <v/>
      </c>
      <c r="L1440" s="81">
        <f>IF(OR($J1440="",$K1440=""),"",IFERROR(INDEX(設定!$F$6:$F$18,MATCH($G1440,設定!$B$6:$B$18,0)),0))</f>
        <v/>
      </c>
      <c r="M1440" s="82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1">
        <f>IF(OR($C1440="",$H1440="",$J1440=""),0,IF(ROUND(($J1440-$H1440)*1440,0)&gt;設定!$C$42,ROUND(($J1440-$H1440)*1440,0),0))</f>
        <v/>
      </c>
      <c r="P1440" s="81">
        <f>IF(OR($C1440="",$I1440="",$K1440=""),0,IF(ROUND(($I1440-$K1440)*1440,0)&gt;設定!$C$42,ROUND(($I1440-$K1440)*1440,0),0))</f>
        <v/>
      </c>
      <c r="Q1440" s="82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79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0">
        <f>IF($G1441="","",IFERROR(INDEX(設定!$D$6:$D$18,MATCH($G1441,設定!$B$6:$B$18,0)),""))</f>
        <v/>
      </c>
      <c r="I1441" s="80">
        <f>IF($G1441="","",IFERROR(INDEX(設定!$E$6:$E$18,MATCH($G1441,設定!$B$6:$B$18,0)),""))</f>
        <v/>
      </c>
      <c r="J1441" s="80">
        <f>IFERROR(INDEX(打卡匯入!$C$3:$C$2002,MATCH($C1441&amp;"|"&amp;DAY($A1441),打卡匯入!$E$3:$E$2002,0)),"")</f>
        <v/>
      </c>
      <c r="K1441" s="80">
        <f>IFERROR(INDEX(打卡匯入!$D$3:$D$2002,MATCH($C1441&amp;"|"&amp;DAY($A1441),打卡匯入!$E$3:$E$2002,0)),"")</f>
        <v/>
      </c>
      <c r="L1441" s="81">
        <f>IF(OR($J1441="",$K1441=""),"",IFERROR(INDEX(設定!$F$6:$F$18,MATCH($G1441,設定!$B$6:$B$18,0)),0))</f>
        <v/>
      </c>
      <c r="M1441" s="82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1">
        <f>IF(OR($C1441="",$H1441="",$J1441=""),0,IF(ROUND(($J1441-$H1441)*1440,0)&gt;設定!$C$42,ROUND(($J1441-$H1441)*1440,0),0))</f>
        <v/>
      </c>
      <c r="P1441" s="81">
        <f>IF(OR($C1441="",$I1441="",$K1441=""),0,IF(ROUND(($I1441-$K1441)*1440,0)&gt;設定!$C$42,ROUND(($I1441-$K1441)*1440,0),0))</f>
        <v/>
      </c>
      <c r="Q1441" s="82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79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0">
        <f>IF($G1442="","",IFERROR(INDEX(設定!$D$6:$D$18,MATCH($G1442,設定!$B$6:$B$18,0)),""))</f>
        <v/>
      </c>
      <c r="I1442" s="80">
        <f>IF($G1442="","",IFERROR(INDEX(設定!$E$6:$E$18,MATCH($G1442,設定!$B$6:$B$18,0)),""))</f>
        <v/>
      </c>
      <c r="J1442" s="80">
        <f>IFERROR(INDEX(打卡匯入!$C$3:$C$2002,MATCH($C1442&amp;"|"&amp;DAY($A1442),打卡匯入!$E$3:$E$2002,0)),"")</f>
        <v/>
      </c>
      <c r="K1442" s="80">
        <f>IFERROR(INDEX(打卡匯入!$D$3:$D$2002,MATCH($C1442&amp;"|"&amp;DAY($A1442),打卡匯入!$E$3:$E$2002,0)),"")</f>
        <v/>
      </c>
      <c r="L1442" s="81">
        <f>IF(OR($J1442="",$K1442=""),"",IFERROR(INDEX(設定!$F$6:$F$18,MATCH($G1442,設定!$B$6:$B$18,0)),0))</f>
        <v/>
      </c>
      <c r="M1442" s="82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1">
        <f>IF(OR($C1442="",$H1442="",$J1442=""),0,IF(ROUND(($J1442-$H1442)*1440,0)&gt;設定!$C$42,ROUND(($J1442-$H1442)*1440,0),0))</f>
        <v/>
      </c>
      <c r="P1442" s="81">
        <f>IF(OR($C1442="",$I1442="",$K1442=""),0,IF(ROUND(($I1442-$K1442)*1440,0)&gt;設定!$C$42,ROUND(($I1442-$K1442)*1440,0),0))</f>
        <v/>
      </c>
      <c r="Q1442" s="82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79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0">
        <f>IF($G1443="","",IFERROR(INDEX(設定!$D$6:$D$18,MATCH($G1443,設定!$B$6:$B$18,0)),""))</f>
        <v/>
      </c>
      <c r="I1443" s="80">
        <f>IF($G1443="","",IFERROR(INDEX(設定!$E$6:$E$18,MATCH($G1443,設定!$B$6:$B$18,0)),""))</f>
        <v/>
      </c>
      <c r="J1443" s="80">
        <f>IFERROR(INDEX(打卡匯入!$C$3:$C$2002,MATCH($C1443&amp;"|"&amp;DAY($A1443),打卡匯入!$E$3:$E$2002,0)),"")</f>
        <v/>
      </c>
      <c r="K1443" s="80">
        <f>IFERROR(INDEX(打卡匯入!$D$3:$D$2002,MATCH($C1443&amp;"|"&amp;DAY($A1443),打卡匯入!$E$3:$E$2002,0)),"")</f>
        <v/>
      </c>
      <c r="L1443" s="81">
        <f>IF(OR($J1443="",$K1443=""),"",IFERROR(INDEX(設定!$F$6:$F$18,MATCH($G1443,設定!$B$6:$B$18,0)),0))</f>
        <v/>
      </c>
      <c r="M1443" s="82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1">
        <f>IF(OR($C1443="",$H1443="",$J1443=""),0,IF(ROUND(($J1443-$H1443)*1440,0)&gt;設定!$C$42,ROUND(($J1443-$H1443)*1440,0),0))</f>
        <v/>
      </c>
      <c r="P1443" s="81">
        <f>IF(OR($C1443="",$I1443="",$K1443=""),0,IF(ROUND(($I1443-$K1443)*1440,0)&gt;設定!$C$42,ROUND(($I1443-$K1443)*1440,0),0))</f>
        <v/>
      </c>
      <c r="Q1443" s="82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79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0">
        <f>IF($G1444="","",IFERROR(INDEX(設定!$D$6:$D$18,MATCH($G1444,設定!$B$6:$B$18,0)),""))</f>
        <v/>
      </c>
      <c r="I1444" s="80">
        <f>IF($G1444="","",IFERROR(INDEX(設定!$E$6:$E$18,MATCH($G1444,設定!$B$6:$B$18,0)),""))</f>
        <v/>
      </c>
      <c r="J1444" s="80">
        <f>IFERROR(INDEX(打卡匯入!$C$3:$C$2002,MATCH($C1444&amp;"|"&amp;DAY($A1444),打卡匯入!$E$3:$E$2002,0)),"")</f>
        <v/>
      </c>
      <c r="K1444" s="80">
        <f>IFERROR(INDEX(打卡匯入!$D$3:$D$2002,MATCH($C1444&amp;"|"&amp;DAY($A1444),打卡匯入!$E$3:$E$2002,0)),"")</f>
        <v/>
      </c>
      <c r="L1444" s="81">
        <f>IF(OR($J1444="",$K1444=""),"",IFERROR(INDEX(設定!$F$6:$F$18,MATCH($G1444,設定!$B$6:$B$18,0)),0))</f>
        <v/>
      </c>
      <c r="M1444" s="82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1">
        <f>IF(OR($C1444="",$H1444="",$J1444=""),0,IF(ROUND(($J1444-$H1444)*1440,0)&gt;設定!$C$42,ROUND(($J1444-$H1444)*1440,0),0))</f>
        <v/>
      </c>
      <c r="P1444" s="81">
        <f>IF(OR($C1444="",$I1444="",$K1444=""),0,IF(ROUND(($I1444-$K1444)*1440,0)&gt;設定!$C$42,ROUND(($I1444-$K1444)*1440,0),0))</f>
        <v/>
      </c>
      <c r="Q1444" s="82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79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0">
        <f>IF($G1445="","",IFERROR(INDEX(設定!$D$6:$D$18,MATCH($G1445,設定!$B$6:$B$18,0)),""))</f>
        <v/>
      </c>
      <c r="I1445" s="80">
        <f>IF($G1445="","",IFERROR(INDEX(設定!$E$6:$E$18,MATCH($G1445,設定!$B$6:$B$18,0)),""))</f>
        <v/>
      </c>
      <c r="J1445" s="80">
        <f>IFERROR(INDEX(打卡匯入!$C$3:$C$2002,MATCH($C1445&amp;"|"&amp;DAY($A1445),打卡匯入!$E$3:$E$2002,0)),"")</f>
        <v/>
      </c>
      <c r="K1445" s="80">
        <f>IFERROR(INDEX(打卡匯入!$D$3:$D$2002,MATCH($C1445&amp;"|"&amp;DAY($A1445),打卡匯入!$E$3:$E$2002,0)),"")</f>
        <v/>
      </c>
      <c r="L1445" s="81">
        <f>IF(OR($J1445="",$K1445=""),"",IFERROR(INDEX(設定!$F$6:$F$18,MATCH($G1445,設定!$B$6:$B$18,0)),0))</f>
        <v/>
      </c>
      <c r="M1445" s="82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1">
        <f>IF(OR($C1445="",$H1445="",$J1445=""),0,IF(ROUND(($J1445-$H1445)*1440,0)&gt;設定!$C$42,ROUND(($J1445-$H1445)*1440,0),0))</f>
        <v/>
      </c>
      <c r="P1445" s="81">
        <f>IF(OR($C1445="",$I1445="",$K1445=""),0,IF(ROUND(($I1445-$K1445)*1440,0)&gt;設定!$C$42,ROUND(($I1445-$K1445)*1440,0),0))</f>
        <v/>
      </c>
      <c r="Q1445" s="82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79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0">
        <f>IF($G1446="","",IFERROR(INDEX(設定!$D$6:$D$18,MATCH($G1446,設定!$B$6:$B$18,0)),""))</f>
        <v/>
      </c>
      <c r="I1446" s="80">
        <f>IF($G1446="","",IFERROR(INDEX(設定!$E$6:$E$18,MATCH($G1446,設定!$B$6:$B$18,0)),""))</f>
        <v/>
      </c>
      <c r="J1446" s="80">
        <f>IFERROR(INDEX(打卡匯入!$C$3:$C$2002,MATCH($C1446&amp;"|"&amp;DAY($A1446),打卡匯入!$E$3:$E$2002,0)),"")</f>
        <v/>
      </c>
      <c r="K1446" s="80">
        <f>IFERROR(INDEX(打卡匯入!$D$3:$D$2002,MATCH($C1446&amp;"|"&amp;DAY($A1446),打卡匯入!$E$3:$E$2002,0)),"")</f>
        <v/>
      </c>
      <c r="L1446" s="81">
        <f>IF(OR($J1446="",$K1446=""),"",IFERROR(INDEX(設定!$F$6:$F$18,MATCH($G1446,設定!$B$6:$B$18,0)),0))</f>
        <v/>
      </c>
      <c r="M1446" s="82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1">
        <f>IF(OR($C1446="",$H1446="",$J1446=""),0,IF(ROUND(($J1446-$H1446)*1440,0)&gt;設定!$C$42,ROUND(($J1446-$H1446)*1440,0),0))</f>
        <v/>
      </c>
      <c r="P1446" s="81">
        <f>IF(OR($C1446="",$I1446="",$K1446=""),0,IF(ROUND(($I1446-$K1446)*1440,0)&gt;設定!$C$42,ROUND(($I1446-$K1446)*1440,0),0))</f>
        <v/>
      </c>
      <c r="Q1446" s="82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79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0">
        <f>IF($G1447="","",IFERROR(INDEX(設定!$D$6:$D$18,MATCH($G1447,設定!$B$6:$B$18,0)),""))</f>
        <v/>
      </c>
      <c r="I1447" s="80">
        <f>IF($G1447="","",IFERROR(INDEX(設定!$E$6:$E$18,MATCH($G1447,設定!$B$6:$B$18,0)),""))</f>
        <v/>
      </c>
      <c r="J1447" s="80">
        <f>IFERROR(INDEX(打卡匯入!$C$3:$C$2002,MATCH($C1447&amp;"|"&amp;DAY($A1447),打卡匯入!$E$3:$E$2002,0)),"")</f>
        <v/>
      </c>
      <c r="K1447" s="80">
        <f>IFERROR(INDEX(打卡匯入!$D$3:$D$2002,MATCH($C1447&amp;"|"&amp;DAY($A1447),打卡匯入!$E$3:$E$2002,0)),"")</f>
        <v/>
      </c>
      <c r="L1447" s="81">
        <f>IF(OR($J1447="",$K1447=""),"",IFERROR(INDEX(設定!$F$6:$F$18,MATCH($G1447,設定!$B$6:$B$18,0)),0))</f>
        <v/>
      </c>
      <c r="M1447" s="82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1">
        <f>IF(OR($C1447="",$H1447="",$J1447=""),0,IF(ROUND(($J1447-$H1447)*1440,0)&gt;設定!$C$42,ROUND(($J1447-$H1447)*1440,0),0))</f>
        <v/>
      </c>
      <c r="P1447" s="81">
        <f>IF(OR($C1447="",$I1447="",$K1447=""),0,IF(ROUND(($I1447-$K1447)*1440,0)&gt;設定!$C$42,ROUND(($I1447-$K1447)*1440,0),0))</f>
        <v/>
      </c>
      <c r="Q1447" s="82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79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0">
        <f>IF($G1448="","",IFERROR(INDEX(設定!$D$6:$D$18,MATCH($G1448,設定!$B$6:$B$18,0)),""))</f>
        <v/>
      </c>
      <c r="I1448" s="80">
        <f>IF($G1448="","",IFERROR(INDEX(設定!$E$6:$E$18,MATCH($G1448,設定!$B$6:$B$18,0)),""))</f>
        <v/>
      </c>
      <c r="J1448" s="80">
        <f>IFERROR(INDEX(打卡匯入!$C$3:$C$2002,MATCH($C1448&amp;"|"&amp;DAY($A1448),打卡匯入!$E$3:$E$2002,0)),"")</f>
        <v/>
      </c>
      <c r="K1448" s="80">
        <f>IFERROR(INDEX(打卡匯入!$D$3:$D$2002,MATCH($C1448&amp;"|"&amp;DAY($A1448),打卡匯入!$E$3:$E$2002,0)),"")</f>
        <v/>
      </c>
      <c r="L1448" s="81">
        <f>IF(OR($J1448="",$K1448=""),"",IFERROR(INDEX(設定!$F$6:$F$18,MATCH($G1448,設定!$B$6:$B$18,0)),0))</f>
        <v/>
      </c>
      <c r="M1448" s="82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1">
        <f>IF(OR($C1448="",$H1448="",$J1448=""),0,IF(ROUND(($J1448-$H1448)*1440,0)&gt;設定!$C$42,ROUND(($J1448-$H1448)*1440,0),0))</f>
        <v/>
      </c>
      <c r="P1448" s="81">
        <f>IF(OR($C1448="",$I1448="",$K1448=""),0,IF(ROUND(($I1448-$K1448)*1440,0)&gt;設定!$C$42,ROUND(($I1448-$K1448)*1440,0),0))</f>
        <v/>
      </c>
      <c r="Q1448" s="82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79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0">
        <f>IF($G1449="","",IFERROR(INDEX(設定!$D$6:$D$18,MATCH($G1449,設定!$B$6:$B$18,0)),""))</f>
        <v/>
      </c>
      <c r="I1449" s="80">
        <f>IF($G1449="","",IFERROR(INDEX(設定!$E$6:$E$18,MATCH($G1449,設定!$B$6:$B$18,0)),""))</f>
        <v/>
      </c>
      <c r="J1449" s="80">
        <f>IFERROR(INDEX(打卡匯入!$C$3:$C$2002,MATCH($C1449&amp;"|"&amp;DAY($A1449),打卡匯入!$E$3:$E$2002,0)),"")</f>
        <v/>
      </c>
      <c r="K1449" s="80">
        <f>IFERROR(INDEX(打卡匯入!$D$3:$D$2002,MATCH($C1449&amp;"|"&amp;DAY($A1449),打卡匯入!$E$3:$E$2002,0)),"")</f>
        <v/>
      </c>
      <c r="L1449" s="81">
        <f>IF(OR($J1449="",$K1449=""),"",IFERROR(INDEX(設定!$F$6:$F$18,MATCH($G1449,設定!$B$6:$B$18,0)),0))</f>
        <v/>
      </c>
      <c r="M1449" s="82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1">
        <f>IF(OR($C1449="",$H1449="",$J1449=""),0,IF(ROUND(($J1449-$H1449)*1440,0)&gt;設定!$C$42,ROUND(($J1449-$H1449)*1440,0),0))</f>
        <v/>
      </c>
      <c r="P1449" s="81">
        <f>IF(OR($C1449="",$I1449="",$K1449=""),0,IF(ROUND(($I1449-$K1449)*1440,0)&gt;設定!$C$42,ROUND(($I1449-$K1449)*1440,0),0))</f>
        <v/>
      </c>
      <c r="Q1449" s="82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79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0">
        <f>IF($G1450="","",IFERROR(INDEX(設定!$D$6:$D$18,MATCH($G1450,設定!$B$6:$B$18,0)),""))</f>
        <v/>
      </c>
      <c r="I1450" s="80">
        <f>IF($G1450="","",IFERROR(INDEX(設定!$E$6:$E$18,MATCH($G1450,設定!$B$6:$B$18,0)),""))</f>
        <v/>
      </c>
      <c r="J1450" s="80">
        <f>IFERROR(INDEX(打卡匯入!$C$3:$C$2002,MATCH($C1450&amp;"|"&amp;DAY($A1450),打卡匯入!$E$3:$E$2002,0)),"")</f>
        <v/>
      </c>
      <c r="K1450" s="80">
        <f>IFERROR(INDEX(打卡匯入!$D$3:$D$2002,MATCH($C1450&amp;"|"&amp;DAY($A1450),打卡匯入!$E$3:$E$2002,0)),"")</f>
        <v/>
      </c>
      <c r="L1450" s="81">
        <f>IF(OR($J1450="",$K1450=""),"",IFERROR(INDEX(設定!$F$6:$F$18,MATCH($G1450,設定!$B$6:$B$18,0)),0))</f>
        <v/>
      </c>
      <c r="M1450" s="82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1">
        <f>IF(OR($C1450="",$H1450="",$J1450=""),0,IF(ROUND(($J1450-$H1450)*1440,0)&gt;設定!$C$42,ROUND(($J1450-$H1450)*1440,0),0))</f>
        <v/>
      </c>
      <c r="P1450" s="81">
        <f>IF(OR($C1450="",$I1450="",$K1450=""),0,IF(ROUND(($I1450-$K1450)*1440,0)&gt;設定!$C$42,ROUND(($I1450-$K1450)*1440,0),0))</f>
        <v/>
      </c>
      <c r="Q1450" s="82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79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0">
        <f>IF($G1451="","",IFERROR(INDEX(設定!$D$6:$D$18,MATCH($G1451,設定!$B$6:$B$18,0)),""))</f>
        <v/>
      </c>
      <c r="I1451" s="80">
        <f>IF($G1451="","",IFERROR(INDEX(設定!$E$6:$E$18,MATCH($G1451,設定!$B$6:$B$18,0)),""))</f>
        <v/>
      </c>
      <c r="J1451" s="80">
        <f>IFERROR(INDEX(打卡匯入!$C$3:$C$2002,MATCH($C1451&amp;"|"&amp;DAY($A1451),打卡匯入!$E$3:$E$2002,0)),"")</f>
        <v/>
      </c>
      <c r="K1451" s="80">
        <f>IFERROR(INDEX(打卡匯入!$D$3:$D$2002,MATCH($C1451&amp;"|"&amp;DAY($A1451),打卡匯入!$E$3:$E$2002,0)),"")</f>
        <v/>
      </c>
      <c r="L1451" s="81">
        <f>IF(OR($J1451="",$K1451=""),"",IFERROR(INDEX(設定!$F$6:$F$18,MATCH($G1451,設定!$B$6:$B$18,0)),0))</f>
        <v/>
      </c>
      <c r="M1451" s="82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1">
        <f>IF(OR($C1451="",$H1451="",$J1451=""),0,IF(ROUND(($J1451-$H1451)*1440,0)&gt;設定!$C$42,ROUND(($J1451-$H1451)*1440,0),0))</f>
        <v/>
      </c>
      <c r="P1451" s="81">
        <f>IF(OR($C1451="",$I1451="",$K1451=""),0,IF(ROUND(($I1451-$K1451)*1440,0)&gt;設定!$C$42,ROUND(($I1451-$K1451)*1440,0),0))</f>
        <v/>
      </c>
      <c r="Q1451" s="82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79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0">
        <f>IF($G1452="","",IFERROR(INDEX(設定!$D$6:$D$18,MATCH($G1452,設定!$B$6:$B$18,0)),""))</f>
        <v/>
      </c>
      <c r="I1452" s="80">
        <f>IF($G1452="","",IFERROR(INDEX(設定!$E$6:$E$18,MATCH($G1452,設定!$B$6:$B$18,0)),""))</f>
        <v/>
      </c>
      <c r="J1452" s="80">
        <f>IFERROR(INDEX(打卡匯入!$C$3:$C$2002,MATCH($C1452&amp;"|"&amp;DAY($A1452),打卡匯入!$E$3:$E$2002,0)),"")</f>
        <v/>
      </c>
      <c r="K1452" s="80">
        <f>IFERROR(INDEX(打卡匯入!$D$3:$D$2002,MATCH($C1452&amp;"|"&amp;DAY($A1452),打卡匯入!$E$3:$E$2002,0)),"")</f>
        <v/>
      </c>
      <c r="L1452" s="81">
        <f>IF(OR($J1452="",$K1452=""),"",IFERROR(INDEX(設定!$F$6:$F$18,MATCH($G1452,設定!$B$6:$B$18,0)),0))</f>
        <v/>
      </c>
      <c r="M1452" s="82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1">
        <f>IF(OR($C1452="",$H1452="",$J1452=""),0,IF(ROUND(($J1452-$H1452)*1440,0)&gt;設定!$C$42,ROUND(($J1452-$H1452)*1440,0),0))</f>
        <v/>
      </c>
      <c r="P1452" s="81">
        <f>IF(OR($C1452="",$I1452="",$K1452=""),0,IF(ROUND(($I1452-$K1452)*1440,0)&gt;設定!$C$42,ROUND(($I1452-$K1452)*1440,0),0))</f>
        <v/>
      </c>
      <c r="Q1452" s="82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79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0">
        <f>IF($G1453="","",IFERROR(INDEX(設定!$D$6:$D$18,MATCH($G1453,設定!$B$6:$B$18,0)),""))</f>
        <v/>
      </c>
      <c r="I1453" s="80">
        <f>IF($G1453="","",IFERROR(INDEX(設定!$E$6:$E$18,MATCH($G1453,設定!$B$6:$B$18,0)),""))</f>
        <v/>
      </c>
      <c r="J1453" s="80">
        <f>IFERROR(INDEX(打卡匯入!$C$3:$C$2002,MATCH($C1453&amp;"|"&amp;DAY($A1453),打卡匯入!$E$3:$E$2002,0)),"")</f>
        <v/>
      </c>
      <c r="K1453" s="80">
        <f>IFERROR(INDEX(打卡匯入!$D$3:$D$2002,MATCH($C1453&amp;"|"&amp;DAY($A1453),打卡匯入!$E$3:$E$2002,0)),"")</f>
        <v/>
      </c>
      <c r="L1453" s="81">
        <f>IF(OR($J1453="",$K1453=""),"",IFERROR(INDEX(設定!$F$6:$F$18,MATCH($G1453,設定!$B$6:$B$18,0)),0))</f>
        <v/>
      </c>
      <c r="M1453" s="82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1">
        <f>IF(OR($C1453="",$H1453="",$J1453=""),0,IF(ROUND(($J1453-$H1453)*1440,0)&gt;設定!$C$42,ROUND(($J1453-$H1453)*1440,0),0))</f>
        <v/>
      </c>
      <c r="P1453" s="81">
        <f>IF(OR($C1453="",$I1453="",$K1453=""),0,IF(ROUND(($I1453-$K1453)*1440,0)&gt;設定!$C$42,ROUND(($I1453-$K1453)*1440,0),0))</f>
        <v/>
      </c>
      <c r="Q1453" s="82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79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0">
        <f>IF($G1454="","",IFERROR(INDEX(設定!$D$6:$D$18,MATCH($G1454,設定!$B$6:$B$18,0)),""))</f>
        <v/>
      </c>
      <c r="I1454" s="80">
        <f>IF($G1454="","",IFERROR(INDEX(設定!$E$6:$E$18,MATCH($G1454,設定!$B$6:$B$18,0)),""))</f>
        <v/>
      </c>
      <c r="J1454" s="80">
        <f>IFERROR(INDEX(打卡匯入!$C$3:$C$2002,MATCH($C1454&amp;"|"&amp;DAY($A1454),打卡匯入!$E$3:$E$2002,0)),"")</f>
        <v/>
      </c>
      <c r="K1454" s="80">
        <f>IFERROR(INDEX(打卡匯入!$D$3:$D$2002,MATCH($C1454&amp;"|"&amp;DAY($A1454),打卡匯入!$E$3:$E$2002,0)),"")</f>
        <v/>
      </c>
      <c r="L1454" s="81">
        <f>IF(OR($J1454="",$K1454=""),"",IFERROR(INDEX(設定!$F$6:$F$18,MATCH($G1454,設定!$B$6:$B$18,0)),0))</f>
        <v/>
      </c>
      <c r="M1454" s="82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1">
        <f>IF(OR($C1454="",$H1454="",$J1454=""),0,IF(ROUND(($J1454-$H1454)*1440,0)&gt;設定!$C$42,ROUND(($J1454-$H1454)*1440,0),0))</f>
        <v/>
      </c>
      <c r="P1454" s="81">
        <f>IF(OR($C1454="",$I1454="",$K1454=""),0,IF(ROUND(($I1454-$K1454)*1440,0)&gt;設定!$C$42,ROUND(($I1454-$K1454)*1440,0),0))</f>
        <v/>
      </c>
      <c r="Q1454" s="82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79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0">
        <f>IF($G1455="","",IFERROR(INDEX(設定!$D$6:$D$18,MATCH($G1455,設定!$B$6:$B$18,0)),""))</f>
        <v/>
      </c>
      <c r="I1455" s="80">
        <f>IF($G1455="","",IFERROR(INDEX(設定!$E$6:$E$18,MATCH($G1455,設定!$B$6:$B$18,0)),""))</f>
        <v/>
      </c>
      <c r="J1455" s="80">
        <f>IFERROR(INDEX(打卡匯入!$C$3:$C$2002,MATCH($C1455&amp;"|"&amp;DAY($A1455),打卡匯入!$E$3:$E$2002,0)),"")</f>
        <v/>
      </c>
      <c r="K1455" s="80">
        <f>IFERROR(INDEX(打卡匯入!$D$3:$D$2002,MATCH($C1455&amp;"|"&amp;DAY($A1455),打卡匯入!$E$3:$E$2002,0)),"")</f>
        <v/>
      </c>
      <c r="L1455" s="81">
        <f>IF(OR($J1455="",$K1455=""),"",IFERROR(INDEX(設定!$F$6:$F$18,MATCH($G1455,設定!$B$6:$B$18,0)),0))</f>
        <v/>
      </c>
      <c r="M1455" s="82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1">
        <f>IF(OR($C1455="",$H1455="",$J1455=""),0,IF(ROUND(($J1455-$H1455)*1440,0)&gt;設定!$C$42,ROUND(($J1455-$H1455)*1440,0),0))</f>
        <v/>
      </c>
      <c r="P1455" s="81">
        <f>IF(OR($C1455="",$I1455="",$K1455=""),0,IF(ROUND(($I1455-$K1455)*1440,0)&gt;設定!$C$42,ROUND(($I1455-$K1455)*1440,0),0))</f>
        <v/>
      </c>
      <c r="Q1455" s="82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79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0">
        <f>IF($G1456="","",IFERROR(INDEX(設定!$D$6:$D$18,MATCH($G1456,設定!$B$6:$B$18,0)),""))</f>
        <v/>
      </c>
      <c r="I1456" s="80">
        <f>IF($G1456="","",IFERROR(INDEX(設定!$E$6:$E$18,MATCH($G1456,設定!$B$6:$B$18,0)),""))</f>
        <v/>
      </c>
      <c r="J1456" s="80">
        <f>IFERROR(INDEX(打卡匯入!$C$3:$C$2002,MATCH($C1456&amp;"|"&amp;DAY($A1456),打卡匯入!$E$3:$E$2002,0)),"")</f>
        <v/>
      </c>
      <c r="K1456" s="80">
        <f>IFERROR(INDEX(打卡匯入!$D$3:$D$2002,MATCH($C1456&amp;"|"&amp;DAY($A1456),打卡匯入!$E$3:$E$2002,0)),"")</f>
        <v/>
      </c>
      <c r="L1456" s="81">
        <f>IF(OR($J1456="",$K1456=""),"",IFERROR(INDEX(設定!$F$6:$F$18,MATCH($G1456,設定!$B$6:$B$18,0)),0))</f>
        <v/>
      </c>
      <c r="M1456" s="82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1">
        <f>IF(OR($C1456="",$H1456="",$J1456=""),0,IF(ROUND(($J1456-$H1456)*1440,0)&gt;設定!$C$42,ROUND(($J1456-$H1456)*1440,0),0))</f>
        <v/>
      </c>
      <c r="P1456" s="81">
        <f>IF(OR($C1456="",$I1456="",$K1456=""),0,IF(ROUND(($I1456-$K1456)*1440,0)&gt;設定!$C$42,ROUND(($I1456-$K1456)*1440,0),0))</f>
        <v/>
      </c>
      <c r="Q1456" s="82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79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0">
        <f>IF($G1457="","",IFERROR(INDEX(設定!$D$6:$D$18,MATCH($G1457,設定!$B$6:$B$18,0)),""))</f>
        <v/>
      </c>
      <c r="I1457" s="80">
        <f>IF($G1457="","",IFERROR(INDEX(設定!$E$6:$E$18,MATCH($G1457,設定!$B$6:$B$18,0)),""))</f>
        <v/>
      </c>
      <c r="J1457" s="80">
        <f>IFERROR(INDEX(打卡匯入!$C$3:$C$2002,MATCH($C1457&amp;"|"&amp;DAY($A1457),打卡匯入!$E$3:$E$2002,0)),"")</f>
        <v/>
      </c>
      <c r="K1457" s="80">
        <f>IFERROR(INDEX(打卡匯入!$D$3:$D$2002,MATCH($C1457&amp;"|"&amp;DAY($A1457),打卡匯入!$E$3:$E$2002,0)),"")</f>
        <v/>
      </c>
      <c r="L1457" s="81">
        <f>IF(OR($J1457="",$K1457=""),"",IFERROR(INDEX(設定!$F$6:$F$18,MATCH($G1457,設定!$B$6:$B$18,0)),0))</f>
        <v/>
      </c>
      <c r="M1457" s="82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1">
        <f>IF(OR($C1457="",$H1457="",$J1457=""),0,IF(ROUND(($J1457-$H1457)*1440,0)&gt;設定!$C$42,ROUND(($J1457-$H1457)*1440,0),0))</f>
        <v/>
      </c>
      <c r="P1457" s="81">
        <f>IF(OR($C1457="",$I1457="",$K1457=""),0,IF(ROUND(($I1457-$K1457)*1440,0)&gt;設定!$C$42,ROUND(($I1457-$K1457)*1440,0),0))</f>
        <v/>
      </c>
      <c r="Q1457" s="82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79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0">
        <f>IF($G1458="","",IFERROR(INDEX(設定!$D$6:$D$18,MATCH($G1458,設定!$B$6:$B$18,0)),""))</f>
        <v/>
      </c>
      <c r="I1458" s="80">
        <f>IF($G1458="","",IFERROR(INDEX(設定!$E$6:$E$18,MATCH($G1458,設定!$B$6:$B$18,0)),""))</f>
        <v/>
      </c>
      <c r="J1458" s="80">
        <f>IFERROR(INDEX(打卡匯入!$C$3:$C$2002,MATCH($C1458&amp;"|"&amp;DAY($A1458),打卡匯入!$E$3:$E$2002,0)),"")</f>
        <v/>
      </c>
      <c r="K1458" s="80">
        <f>IFERROR(INDEX(打卡匯入!$D$3:$D$2002,MATCH($C1458&amp;"|"&amp;DAY($A1458),打卡匯入!$E$3:$E$2002,0)),"")</f>
        <v/>
      </c>
      <c r="L1458" s="81">
        <f>IF(OR($J1458="",$K1458=""),"",IFERROR(INDEX(設定!$F$6:$F$18,MATCH($G1458,設定!$B$6:$B$18,0)),0))</f>
        <v/>
      </c>
      <c r="M1458" s="82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1">
        <f>IF(OR($C1458="",$H1458="",$J1458=""),0,IF(ROUND(($J1458-$H1458)*1440,0)&gt;設定!$C$42,ROUND(($J1458-$H1458)*1440,0),0))</f>
        <v/>
      </c>
      <c r="P1458" s="81">
        <f>IF(OR($C1458="",$I1458="",$K1458=""),0,IF(ROUND(($I1458-$K1458)*1440,0)&gt;設定!$C$42,ROUND(($I1458-$K1458)*1440,0),0))</f>
        <v/>
      </c>
      <c r="Q1458" s="82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79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0">
        <f>IF($G1459="","",IFERROR(INDEX(設定!$D$6:$D$18,MATCH($G1459,設定!$B$6:$B$18,0)),""))</f>
        <v/>
      </c>
      <c r="I1459" s="80">
        <f>IF($G1459="","",IFERROR(INDEX(設定!$E$6:$E$18,MATCH($G1459,設定!$B$6:$B$18,0)),""))</f>
        <v/>
      </c>
      <c r="J1459" s="80">
        <f>IFERROR(INDEX(打卡匯入!$C$3:$C$2002,MATCH($C1459&amp;"|"&amp;DAY($A1459),打卡匯入!$E$3:$E$2002,0)),"")</f>
        <v/>
      </c>
      <c r="K1459" s="80">
        <f>IFERROR(INDEX(打卡匯入!$D$3:$D$2002,MATCH($C1459&amp;"|"&amp;DAY($A1459),打卡匯入!$E$3:$E$2002,0)),"")</f>
        <v/>
      </c>
      <c r="L1459" s="81">
        <f>IF(OR($J1459="",$K1459=""),"",IFERROR(INDEX(設定!$F$6:$F$18,MATCH($G1459,設定!$B$6:$B$18,0)),0))</f>
        <v/>
      </c>
      <c r="M1459" s="82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1">
        <f>IF(OR($C1459="",$H1459="",$J1459=""),0,IF(ROUND(($J1459-$H1459)*1440,0)&gt;設定!$C$42,ROUND(($J1459-$H1459)*1440,0),0))</f>
        <v/>
      </c>
      <c r="P1459" s="81">
        <f>IF(OR($C1459="",$I1459="",$K1459=""),0,IF(ROUND(($I1459-$K1459)*1440,0)&gt;設定!$C$42,ROUND(($I1459-$K1459)*1440,0),0))</f>
        <v/>
      </c>
      <c r="Q1459" s="82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79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0">
        <f>IF($G1460="","",IFERROR(INDEX(設定!$D$6:$D$18,MATCH($G1460,設定!$B$6:$B$18,0)),""))</f>
        <v/>
      </c>
      <c r="I1460" s="80">
        <f>IF($G1460="","",IFERROR(INDEX(設定!$E$6:$E$18,MATCH($G1460,設定!$B$6:$B$18,0)),""))</f>
        <v/>
      </c>
      <c r="J1460" s="80">
        <f>IFERROR(INDEX(打卡匯入!$C$3:$C$2002,MATCH($C1460&amp;"|"&amp;DAY($A1460),打卡匯入!$E$3:$E$2002,0)),"")</f>
        <v/>
      </c>
      <c r="K1460" s="80">
        <f>IFERROR(INDEX(打卡匯入!$D$3:$D$2002,MATCH($C1460&amp;"|"&amp;DAY($A1460),打卡匯入!$E$3:$E$2002,0)),"")</f>
        <v/>
      </c>
      <c r="L1460" s="81">
        <f>IF(OR($J1460="",$K1460=""),"",IFERROR(INDEX(設定!$F$6:$F$18,MATCH($G1460,設定!$B$6:$B$18,0)),0))</f>
        <v/>
      </c>
      <c r="M1460" s="82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1">
        <f>IF(OR($C1460="",$H1460="",$J1460=""),0,IF(ROUND(($J1460-$H1460)*1440,0)&gt;設定!$C$42,ROUND(($J1460-$H1460)*1440,0),0))</f>
        <v/>
      </c>
      <c r="P1460" s="81">
        <f>IF(OR($C1460="",$I1460="",$K1460=""),0,IF(ROUND(($I1460-$K1460)*1440,0)&gt;設定!$C$42,ROUND(($I1460-$K1460)*1440,0),0))</f>
        <v/>
      </c>
      <c r="Q1460" s="82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79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0">
        <f>IF($G1461="","",IFERROR(INDEX(設定!$D$6:$D$18,MATCH($G1461,設定!$B$6:$B$18,0)),""))</f>
        <v/>
      </c>
      <c r="I1461" s="80">
        <f>IF($G1461="","",IFERROR(INDEX(設定!$E$6:$E$18,MATCH($G1461,設定!$B$6:$B$18,0)),""))</f>
        <v/>
      </c>
      <c r="J1461" s="80">
        <f>IFERROR(INDEX(打卡匯入!$C$3:$C$2002,MATCH($C1461&amp;"|"&amp;DAY($A1461),打卡匯入!$E$3:$E$2002,0)),"")</f>
        <v/>
      </c>
      <c r="K1461" s="80">
        <f>IFERROR(INDEX(打卡匯入!$D$3:$D$2002,MATCH($C1461&amp;"|"&amp;DAY($A1461),打卡匯入!$E$3:$E$2002,0)),"")</f>
        <v/>
      </c>
      <c r="L1461" s="81">
        <f>IF(OR($J1461="",$K1461=""),"",IFERROR(INDEX(設定!$F$6:$F$18,MATCH($G1461,設定!$B$6:$B$18,0)),0))</f>
        <v/>
      </c>
      <c r="M1461" s="82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1">
        <f>IF(OR($C1461="",$H1461="",$J1461=""),0,IF(ROUND(($J1461-$H1461)*1440,0)&gt;設定!$C$42,ROUND(($J1461-$H1461)*1440,0),0))</f>
        <v/>
      </c>
      <c r="P1461" s="81">
        <f>IF(OR($C1461="",$I1461="",$K1461=""),0,IF(ROUND(($I1461-$K1461)*1440,0)&gt;設定!$C$42,ROUND(($I1461-$K1461)*1440,0),0))</f>
        <v/>
      </c>
      <c r="Q1461" s="82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79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0">
        <f>IF($G1462="","",IFERROR(INDEX(設定!$D$6:$D$18,MATCH($G1462,設定!$B$6:$B$18,0)),""))</f>
        <v/>
      </c>
      <c r="I1462" s="80">
        <f>IF($G1462="","",IFERROR(INDEX(設定!$E$6:$E$18,MATCH($G1462,設定!$B$6:$B$18,0)),""))</f>
        <v/>
      </c>
      <c r="J1462" s="80">
        <f>IFERROR(INDEX(打卡匯入!$C$3:$C$2002,MATCH($C1462&amp;"|"&amp;DAY($A1462),打卡匯入!$E$3:$E$2002,0)),"")</f>
        <v/>
      </c>
      <c r="K1462" s="80">
        <f>IFERROR(INDEX(打卡匯入!$D$3:$D$2002,MATCH($C1462&amp;"|"&amp;DAY($A1462),打卡匯入!$E$3:$E$2002,0)),"")</f>
        <v/>
      </c>
      <c r="L1462" s="81">
        <f>IF(OR($J1462="",$K1462=""),"",IFERROR(INDEX(設定!$F$6:$F$18,MATCH($G1462,設定!$B$6:$B$18,0)),0))</f>
        <v/>
      </c>
      <c r="M1462" s="82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1">
        <f>IF(OR($C1462="",$H1462="",$J1462=""),0,IF(ROUND(($J1462-$H1462)*1440,0)&gt;設定!$C$42,ROUND(($J1462-$H1462)*1440,0),0))</f>
        <v/>
      </c>
      <c r="P1462" s="81">
        <f>IF(OR($C1462="",$I1462="",$K1462=""),0,IF(ROUND(($I1462-$K1462)*1440,0)&gt;設定!$C$42,ROUND(($I1462-$K1462)*1440,0),0))</f>
        <v/>
      </c>
      <c r="Q1462" s="82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79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0">
        <f>IF($G1463="","",IFERROR(INDEX(設定!$D$6:$D$18,MATCH($G1463,設定!$B$6:$B$18,0)),""))</f>
        <v/>
      </c>
      <c r="I1463" s="80">
        <f>IF($G1463="","",IFERROR(INDEX(設定!$E$6:$E$18,MATCH($G1463,設定!$B$6:$B$18,0)),""))</f>
        <v/>
      </c>
      <c r="J1463" s="80">
        <f>IFERROR(INDEX(打卡匯入!$C$3:$C$2002,MATCH($C1463&amp;"|"&amp;DAY($A1463),打卡匯入!$E$3:$E$2002,0)),"")</f>
        <v/>
      </c>
      <c r="K1463" s="80">
        <f>IFERROR(INDEX(打卡匯入!$D$3:$D$2002,MATCH($C1463&amp;"|"&amp;DAY($A1463),打卡匯入!$E$3:$E$2002,0)),"")</f>
        <v/>
      </c>
      <c r="L1463" s="81">
        <f>IF(OR($J1463="",$K1463=""),"",IFERROR(INDEX(設定!$F$6:$F$18,MATCH($G1463,設定!$B$6:$B$18,0)),0))</f>
        <v/>
      </c>
      <c r="M1463" s="82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1">
        <f>IF(OR($C1463="",$H1463="",$J1463=""),0,IF(ROUND(($J1463-$H1463)*1440,0)&gt;設定!$C$42,ROUND(($J1463-$H1463)*1440,0),0))</f>
        <v/>
      </c>
      <c r="P1463" s="81">
        <f>IF(OR($C1463="",$I1463="",$K1463=""),0,IF(ROUND(($I1463-$K1463)*1440,0)&gt;設定!$C$42,ROUND(($I1463-$K1463)*1440,0),0))</f>
        <v/>
      </c>
      <c r="Q1463" s="82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79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0">
        <f>IF($G1464="","",IFERROR(INDEX(設定!$D$6:$D$18,MATCH($G1464,設定!$B$6:$B$18,0)),""))</f>
        <v/>
      </c>
      <c r="I1464" s="80">
        <f>IF($G1464="","",IFERROR(INDEX(設定!$E$6:$E$18,MATCH($G1464,設定!$B$6:$B$18,0)),""))</f>
        <v/>
      </c>
      <c r="J1464" s="80">
        <f>IFERROR(INDEX(打卡匯入!$C$3:$C$2002,MATCH($C1464&amp;"|"&amp;DAY($A1464),打卡匯入!$E$3:$E$2002,0)),"")</f>
        <v/>
      </c>
      <c r="K1464" s="80">
        <f>IFERROR(INDEX(打卡匯入!$D$3:$D$2002,MATCH($C1464&amp;"|"&amp;DAY($A1464),打卡匯入!$E$3:$E$2002,0)),"")</f>
        <v/>
      </c>
      <c r="L1464" s="81">
        <f>IF(OR($J1464="",$K1464=""),"",IFERROR(INDEX(設定!$F$6:$F$18,MATCH($G1464,設定!$B$6:$B$18,0)),0))</f>
        <v/>
      </c>
      <c r="M1464" s="82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1">
        <f>IF(OR($C1464="",$H1464="",$J1464=""),0,IF(ROUND(($J1464-$H1464)*1440,0)&gt;設定!$C$42,ROUND(($J1464-$H1464)*1440,0),0))</f>
        <v/>
      </c>
      <c r="P1464" s="81">
        <f>IF(OR($C1464="",$I1464="",$K1464=""),0,IF(ROUND(($I1464-$K1464)*1440,0)&gt;設定!$C$42,ROUND(($I1464-$K1464)*1440,0),0))</f>
        <v/>
      </c>
      <c r="Q1464" s="82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79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0">
        <f>IF($G1465="","",IFERROR(INDEX(設定!$D$6:$D$18,MATCH($G1465,設定!$B$6:$B$18,0)),""))</f>
        <v/>
      </c>
      <c r="I1465" s="80">
        <f>IF($G1465="","",IFERROR(INDEX(設定!$E$6:$E$18,MATCH($G1465,設定!$B$6:$B$18,0)),""))</f>
        <v/>
      </c>
      <c r="J1465" s="80">
        <f>IFERROR(INDEX(打卡匯入!$C$3:$C$2002,MATCH($C1465&amp;"|"&amp;DAY($A1465),打卡匯入!$E$3:$E$2002,0)),"")</f>
        <v/>
      </c>
      <c r="K1465" s="80">
        <f>IFERROR(INDEX(打卡匯入!$D$3:$D$2002,MATCH($C1465&amp;"|"&amp;DAY($A1465),打卡匯入!$E$3:$E$2002,0)),"")</f>
        <v/>
      </c>
      <c r="L1465" s="81">
        <f>IF(OR($J1465="",$K1465=""),"",IFERROR(INDEX(設定!$F$6:$F$18,MATCH($G1465,設定!$B$6:$B$18,0)),0))</f>
        <v/>
      </c>
      <c r="M1465" s="82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1">
        <f>IF(OR($C1465="",$H1465="",$J1465=""),0,IF(ROUND(($J1465-$H1465)*1440,0)&gt;設定!$C$42,ROUND(($J1465-$H1465)*1440,0),0))</f>
        <v/>
      </c>
      <c r="P1465" s="81">
        <f>IF(OR($C1465="",$I1465="",$K1465=""),0,IF(ROUND(($I1465-$K1465)*1440,0)&gt;設定!$C$42,ROUND(($I1465-$K1465)*1440,0),0))</f>
        <v/>
      </c>
      <c r="Q1465" s="82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79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0">
        <f>IF($G1466="","",IFERROR(INDEX(設定!$D$6:$D$18,MATCH($G1466,設定!$B$6:$B$18,0)),""))</f>
        <v/>
      </c>
      <c r="I1466" s="80">
        <f>IF($G1466="","",IFERROR(INDEX(設定!$E$6:$E$18,MATCH($G1466,設定!$B$6:$B$18,0)),""))</f>
        <v/>
      </c>
      <c r="J1466" s="80">
        <f>IFERROR(INDEX(打卡匯入!$C$3:$C$2002,MATCH($C1466&amp;"|"&amp;DAY($A1466),打卡匯入!$E$3:$E$2002,0)),"")</f>
        <v/>
      </c>
      <c r="K1466" s="80">
        <f>IFERROR(INDEX(打卡匯入!$D$3:$D$2002,MATCH($C1466&amp;"|"&amp;DAY($A1466),打卡匯入!$E$3:$E$2002,0)),"")</f>
        <v/>
      </c>
      <c r="L1466" s="81">
        <f>IF(OR($J1466="",$K1466=""),"",IFERROR(INDEX(設定!$F$6:$F$18,MATCH($G1466,設定!$B$6:$B$18,0)),0))</f>
        <v/>
      </c>
      <c r="M1466" s="82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1">
        <f>IF(OR($C1466="",$H1466="",$J1466=""),0,IF(ROUND(($J1466-$H1466)*1440,0)&gt;設定!$C$42,ROUND(($J1466-$H1466)*1440,0),0))</f>
        <v/>
      </c>
      <c r="P1466" s="81">
        <f>IF(OR($C1466="",$I1466="",$K1466=""),0,IF(ROUND(($I1466-$K1466)*1440,0)&gt;設定!$C$42,ROUND(($I1466-$K1466)*1440,0),0))</f>
        <v/>
      </c>
      <c r="Q1466" s="82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79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0">
        <f>IF($G1467="","",IFERROR(INDEX(設定!$D$6:$D$18,MATCH($G1467,設定!$B$6:$B$18,0)),""))</f>
        <v/>
      </c>
      <c r="I1467" s="80">
        <f>IF($G1467="","",IFERROR(INDEX(設定!$E$6:$E$18,MATCH($G1467,設定!$B$6:$B$18,0)),""))</f>
        <v/>
      </c>
      <c r="J1467" s="80">
        <f>IFERROR(INDEX(打卡匯入!$C$3:$C$2002,MATCH($C1467&amp;"|"&amp;DAY($A1467),打卡匯入!$E$3:$E$2002,0)),"")</f>
        <v/>
      </c>
      <c r="K1467" s="80">
        <f>IFERROR(INDEX(打卡匯入!$D$3:$D$2002,MATCH($C1467&amp;"|"&amp;DAY($A1467),打卡匯入!$E$3:$E$2002,0)),"")</f>
        <v/>
      </c>
      <c r="L1467" s="81">
        <f>IF(OR($J1467="",$K1467=""),"",IFERROR(INDEX(設定!$F$6:$F$18,MATCH($G1467,設定!$B$6:$B$18,0)),0))</f>
        <v/>
      </c>
      <c r="M1467" s="82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1">
        <f>IF(OR($C1467="",$H1467="",$J1467=""),0,IF(ROUND(($J1467-$H1467)*1440,0)&gt;設定!$C$42,ROUND(($J1467-$H1467)*1440,0),0))</f>
        <v/>
      </c>
      <c r="P1467" s="81">
        <f>IF(OR($C1467="",$I1467="",$K1467=""),0,IF(ROUND(($I1467-$K1467)*1440,0)&gt;設定!$C$42,ROUND(($I1467-$K1467)*1440,0),0))</f>
        <v/>
      </c>
      <c r="Q1467" s="82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79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0">
        <f>IF($G1468="","",IFERROR(INDEX(設定!$D$6:$D$18,MATCH($G1468,設定!$B$6:$B$18,0)),""))</f>
        <v/>
      </c>
      <c r="I1468" s="80">
        <f>IF($G1468="","",IFERROR(INDEX(設定!$E$6:$E$18,MATCH($G1468,設定!$B$6:$B$18,0)),""))</f>
        <v/>
      </c>
      <c r="J1468" s="80">
        <f>IFERROR(INDEX(打卡匯入!$C$3:$C$2002,MATCH($C1468&amp;"|"&amp;DAY($A1468),打卡匯入!$E$3:$E$2002,0)),"")</f>
        <v/>
      </c>
      <c r="K1468" s="80">
        <f>IFERROR(INDEX(打卡匯入!$D$3:$D$2002,MATCH($C1468&amp;"|"&amp;DAY($A1468),打卡匯入!$E$3:$E$2002,0)),"")</f>
        <v/>
      </c>
      <c r="L1468" s="81">
        <f>IF(OR($J1468="",$K1468=""),"",IFERROR(INDEX(設定!$F$6:$F$18,MATCH($G1468,設定!$B$6:$B$18,0)),0))</f>
        <v/>
      </c>
      <c r="M1468" s="82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1">
        <f>IF(OR($C1468="",$H1468="",$J1468=""),0,IF(ROUND(($J1468-$H1468)*1440,0)&gt;設定!$C$42,ROUND(($J1468-$H1468)*1440,0),0))</f>
        <v/>
      </c>
      <c r="P1468" s="81">
        <f>IF(OR($C1468="",$I1468="",$K1468=""),0,IF(ROUND(($I1468-$K1468)*1440,0)&gt;設定!$C$42,ROUND(($I1468-$K1468)*1440,0),0))</f>
        <v/>
      </c>
      <c r="Q1468" s="82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79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0">
        <f>IF($G1469="","",IFERROR(INDEX(設定!$D$6:$D$18,MATCH($G1469,設定!$B$6:$B$18,0)),""))</f>
        <v/>
      </c>
      <c r="I1469" s="80">
        <f>IF($G1469="","",IFERROR(INDEX(設定!$E$6:$E$18,MATCH($G1469,設定!$B$6:$B$18,0)),""))</f>
        <v/>
      </c>
      <c r="J1469" s="80">
        <f>IFERROR(INDEX(打卡匯入!$C$3:$C$2002,MATCH($C1469&amp;"|"&amp;DAY($A1469),打卡匯入!$E$3:$E$2002,0)),"")</f>
        <v/>
      </c>
      <c r="K1469" s="80">
        <f>IFERROR(INDEX(打卡匯入!$D$3:$D$2002,MATCH($C1469&amp;"|"&amp;DAY($A1469),打卡匯入!$E$3:$E$2002,0)),"")</f>
        <v/>
      </c>
      <c r="L1469" s="81">
        <f>IF(OR($J1469="",$K1469=""),"",IFERROR(INDEX(設定!$F$6:$F$18,MATCH($G1469,設定!$B$6:$B$18,0)),0))</f>
        <v/>
      </c>
      <c r="M1469" s="82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1">
        <f>IF(OR($C1469="",$H1469="",$J1469=""),0,IF(ROUND(($J1469-$H1469)*1440,0)&gt;設定!$C$42,ROUND(($J1469-$H1469)*1440,0),0))</f>
        <v/>
      </c>
      <c r="P1469" s="81">
        <f>IF(OR($C1469="",$I1469="",$K1469=""),0,IF(ROUND(($I1469-$K1469)*1440,0)&gt;設定!$C$42,ROUND(($I1469-$K1469)*1440,0),0))</f>
        <v/>
      </c>
      <c r="Q1469" s="82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79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0">
        <f>IF($G1470="","",IFERROR(INDEX(設定!$D$6:$D$18,MATCH($G1470,設定!$B$6:$B$18,0)),""))</f>
        <v/>
      </c>
      <c r="I1470" s="80">
        <f>IF($G1470="","",IFERROR(INDEX(設定!$E$6:$E$18,MATCH($G1470,設定!$B$6:$B$18,0)),""))</f>
        <v/>
      </c>
      <c r="J1470" s="80">
        <f>IFERROR(INDEX(打卡匯入!$C$3:$C$2002,MATCH($C1470&amp;"|"&amp;DAY($A1470),打卡匯入!$E$3:$E$2002,0)),"")</f>
        <v/>
      </c>
      <c r="K1470" s="80">
        <f>IFERROR(INDEX(打卡匯入!$D$3:$D$2002,MATCH($C1470&amp;"|"&amp;DAY($A1470),打卡匯入!$E$3:$E$2002,0)),"")</f>
        <v/>
      </c>
      <c r="L1470" s="81">
        <f>IF(OR($J1470="",$K1470=""),"",IFERROR(INDEX(設定!$F$6:$F$18,MATCH($G1470,設定!$B$6:$B$18,0)),0))</f>
        <v/>
      </c>
      <c r="M1470" s="82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1">
        <f>IF(OR($C1470="",$H1470="",$J1470=""),0,IF(ROUND(($J1470-$H1470)*1440,0)&gt;設定!$C$42,ROUND(($J1470-$H1470)*1440,0),0))</f>
        <v/>
      </c>
      <c r="P1470" s="81">
        <f>IF(OR($C1470="",$I1470="",$K1470=""),0,IF(ROUND(($I1470-$K1470)*1440,0)&gt;設定!$C$42,ROUND(($I1470-$K1470)*1440,0),0))</f>
        <v/>
      </c>
      <c r="Q1470" s="82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79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0">
        <f>IF($G1471="","",IFERROR(INDEX(設定!$D$6:$D$18,MATCH($G1471,設定!$B$6:$B$18,0)),""))</f>
        <v/>
      </c>
      <c r="I1471" s="80">
        <f>IF($G1471="","",IFERROR(INDEX(設定!$E$6:$E$18,MATCH($G1471,設定!$B$6:$B$18,0)),""))</f>
        <v/>
      </c>
      <c r="J1471" s="80">
        <f>IFERROR(INDEX(打卡匯入!$C$3:$C$2002,MATCH($C1471&amp;"|"&amp;DAY($A1471),打卡匯入!$E$3:$E$2002,0)),"")</f>
        <v/>
      </c>
      <c r="K1471" s="80">
        <f>IFERROR(INDEX(打卡匯入!$D$3:$D$2002,MATCH($C1471&amp;"|"&amp;DAY($A1471),打卡匯入!$E$3:$E$2002,0)),"")</f>
        <v/>
      </c>
      <c r="L1471" s="81">
        <f>IF(OR($J1471="",$K1471=""),"",IFERROR(INDEX(設定!$F$6:$F$18,MATCH($G1471,設定!$B$6:$B$18,0)),0))</f>
        <v/>
      </c>
      <c r="M1471" s="82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1">
        <f>IF(OR($C1471="",$H1471="",$J1471=""),0,IF(ROUND(($J1471-$H1471)*1440,0)&gt;設定!$C$42,ROUND(($J1471-$H1471)*1440,0),0))</f>
        <v/>
      </c>
      <c r="P1471" s="81">
        <f>IF(OR($C1471="",$I1471="",$K1471=""),0,IF(ROUND(($I1471-$K1471)*1440,0)&gt;設定!$C$42,ROUND(($I1471-$K1471)*1440,0),0))</f>
        <v/>
      </c>
      <c r="Q1471" s="82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79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0">
        <f>IF($G1472="","",IFERROR(INDEX(設定!$D$6:$D$18,MATCH($G1472,設定!$B$6:$B$18,0)),""))</f>
        <v/>
      </c>
      <c r="I1472" s="80">
        <f>IF($G1472="","",IFERROR(INDEX(設定!$E$6:$E$18,MATCH($G1472,設定!$B$6:$B$18,0)),""))</f>
        <v/>
      </c>
      <c r="J1472" s="80">
        <f>IFERROR(INDEX(打卡匯入!$C$3:$C$2002,MATCH($C1472&amp;"|"&amp;DAY($A1472),打卡匯入!$E$3:$E$2002,0)),"")</f>
        <v/>
      </c>
      <c r="K1472" s="80">
        <f>IFERROR(INDEX(打卡匯入!$D$3:$D$2002,MATCH($C1472&amp;"|"&amp;DAY($A1472),打卡匯入!$E$3:$E$2002,0)),"")</f>
        <v/>
      </c>
      <c r="L1472" s="81">
        <f>IF(OR($J1472="",$K1472=""),"",IFERROR(INDEX(設定!$F$6:$F$18,MATCH($G1472,設定!$B$6:$B$18,0)),0))</f>
        <v/>
      </c>
      <c r="M1472" s="82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1">
        <f>IF(OR($C1472="",$H1472="",$J1472=""),0,IF(ROUND(($J1472-$H1472)*1440,0)&gt;設定!$C$42,ROUND(($J1472-$H1472)*1440,0),0))</f>
        <v/>
      </c>
      <c r="P1472" s="81">
        <f>IF(OR($C1472="",$I1472="",$K1472=""),0,IF(ROUND(($I1472-$K1472)*1440,0)&gt;設定!$C$42,ROUND(($I1472-$K1472)*1440,0),0))</f>
        <v/>
      </c>
      <c r="Q1472" s="82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79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0">
        <f>IF($G1473="","",IFERROR(INDEX(設定!$D$6:$D$18,MATCH($G1473,設定!$B$6:$B$18,0)),""))</f>
        <v/>
      </c>
      <c r="I1473" s="80">
        <f>IF($G1473="","",IFERROR(INDEX(設定!$E$6:$E$18,MATCH($G1473,設定!$B$6:$B$18,0)),""))</f>
        <v/>
      </c>
      <c r="J1473" s="80">
        <f>IFERROR(INDEX(打卡匯入!$C$3:$C$2002,MATCH($C1473&amp;"|"&amp;DAY($A1473),打卡匯入!$E$3:$E$2002,0)),"")</f>
        <v/>
      </c>
      <c r="K1473" s="80">
        <f>IFERROR(INDEX(打卡匯入!$D$3:$D$2002,MATCH($C1473&amp;"|"&amp;DAY($A1473),打卡匯入!$E$3:$E$2002,0)),"")</f>
        <v/>
      </c>
      <c r="L1473" s="81">
        <f>IF(OR($J1473="",$K1473=""),"",IFERROR(INDEX(設定!$F$6:$F$18,MATCH($G1473,設定!$B$6:$B$18,0)),0))</f>
        <v/>
      </c>
      <c r="M1473" s="82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1">
        <f>IF(OR($C1473="",$H1473="",$J1473=""),0,IF(ROUND(($J1473-$H1473)*1440,0)&gt;設定!$C$42,ROUND(($J1473-$H1473)*1440,0),0))</f>
        <v/>
      </c>
      <c r="P1473" s="81">
        <f>IF(OR($C1473="",$I1473="",$K1473=""),0,IF(ROUND(($I1473-$K1473)*1440,0)&gt;設定!$C$42,ROUND(($I1473-$K1473)*1440,0),0))</f>
        <v/>
      </c>
      <c r="Q1473" s="82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79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0">
        <f>IF($G1474="","",IFERROR(INDEX(設定!$D$6:$D$18,MATCH($G1474,設定!$B$6:$B$18,0)),""))</f>
        <v/>
      </c>
      <c r="I1474" s="80">
        <f>IF($G1474="","",IFERROR(INDEX(設定!$E$6:$E$18,MATCH($G1474,設定!$B$6:$B$18,0)),""))</f>
        <v/>
      </c>
      <c r="J1474" s="80">
        <f>IFERROR(INDEX(打卡匯入!$C$3:$C$2002,MATCH($C1474&amp;"|"&amp;DAY($A1474),打卡匯入!$E$3:$E$2002,0)),"")</f>
        <v/>
      </c>
      <c r="K1474" s="80">
        <f>IFERROR(INDEX(打卡匯入!$D$3:$D$2002,MATCH($C1474&amp;"|"&amp;DAY($A1474),打卡匯入!$E$3:$E$2002,0)),"")</f>
        <v/>
      </c>
      <c r="L1474" s="81">
        <f>IF(OR($J1474="",$K1474=""),"",IFERROR(INDEX(設定!$F$6:$F$18,MATCH($G1474,設定!$B$6:$B$18,0)),0))</f>
        <v/>
      </c>
      <c r="M1474" s="82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1">
        <f>IF(OR($C1474="",$H1474="",$J1474=""),0,IF(ROUND(($J1474-$H1474)*1440,0)&gt;設定!$C$42,ROUND(($J1474-$H1474)*1440,0),0))</f>
        <v/>
      </c>
      <c r="P1474" s="81">
        <f>IF(OR($C1474="",$I1474="",$K1474=""),0,IF(ROUND(($I1474-$K1474)*1440,0)&gt;設定!$C$42,ROUND(($I1474-$K1474)*1440,0),0))</f>
        <v/>
      </c>
      <c r="Q1474" s="82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79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0">
        <f>IF($G1475="","",IFERROR(INDEX(設定!$D$6:$D$18,MATCH($G1475,設定!$B$6:$B$18,0)),""))</f>
        <v/>
      </c>
      <c r="I1475" s="80">
        <f>IF($G1475="","",IFERROR(INDEX(設定!$E$6:$E$18,MATCH($G1475,設定!$B$6:$B$18,0)),""))</f>
        <v/>
      </c>
      <c r="J1475" s="80">
        <f>IFERROR(INDEX(打卡匯入!$C$3:$C$2002,MATCH($C1475&amp;"|"&amp;DAY($A1475),打卡匯入!$E$3:$E$2002,0)),"")</f>
        <v/>
      </c>
      <c r="K1475" s="80">
        <f>IFERROR(INDEX(打卡匯入!$D$3:$D$2002,MATCH($C1475&amp;"|"&amp;DAY($A1475),打卡匯入!$E$3:$E$2002,0)),"")</f>
        <v/>
      </c>
      <c r="L1475" s="81">
        <f>IF(OR($J1475="",$K1475=""),"",IFERROR(INDEX(設定!$F$6:$F$18,MATCH($G1475,設定!$B$6:$B$18,0)),0))</f>
        <v/>
      </c>
      <c r="M1475" s="82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1">
        <f>IF(OR($C1475="",$H1475="",$J1475=""),0,IF(ROUND(($J1475-$H1475)*1440,0)&gt;設定!$C$42,ROUND(($J1475-$H1475)*1440,0),0))</f>
        <v/>
      </c>
      <c r="P1475" s="81">
        <f>IF(OR($C1475="",$I1475="",$K1475=""),0,IF(ROUND(($I1475-$K1475)*1440,0)&gt;設定!$C$42,ROUND(($I1475-$K1475)*1440,0),0))</f>
        <v/>
      </c>
      <c r="Q1475" s="82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79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0">
        <f>IF($G1476="","",IFERROR(INDEX(設定!$D$6:$D$18,MATCH($G1476,設定!$B$6:$B$18,0)),""))</f>
        <v/>
      </c>
      <c r="I1476" s="80">
        <f>IF($G1476="","",IFERROR(INDEX(設定!$E$6:$E$18,MATCH($G1476,設定!$B$6:$B$18,0)),""))</f>
        <v/>
      </c>
      <c r="J1476" s="80">
        <f>IFERROR(INDEX(打卡匯入!$C$3:$C$2002,MATCH($C1476&amp;"|"&amp;DAY($A1476),打卡匯入!$E$3:$E$2002,0)),"")</f>
        <v/>
      </c>
      <c r="K1476" s="80">
        <f>IFERROR(INDEX(打卡匯入!$D$3:$D$2002,MATCH($C1476&amp;"|"&amp;DAY($A1476),打卡匯入!$E$3:$E$2002,0)),"")</f>
        <v/>
      </c>
      <c r="L1476" s="81">
        <f>IF(OR($J1476="",$K1476=""),"",IFERROR(INDEX(設定!$F$6:$F$18,MATCH($G1476,設定!$B$6:$B$18,0)),0))</f>
        <v/>
      </c>
      <c r="M1476" s="82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1">
        <f>IF(OR($C1476="",$H1476="",$J1476=""),0,IF(ROUND(($J1476-$H1476)*1440,0)&gt;設定!$C$42,ROUND(($J1476-$H1476)*1440,0),0))</f>
        <v/>
      </c>
      <c r="P1476" s="81">
        <f>IF(OR($C1476="",$I1476="",$K1476=""),0,IF(ROUND(($I1476-$K1476)*1440,0)&gt;設定!$C$42,ROUND(($I1476-$K1476)*1440,0),0))</f>
        <v/>
      </c>
      <c r="Q1476" s="82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79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0">
        <f>IF($G1477="","",IFERROR(INDEX(設定!$D$6:$D$18,MATCH($G1477,設定!$B$6:$B$18,0)),""))</f>
        <v/>
      </c>
      <c r="I1477" s="80">
        <f>IF($G1477="","",IFERROR(INDEX(設定!$E$6:$E$18,MATCH($G1477,設定!$B$6:$B$18,0)),""))</f>
        <v/>
      </c>
      <c r="J1477" s="80">
        <f>IFERROR(INDEX(打卡匯入!$C$3:$C$2002,MATCH($C1477&amp;"|"&amp;DAY($A1477),打卡匯入!$E$3:$E$2002,0)),"")</f>
        <v/>
      </c>
      <c r="K1477" s="80">
        <f>IFERROR(INDEX(打卡匯入!$D$3:$D$2002,MATCH($C1477&amp;"|"&amp;DAY($A1477),打卡匯入!$E$3:$E$2002,0)),"")</f>
        <v/>
      </c>
      <c r="L1477" s="81">
        <f>IF(OR($J1477="",$K1477=""),"",IFERROR(INDEX(設定!$F$6:$F$18,MATCH($G1477,設定!$B$6:$B$18,0)),0))</f>
        <v/>
      </c>
      <c r="M1477" s="82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1">
        <f>IF(OR($C1477="",$H1477="",$J1477=""),0,IF(ROUND(($J1477-$H1477)*1440,0)&gt;設定!$C$42,ROUND(($J1477-$H1477)*1440,0),0))</f>
        <v/>
      </c>
      <c r="P1477" s="81">
        <f>IF(OR($C1477="",$I1477="",$K1477=""),0,IF(ROUND(($I1477-$K1477)*1440,0)&gt;設定!$C$42,ROUND(($I1477-$K1477)*1440,0),0))</f>
        <v/>
      </c>
      <c r="Q1477" s="82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79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0">
        <f>IF($G1478="","",IFERROR(INDEX(設定!$D$6:$D$18,MATCH($G1478,設定!$B$6:$B$18,0)),""))</f>
        <v/>
      </c>
      <c r="I1478" s="80">
        <f>IF($G1478="","",IFERROR(INDEX(設定!$E$6:$E$18,MATCH($G1478,設定!$B$6:$B$18,0)),""))</f>
        <v/>
      </c>
      <c r="J1478" s="80">
        <f>IFERROR(INDEX(打卡匯入!$C$3:$C$2002,MATCH($C1478&amp;"|"&amp;DAY($A1478),打卡匯入!$E$3:$E$2002,0)),"")</f>
        <v/>
      </c>
      <c r="K1478" s="80">
        <f>IFERROR(INDEX(打卡匯入!$D$3:$D$2002,MATCH($C1478&amp;"|"&amp;DAY($A1478),打卡匯入!$E$3:$E$2002,0)),"")</f>
        <v/>
      </c>
      <c r="L1478" s="81">
        <f>IF(OR($J1478="",$K1478=""),"",IFERROR(INDEX(設定!$F$6:$F$18,MATCH($G1478,設定!$B$6:$B$18,0)),0))</f>
        <v/>
      </c>
      <c r="M1478" s="82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1">
        <f>IF(OR($C1478="",$H1478="",$J1478=""),0,IF(ROUND(($J1478-$H1478)*1440,0)&gt;設定!$C$42,ROUND(($J1478-$H1478)*1440,0),0))</f>
        <v/>
      </c>
      <c r="P1478" s="81">
        <f>IF(OR($C1478="",$I1478="",$K1478=""),0,IF(ROUND(($I1478-$K1478)*1440,0)&gt;設定!$C$42,ROUND(($I1478-$K1478)*1440,0),0))</f>
        <v/>
      </c>
      <c r="Q1478" s="82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79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0">
        <f>IF($G1479="","",IFERROR(INDEX(設定!$D$6:$D$18,MATCH($G1479,設定!$B$6:$B$18,0)),""))</f>
        <v/>
      </c>
      <c r="I1479" s="80">
        <f>IF($G1479="","",IFERROR(INDEX(設定!$E$6:$E$18,MATCH($G1479,設定!$B$6:$B$18,0)),""))</f>
        <v/>
      </c>
      <c r="J1479" s="80">
        <f>IFERROR(INDEX(打卡匯入!$C$3:$C$2002,MATCH($C1479&amp;"|"&amp;DAY($A1479),打卡匯入!$E$3:$E$2002,0)),"")</f>
        <v/>
      </c>
      <c r="K1479" s="80">
        <f>IFERROR(INDEX(打卡匯入!$D$3:$D$2002,MATCH($C1479&amp;"|"&amp;DAY($A1479),打卡匯入!$E$3:$E$2002,0)),"")</f>
        <v/>
      </c>
      <c r="L1479" s="81">
        <f>IF(OR($J1479="",$K1479=""),"",IFERROR(INDEX(設定!$F$6:$F$18,MATCH($G1479,設定!$B$6:$B$18,0)),0))</f>
        <v/>
      </c>
      <c r="M1479" s="82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1">
        <f>IF(OR($C1479="",$H1479="",$J1479=""),0,IF(ROUND(($J1479-$H1479)*1440,0)&gt;設定!$C$42,ROUND(($J1479-$H1479)*1440,0),0))</f>
        <v/>
      </c>
      <c r="P1479" s="81">
        <f>IF(OR($C1479="",$I1479="",$K1479=""),0,IF(ROUND(($I1479-$K1479)*1440,0)&gt;設定!$C$42,ROUND(($I1479-$K1479)*1440,0),0))</f>
        <v/>
      </c>
      <c r="Q1479" s="82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79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0">
        <f>IF($G1480="","",IFERROR(INDEX(設定!$D$6:$D$18,MATCH($G1480,設定!$B$6:$B$18,0)),""))</f>
        <v/>
      </c>
      <c r="I1480" s="80">
        <f>IF($G1480="","",IFERROR(INDEX(設定!$E$6:$E$18,MATCH($G1480,設定!$B$6:$B$18,0)),""))</f>
        <v/>
      </c>
      <c r="J1480" s="80">
        <f>IFERROR(INDEX(打卡匯入!$C$3:$C$2002,MATCH($C1480&amp;"|"&amp;DAY($A1480),打卡匯入!$E$3:$E$2002,0)),"")</f>
        <v/>
      </c>
      <c r="K1480" s="80">
        <f>IFERROR(INDEX(打卡匯入!$D$3:$D$2002,MATCH($C1480&amp;"|"&amp;DAY($A1480),打卡匯入!$E$3:$E$2002,0)),"")</f>
        <v/>
      </c>
      <c r="L1480" s="81">
        <f>IF(OR($J1480="",$K1480=""),"",IFERROR(INDEX(設定!$F$6:$F$18,MATCH($G1480,設定!$B$6:$B$18,0)),0))</f>
        <v/>
      </c>
      <c r="M1480" s="82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1">
        <f>IF(OR($C1480="",$H1480="",$J1480=""),0,IF(ROUND(($J1480-$H1480)*1440,0)&gt;設定!$C$42,ROUND(($J1480-$H1480)*1440,0),0))</f>
        <v/>
      </c>
      <c r="P1480" s="81">
        <f>IF(OR($C1480="",$I1480="",$K1480=""),0,IF(ROUND(($I1480-$K1480)*1440,0)&gt;設定!$C$42,ROUND(($I1480-$K1480)*1440,0),0))</f>
        <v/>
      </c>
      <c r="Q1480" s="82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79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0">
        <f>IF($G1481="","",IFERROR(INDEX(設定!$D$6:$D$18,MATCH($G1481,設定!$B$6:$B$18,0)),""))</f>
        <v/>
      </c>
      <c r="I1481" s="80">
        <f>IF($G1481="","",IFERROR(INDEX(設定!$E$6:$E$18,MATCH($G1481,設定!$B$6:$B$18,0)),""))</f>
        <v/>
      </c>
      <c r="J1481" s="80">
        <f>IFERROR(INDEX(打卡匯入!$C$3:$C$2002,MATCH($C1481&amp;"|"&amp;DAY($A1481),打卡匯入!$E$3:$E$2002,0)),"")</f>
        <v/>
      </c>
      <c r="K1481" s="80">
        <f>IFERROR(INDEX(打卡匯入!$D$3:$D$2002,MATCH($C1481&amp;"|"&amp;DAY($A1481),打卡匯入!$E$3:$E$2002,0)),"")</f>
        <v/>
      </c>
      <c r="L1481" s="81">
        <f>IF(OR($J1481="",$K1481=""),"",IFERROR(INDEX(設定!$F$6:$F$18,MATCH($G1481,設定!$B$6:$B$18,0)),0))</f>
        <v/>
      </c>
      <c r="M1481" s="82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1">
        <f>IF(OR($C1481="",$H1481="",$J1481=""),0,IF(ROUND(($J1481-$H1481)*1440,0)&gt;設定!$C$42,ROUND(($J1481-$H1481)*1440,0),0))</f>
        <v/>
      </c>
      <c r="P1481" s="81">
        <f>IF(OR($C1481="",$I1481="",$K1481=""),0,IF(ROUND(($I1481-$K1481)*1440,0)&gt;設定!$C$42,ROUND(($I1481-$K1481)*1440,0),0))</f>
        <v/>
      </c>
      <c r="Q1481" s="82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79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0">
        <f>IF($G1482="","",IFERROR(INDEX(設定!$D$6:$D$18,MATCH($G1482,設定!$B$6:$B$18,0)),""))</f>
        <v/>
      </c>
      <c r="I1482" s="80">
        <f>IF($G1482="","",IFERROR(INDEX(設定!$E$6:$E$18,MATCH($G1482,設定!$B$6:$B$18,0)),""))</f>
        <v/>
      </c>
      <c r="J1482" s="80">
        <f>IFERROR(INDEX(打卡匯入!$C$3:$C$2002,MATCH($C1482&amp;"|"&amp;DAY($A1482),打卡匯入!$E$3:$E$2002,0)),"")</f>
        <v/>
      </c>
      <c r="K1482" s="80">
        <f>IFERROR(INDEX(打卡匯入!$D$3:$D$2002,MATCH($C1482&amp;"|"&amp;DAY($A1482),打卡匯入!$E$3:$E$2002,0)),"")</f>
        <v/>
      </c>
      <c r="L1482" s="81">
        <f>IF(OR($J1482="",$K1482=""),"",IFERROR(INDEX(設定!$F$6:$F$18,MATCH($G1482,設定!$B$6:$B$18,0)),0))</f>
        <v/>
      </c>
      <c r="M1482" s="82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1">
        <f>IF(OR($C1482="",$H1482="",$J1482=""),0,IF(ROUND(($J1482-$H1482)*1440,0)&gt;設定!$C$42,ROUND(($J1482-$H1482)*1440,0),0))</f>
        <v/>
      </c>
      <c r="P1482" s="81">
        <f>IF(OR($C1482="",$I1482="",$K1482=""),0,IF(ROUND(($I1482-$K1482)*1440,0)&gt;設定!$C$42,ROUND(($I1482-$K1482)*1440,0),0))</f>
        <v/>
      </c>
      <c r="Q1482" s="82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79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0">
        <f>IF($G1483="","",IFERROR(INDEX(設定!$D$6:$D$18,MATCH($G1483,設定!$B$6:$B$18,0)),""))</f>
        <v/>
      </c>
      <c r="I1483" s="80">
        <f>IF($G1483="","",IFERROR(INDEX(設定!$E$6:$E$18,MATCH($G1483,設定!$B$6:$B$18,0)),""))</f>
        <v/>
      </c>
      <c r="J1483" s="80">
        <f>IFERROR(INDEX(打卡匯入!$C$3:$C$2002,MATCH($C1483&amp;"|"&amp;DAY($A1483),打卡匯入!$E$3:$E$2002,0)),"")</f>
        <v/>
      </c>
      <c r="K1483" s="80">
        <f>IFERROR(INDEX(打卡匯入!$D$3:$D$2002,MATCH($C1483&amp;"|"&amp;DAY($A1483),打卡匯入!$E$3:$E$2002,0)),"")</f>
        <v/>
      </c>
      <c r="L1483" s="81">
        <f>IF(OR($J1483="",$K1483=""),"",IFERROR(INDEX(設定!$F$6:$F$18,MATCH($G1483,設定!$B$6:$B$18,0)),0))</f>
        <v/>
      </c>
      <c r="M1483" s="82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1">
        <f>IF(OR($C1483="",$H1483="",$J1483=""),0,IF(ROUND(($J1483-$H1483)*1440,0)&gt;設定!$C$42,ROUND(($J1483-$H1483)*1440,0),0))</f>
        <v/>
      </c>
      <c r="P1483" s="81">
        <f>IF(OR($C1483="",$I1483="",$K1483=""),0,IF(ROUND(($I1483-$K1483)*1440,0)&gt;設定!$C$42,ROUND(($I1483-$K1483)*1440,0),0))</f>
        <v/>
      </c>
      <c r="Q1483" s="82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79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0">
        <f>IF($G1484="","",IFERROR(INDEX(設定!$D$6:$D$18,MATCH($G1484,設定!$B$6:$B$18,0)),""))</f>
        <v/>
      </c>
      <c r="I1484" s="80">
        <f>IF($G1484="","",IFERROR(INDEX(設定!$E$6:$E$18,MATCH($G1484,設定!$B$6:$B$18,0)),""))</f>
        <v/>
      </c>
      <c r="J1484" s="80">
        <f>IFERROR(INDEX(打卡匯入!$C$3:$C$2002,MATCH($C1484&amp;"|"&amp;DAY($A1484),打卡匯入!$E$3:$E$2002,0)),"")</f>
        <v/>
      </c>
      <c r="K1484" s="80">
        <f>IFERROR(INDEX(打卡匯入!$D$3:$D$2002,MATCH($C1484&amp;"|"&amp;DAY($A1484),打卡匯入!$E$3:$E$2002,0)),"")</f>
        <v/>
      </c>
      <c r="L1484" s="81">
        <f>IF(OR($J1484="",$K1484=""),"",IFERROR(INDEX(設定!$F$6:$F$18,MATCH($G1484,設定!$B$6:$B$18,0)),0))</f>
        <v/>
      </c>
      <c r="M1484" s="82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1">
        <f>IF(OR($C1484="",$H1484="",$J1484=""),0,IF(ROUND(($J1484-$H1484)*1440,0)&gt;設定!$C$42,ROUND(($J1484-$H1484)*1440,0),0))</f>
        <v/>
      </c>
      <c r="P1484" s="81">
        <f>IF(OR($C1484="",$I1484="",$K1484=""),0,IF(ROUND(($I1484-$K1484)*1440,0)&gt;設定!$C$42,ROUND(($I1484-$K1484)*1440,0),0))</f>
        <v/>
      </c>
      <c r="Q1484" s="82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79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0">
        <f>IF($G1485="","",IFERROR(INDEX(設定!$D$6:$D$18,MATCH($G1485,設定!$B$6:$B$18,0)),""))</f>
        <v/>
      </c>
      <c r="I1485" s="80">
        <f>IF($G1485="","",IFERROR(INDEX(設定!$E$6:$E$18,MATCH($G1485,設定!$B$6:$B$18,0)),""))</f>
        <v/>
      </c>
      <c r="J1485" s="80">
        <f>IFERROR(INDEX(打卡匯入!$C$3:$C$2002,MATCH($C1485&amp;"|"&amp;DAY($A1485),打卡匯入!$E$3:$E$2002,0)),"")</f>
        <v/>
      </c>
      <c r="K1485" s="80">
        <f>IFERROR(INDEX(打卡匯入!$D$3:$D$2002,MATCH($C1485&amp;"|"&amp;DAY($A1485),打卡匯入!$E$3:$E$2002,0)),"")</f>
        <v/>
      </c>
      <c r="L1485" s="81">
        <f>IF(OR($J1485="",$K1485=""),"",IFERROR(INDEX(設定!$F$6:$F$18,MATCH($G1485,設定!$B$6:$B$18,0)),0))</f>
        <v/>
      </c>
      <c r="M1485" s="82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1">
        <f>IF(OR($C1485="",$H1485="",$J1485=""),0,IF(ROUND(($J1485-$H1485)*1440,0)&gt;設定!$C$42,ROUND(($J1485-$H1485)*1440,0),0))</f>
        <v/>
      </c>
      <c r="P1485" s="81">
        <f>IF(OR($C1485="",$I1485="",$K1485=""),0,IF(ROUND(($I1485-$K1485)*1440,0)&gt;設定!$C$42,ROUND(($I1485-$K1485)*1440,0),0))</f>
        <v/>
      </c>
      <c r="Q1485" s="82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79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0">
        <f>IF($G1486="","",IFERROR(INDEX(設定!$D$6:$D$18,MATCH($G1486,設定!$B$6:$B$18,0)),""))</f>
        <v/>
      </c>
      <c r="I1486" s="80">
        <f>IF($G1486="","",IFERROR(INDEX(設定!$E$6:$E$18,MATCH($G1486,設定!$B$6:$B$18,0)),""))</f>
        <v/>
      </c>
      <c r="J1486" s="80">
        <f>IFERROR(INDEX(打卡匯入!$C$3:$C$2002,MATCH($C1486&amp;"|"&amp;DAY($A1486),打卡匯入!$E$3:$E$2002,0)),"")</f>
        <v/>
      </c>
      <c r="K1486" s="80">
        <f>IFERROR(INDEX(打卡匯入!$D$3:$D$2002,MATCH($C1486&amp;"|"&amp;DAY($A1486),打卡匯入!$E$3:$E$2002,0)),"")</f>
        <v/>
      </c>
      <c r="L1486" s="81">
        <f>IF(OR($J1486="",$K1486=""),"",IFERROR(INDEX(設定!$F$6:$F$18,MATCH($G1486,設定!$B$6:$B$18,0)),0))</f>
        <v/>
      </c>
      <c r="M1486" s="82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1">
        <f>IF(OR($C1486="",$H1486="",$J1486=""),0,IF(ROUND(($J1486-$H1486)*1440,0)&gt;設定!$C$42,ROUND(($J1486-$H1486)*1440,0),0))</f>
        <v/>
      </c>
      <c r="P1486" s="81">
        <f>IF(OR($C1486="",$I1486="",$K1486=""),0,IF(ROUND(($I1486-$K1486)*1440,0)&gt;設定!$C$42,ROUND(($I1486-$K1486)*1440,0),0))</f>
        <v/>
      </c>
      <c r="Q1486" s="82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79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0">
        <f>IF($G1487="","",IFERROR(INDEX(設定!$D$6:$D$18,MATCH($G1487,設定!$B$6:$B$18,0)),""))</f>
        <v/>
      </c>
      <c r="I1487" s="80">
        <f>IF($G1487="","",IFERROR(INDEX(設定!$E$6:$E$18,MATCH($G1487,設定!$B$6:$B$18,0)),""))</f>
        <v/>
      </c>
      <c r="J1487" s="80">
        <f>IFERROR(INDEX(打卡匯入!$C$3:$C$2002,MATCH($C1487&amp;"|"&amp;DAY($A1487),打卡匯入!$E$3:$E$2002,0)),"")</f>
        <v/>
      </c>
      <c r="K1487" s="80">
        <f>IFERROR(INDEX(打卡匯入!$D$3:$D$2002,MATCH($C1487&amp;"|"&amp;DAY($A1487),打卡匯入!$E$3:$E$2002,0)),"")</f>
        <v/>
      </c>
      <c r="L1487" s="81">
        <f>IF(OR($J1487="",$K1487=""),"",IFERROR(INDEX(設定!$F$6:$F$18,MATCH($G1487,設定!$B$6:$B$18,0)),0))</f>
        <v/>
      </c>
      <c r="M1487" s="82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1">
        <f>IF(OR($C1487="",$H1487="",$J1487=""),0,IF(ROUND(($J1487-$H1487)*1440,0)&gt;設定!$C$42,ROUND(($J1487-$H1487)*1440,0),0))</f>
        <v/>
      </c>
      <c r="P1487" s="81">
        <f>IF(OR($C1487="",$I1487="",$K1487=""),0,IF(ROUND(($I1487-$K1487)*1440,0)&gt;設定!$C$42,ROUND(($I1487-$K1487)*1440,0),0))</f>
        <v/>
      </c>
      <c r="Q1487" s="82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79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0">
        <f>IF($G1488="","",IFERROR(INDEX(設定!$D$6:$D$18,MATCH($G1488,設定!$B$6:$B$18,0)),""))</f>
        <v/>
      </c>
      <c r="I1488" s="80">
        <f>IF($G1488="","",IFERROR(INDEX(設定!$E$6:$E$18,MATCH($G1488,設定!$B$6:$B$18,0)),""))</f>
        <v/>
      </c>
      <c r="J1488" s="80">
        <f>IFERROR(INDEX(打卡匯入!$C$3:$C$2002,MATCH($C1488&amp;"|"&amp;DAY($A1488),打卡匯入!$E$3:$E$2002,0)),"")</f>
        <v/>
      </c>
      <c r="K1488" s="80">
        <f>IFERROR(INDEX(打卡匯入!$D$3:$D$2002,MATCH($C1488&amp;"|"&amp;DAY($A1488),打卡匯入!$E$3:$E$2002,0)),"")</f>
        <v/>
      </c>
      <c r="L1488" s="81">
        <f>IF(OR($J1488="",$K1488=""),"",IFERROR(INDEX(設定!$F$6:$F$18,MATCH($G1488,設定!$B$6:$B$18,0)),0))</f>
        <v/>
      </c>
      <c r="M1488" s="82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1">
        <f>IF(OR($C1488="",$H1488="",$J1488=""),0,IF(ROUND(($J1488-$H1488)*1440,0)&gt;設定!$C$42,ROUND(($J1488-$H1488)*1440,0),0))</f>
        <v/>
      </c>
      <c r="P1488" s="81">
        <f>IF(OR($C1488="",$I1488="",$K1488=""),0,IF(ROUND(($I1488-$K1488)*1440,0)&gt;設定!$C$42,ROUND(($I1488-$K1488)*1440,0),0))</f>
        <v/>
      </c>
      <c r="Q1488" s="82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79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0">
        <f>IF($G1489="","",IFERROR(INDEX(設定!$D$6:$D$18,MATCH($G1489,設定!$B$6:$B$18,0)),""))</f>
        <v/>
      </c>
      <c r="I1489" s="80">
        <f>IF($G1489="","",IFERROR(INDEX(設定!$E$6:$E$18,MATCH($G1489,設定!$B$6:$B$18,0)),""))</f>
        <v/>
      </c>
      <c r="J1489" s="80">
        <f>IFERROR(INDEX(打卡匯入!$C$3:$C$2002,MATCH($C1489&amp;"|"&amp;DAY($A1489),打卡匯入!$E$3:$E$2002,0)),"")</f>
        <v/>
      </c>
      <c r="K1489" s="80">
        <f>IFERROR(INDEX(打卡匯入!$D$3:$D$2002,MATCH($C1489&amp;"|"&amp;DAY($A1489),打卡匯入!$E$3:$E$2002,0)),"")</f>
        <v/>
      </c>
      <c r="L1489" s="81">
        <f>IF(OR($J1489="",$K1489=""),"",IFERROR(INDEX(設定!$F$6:$F$18,MATCH($G1489,設定!$B$6:$B$18,0)),0))</f>
        <v/>
      </c>
      <c r="M1489" s="82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1">
        <f>IF(OR($C1489="",$H1489="",$J1489=""),0,IF(ROUND(($J1489-$H1489)*1440,0)&gt;設定!$C$42,ROUND(($J1489-$H1489)*1440,0),0))</f>
        <v/>
      </c>
      <c r="P1489" s="81">
        <f>IF(OR($C1489="",$I1489="",$K1489=""),0,IF(ROUND(($I1489-$K1489)*1440,0)&gt;設定!$C$42,ROUND(($I1489-$K1489)*1440,0),0))</f>
        <v/>
      </c>
      <c r="Q1489" s="82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79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0">
        <f>IF($G1490="","",IFERROR(INDEX(設定!$D$6:$D$18,MATCH($G1490,設定!$B$6:$B$18,0)),""))</f>
        <v/>
      </c>
      <c r="I1490" s="80">
        <f>IF($G1490="","",IFERROR(INDEX(設定!$E$6:$E$18,MATCH($G1490,設定!$B$6:$B$18,0)),""))</f>
        <v/>
      </c>
      <c r="J1490" s="80">
        <f>IFERROR(INDEX(打卡匯入!$C$3:$C$2002,MATCH($C1490&amp;"|"&amp;DAY($A1490),打卡匯入!$E$3:$E$2002,0)),"")</f>
        <v/>
      </c>
      <c r="K1490" s="80">
        <f>IFERROR(INDEX(打卡匯入!$D$3:$D$2002,MATCH($C1490&amp;"|"&amp;DAY($A1490),打卡匯入!$E$3:$E$2002,0)),"")</f>
        <v/>
      </c>
      <c r="L1490" s="81">
        <f>IF(OR($J1490="",$K1490=""),"",IFERROR(INDEX(設定!$F$6:$F$18,MATCH($G1490,設定!$B$6:$B$18,0)),0))</f>
        <v/>
      </c>
      <c r="M1490" s="82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1">
        <f>IF(OR($C1490="",$H1490="",$J1490=""),0,IF(ROUND(($J1490-$H1490)*1440,0)&gt;設定!$C$42,ROUND(($J1490-$H1490)*1440,0),0))</f>
        <v/>
      </c>
      <c r="P1490" s="81">
        <f>IF(OR($C1490="",$I1490="",$K1490=""),0,IF(ROUND(($I1490-$K1490)*1440,0)&gt;設定!$C$42,ROUND(($I1490-$K1490)*1440,0),0))</f>
        <v/>
      </c>
      <c r="Q1490" s="82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79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0">
        <f>IF($G1491="","",IFERROR(INDEX(設定!$D$6:$D$18,MATCH($G1491,設定!$B$6:$B$18,0)),""))</f>
        <v/>
      </c>
      <c r="I1491" s="80">
        <f>IF($G1491="","",IFERROR(INDEX(設定!$E$6:$E$18,MATCH($G1491,設定!$B$6:$B$18,0)),""))</f>
        <v/>
      </c>
      <c r="J1491" s="80">
        <f>IFERROR(INDEX(打卡匯入!$C$3:$C$2002,MATCH($C1491&amp;"|"&amp;DAY($A1491),打卡匯入!$E$3:$E$2002,0)),"")</f>
        <v/>
      </c>
      <c r="K1491" s="80">
        <f>IFERROR(INDEX(打卡匯入!$D$3:$D$2002,MATCH($C1491&amp;"|"&amp;DAY($A1491),打卡匯入!$E$3:$E$2002,0)),"")</f>
        <v/>
      </c>
      <c r="L1491" s="81">
        <f>IF(OR($J1491="",$K1491=""),"",IFERROR(INDEX(設定!$F$6:$F$18,MATCH($G1491,設定!$B$6:$B$18,0)),0))</f>
        <v/>
      </c>
      <c r="M1491" s="82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1">
        <f>IF(OR($C1491="",$H1491="",$J1491=""),0,IF(ROUND(($J1491-$H1491)*1440,0)&gt;設定!$C$42,ROUND(($J1491-$H1491)*1440,0),0))</f>
        <v/>
      </c>
      <c r="P1491" s="81">
        <f>IF(OR($C1491="",$I1491="",$K1491=""),0,IF(ROUND(($I1491-$K1491)*1440,0)&gt;設定!$C$42,ROUND(($I1491-$K1491)*1440,0),0))</f>
        <v/>
      </c>
      <c r="Q1491" s="82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79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0">
        <f>IF($G1492="","",IFERROR(INDEX(設定!$D$6:$D$18,MATCH($G1492,設定!$B$6:$B$18,0)),""))</f>
        <v/>
      </c>
      <c r="I1492" s="80">
        <f>IF($G1492="","",IFERROR(INDEX(設定!$E$6:$E$18,MATCH($G1492,設定!$B$6:$B$18,0)),""))</f>
        <v/>
      </c>
      <c r="J1492" s="80">
        <f>IFERROR(INDEX(打卡匯入!$C$3:$C$2002,MATCH($C1492&amp;"|"&amp;DAY($A1492),打卡匯入!$E$3:$E$2002,0)),"")</f>
        <v/>
      </c>
      <c r="K1492" s="80">
        <f>IFERROR(INDEX(打卡匯入!$D$3:$D$2002,MATCH($C1492&amp;"|"&amp;DAY($A1492),打卡匯入!$E$3:$E$2002,0)),"")</f>
        <v/>
      </c>
      <c r="L1492" s="81">
        <f>IF(OR($J1492="",$K1492=""),"",IFERROR(INDEX(設定!$F$6:$F$18,MATCH($G1492,設定!$B$6:$B$18,0)),0))</f>
        <v/>
      </c>
      <c r="M1492" s="82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1">
        <f>IF(OR($C1492="",$H1492="",$J1492=""),0,IF(ROUND(($J1492-$H1492)*1440,0)&gt;設定!$C$42,ROUND(($J1492-$H1492)*1440,0),0))</f>
        <v/>
      </c>
      <c r="P1492" s="81">
        <f>IF(OR($C1492="",$I1492="",$K1492=""),0,IF(ROUND(($I1492-$K1492)*1440,0)&gt;設定!$C$42,ROUND(($I1492-$K1492)*1440,0),0))</f>
        <v/>
      </c>
      <c r="Q1492" s="82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79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0">
        <f>IF($G1493="","",IFERROR(INDEX(設定!$D$6:$D$18,MATCH($G1493,設定!$B$6:$B$18,0)),""))</f>
        <v/>
      </c>
      <c r="I1493" s="80">
        <f>IF($G1493="","",IFERROR(INDEX(設定!$E$6:$E$18,MATCH($G1493,設定!$B$6:$B$18,0)),""))</f>
        <v/>
      </c>
      <c r="J1493" s="80">
        <f>IFERROR(INDEX(打卡匯入!$C$3:$C$2002,MATCH($C1493&amp;"|"&amp;DAY($A1493),打卡匯入!$E$3:$E$2002,0)),"")</f>
        <v/>
      </c>
      <c r="K1493" s="80">
        <f>IFERROR(INDEX(打卡匯入!$D$3:$D$2002,MATCH($C1493&amp;"|"&amp;DAY($A1493),打卡匯入!$E$3:$E$2002,0)),"")</f>
        <v/>
      </c>
      <c r="L1493" s="81">
        <f>IF(OR($J1493="",$K1493=""),"",IFERROR(INDEX(設定!$F$6:$F$18,MATCH($G1493,設定!$B$6:$B$18,0)),0))</f>
        <v/>
      </c>
      <c r="M1493" s="82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1">
        <f>IF(OR($C1493="",$H1493="",$J1493=""),0,IF(ROUND(($J1493-$H1493)*1440,0)&gt;設定!$C$42,ROUND(($J1493-$H1493)*1440,0),0))</f>
        <v/>
      </c>
      <c r="P1493" s="81">
        <f>IF(OR($C1493="",$I1493="",$K1493=""),0,IF(ROUND(($I1493-$K1493)*1440,0)&gt;設定!$C$42,ROUND(($I1493-$K1493)*1440,0),0))</f>
        <v/>
      </c>
      <c r="Q1493" s="82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79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0">
        <f>IF($G1494="","",IFERROR(INDEX(設定!$D$6:$D$18,MATCH($G1494,設定!$B$6:$B$18,0)),""))</f>
        <v/>
      </c>
      <c r="I1494" s="80">
        <f>IF($G1494="","",IFERROR(INDEX(設定!$E$6:$E$18,MATCH($G1494,設定!$B$6:$B$18,0)),""))</f>
        <v/>
      </c>
      <c r="J1494" s="80">
        <f>IFERROR(INDEX(打卡匯入!$C$3:$C$2002,MATCH($C1494&amp;"|"&amp;DAY($A1494),打卡匯入!$E$3:$E$2002,0)),"")</f>
        <v/>
      </c>
      <c r="K1494" s="80">
        <f>IFERROR(INDEX(打卡匯入!$D$3:$D$2002,MATCH($C1494&amp;"|"&amp;DAY($A1494),打卡匯入!$E$3:$E$2002,0)),"")</f>
        <v/>
      </c>
      <c r="L1494" s="81">
        <f>IF(OR($J1494="",$K1494=""),"",IFERROR(INDEX(設定!$F$6:$F$18,MATCH($G1494,設定!$B$6:$B$18,0)),0))</f>
        <v/>
      </c>
      <c r="M1494" s="82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1">
        <f>IF(OR($C1494="",$H1494="",$J1494=""),0,IF(ROUND(($J1494-$H1494)*1440,0)&gt;設定!$C$42,ROUND(($J1494-$H1494)*1440,0),0))</f>
        <v/>
      </c>
      <c r="P1494" s="81">
        <f>IF(OR($C1494="",$I1494="",$K1494=""),0,IF(ROUND(($I1494-$K1494)*1440,0)&gt;設定!$C$42,ROUND(($I1494-$K1494)*1440,0),0))</f>
        <v/>
      </c>
      <c r="Q1494" s="82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79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0">
        <f>IF($G1495="","",IFERROR(INDEX(設定!$D$6:$D$18,MATCH($G1495,設定!$B$6:$B$18,0)),""))</f>
        <v/>
      </c>
      <c r="I1495" s="80">
        <f>IF($G1495="","",IFERROR(INDEX(設定!$E$6:$E$18,MATCH($G1495,設定!$B$6:$B$18,0)),""))</f>
        <v/>
      </c>
      <c r="J1495" s="80">
        <f>IFERROR(INDEX(打卡匯入!$C$3:$C$2002,MATCH($C1495&amp;"|"&amp;DAY($A1495),打卡匯入!$E$3:$E$2002,0)),"")</f>
        <v/>
      </c>
      <c r="K1495" s="80">
        <f>IFERROR(INDEX(打卡匯入!$D$3:$D$2002,MATCH($C1495&amp;"|"&amp;DAY($A1495),打卡匯入!$E$3:$E$2002,0)),"")</f>
        <v/>
      </c>
      <c r="L1495" s="81">
        <f>IF(OR($J1495="",$K1495=""),"",IFERROR(INDEX(設定!$F$6:$F$18,MATCH($G1495,設定!$B$6:$B$18,0)),0))</f>
        <v/>
      </c>
      <c r="M1495" s="82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1">
        <f>IF(OR($C1495="",$H1495="",$J1495=""),0,IF(ROUND(($J1495-$H1495)*1440,0)&gt;設定!$C$42,ROUND(($J1495-$H1495)*1440,0),0))</f>
        <v/>
      </c>
      <c r="P1495" s="81">
        <f>IF(OR($C1495="",$I1495="",$K1495=""),0,IF(ROUND(($I1495-$K1495)*1440,0)&gt;設定!$C$42,ROUND(($I1495-$K1495)*1440,0),0))</f>
        <v/>
      </c>
      <c r="Q1495" s="82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79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0">
        <f>IF($G1496="","",IFERROR(INDEX(設定!$D$6:$D$18,MATCH($G1496,設定!$B$6:$B$18,0)),""))</f>
        <v/>
      </c>
      <c r="I1496" s="80">
        <f>IF($G1496="","",IFERROR(INDEX(設定!$E$6:$E$18,MATCH($G1496,設定!$B$6:$B$18,0)),""))</f>
        <v/>
      </c>
      <c r="J1496" s="80">
        <f>IFERROR(INDEX(打卡匯入!$C$3:$C$2002,MATCH($C1496&amp;"|"&amp;DAY($A1496),打卡匯入!$E$3:$E$2002,0)),"")</f>
        <v/>
      </c>
      <c r="K1496" s="80">
        <f>IFERROR(INDEX(打卡匯入!$D$3:$D$2002,MATCH($C1496&amp;"|"&amp;DAY($A1496),打卡匯入!$E$3:$E$2002,0)),"")</f>
        <v/>
      </c>
      <c r="L1496" s="81">
        <f>IF(OR($J1496="",$K1496=""),"",IFERROR(INDEX(設定!$F$6:$F$18,MATCH($G1496,設定!$B$6:$B$18,0)),0))</f>
        <v/>
      </c>
      <c r="M1496" s="82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1">
        <f>IF(OR($C1496="",$H1496="",$J1496=""),0,IF(ROUND(($J1496-$H1496)*1440,0)&gt;設定!$C$42,ROUND(($J1496-$H1496)*1440,0),0))</f>
        <v/>
      </c>
      <c r="P1496" s="81">
        <f>IF(OR($C1496="",$I1496="",$K1496=""),0,IF(ROUND(($I1496-$K1496)*1440,0)&gt;設定!$C$42,ROUND(($I1496-$K1496)*1440,0),0))</f>
        <v/>
      </c>
      <c r="Q1496" s="82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79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0">
        <f>IF($G1497="","",IFERROR(INDEX(設定!$D$6:$D$18,MATCH($G1497,設定!$B$6:$B$18,0)),""))</f>
        <v/>
      </c>
      <c r="I1497" s="80">
        <f>IF($G1497="","",IFERROR(INDEX(設定!$E$6:$E$18,MATCH($G1497,設定!$B$6:$B$18,0)),""))</f>
        <v/>
      </c>
      <c r="J1497" s="80">
        <f>IFERROR(INDEX(打卡匯入!$C$3:$C$2002,MATCH($C1497&amp;"|"&amp;DAY($A1497),打卡匯入!$E$3:$E$2002,0)),"")</f>
        <v/>
      </c>
      <c r="K1497" s="80">
        <f>IFERROR(INDEX(打卡匯入!$D$3:$D$2002,MATCH($C1497&amp;"|"&amp;DAY($A1497),打卡匯入!$E$3:$E$2002,0)),"")</f>
        <v/>
      </c>
      <c r="L1497" s="81">
        <f>IF(OR($J1497="",$K1497=""),"",IFERROR(INDEX(設定!$F$6:$F$18,MATCH($G1497,設定!$B$6:$B$18,0)),0))</f>
        <v/>
      </c>
      <c r="M1497" s="82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1">
        <f>IF(OR($C1497="",$H1497="",$J1497=""),0,IF(ROUND(($J1497-$H1497)*1440,0)&gt;設定!$C$42,ROUND(($J1497-$H1497)*1440,0),0))</f>
        <v/>
      </c>
      <c r="P1497" s="81">
        <f>IF(OR($C1497="",$I1497="",$K1497=""),0,IF(ROUND(($I1497-$K1497)*1440,0)&gt;設定!$C$42,ROUND(($I1497-$K1497)*1440,0),0))</f>
        <v/>
      </c>
      <c r="Q1497" s="82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79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0">
        <f>IF($G1498="","",IFERROR(INDEX(設定!$D$6:$D$18,MATCH($G1498,設定!$B$6:$B$18,0)),""))</f>
        <v/>
      </c>
      <c r="I1498" s="80">
        <f>IF($G1498="","",IFERROR(INDEX(設定!$E$6:$E$18,MATCH($G1498,設定!$B$6:$B$18,0)),""))</f>
        <v/>
      </c>
      <c r="J1498" s="80">
        <f>IFERROR(INDEX(打卡匯入!$C$3:$C$2002,MATCH($C1498&amp;"|"&amp;DAY($A1498),打卡匯入!$E$3:$E$2002,0)),"")</f>
        <v/>
      </c>
      <c r="K1498" s="80">
        <f>IFERROR(INDEX(打卡匯入!$D$3:$D$2002,MATCH($C1498&amp;"|"&amp;DAY($A1498),打卡匯入!$E$3:$E$2002,0)),"")</f>
        <v/>
      </c>
      <c r="L1498" s="81">
        <f>IF(OR($J1498="",$K1498=""),"",IFERROR(INDEX(設定!$F$6:$F$18,MATCH($G1498,設定!$B$6:$B$18,0)),0))</f>
        <v/>
      </c>
      <c r="M1498" s="82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1">
        <f>IF(OR($C1498="",$H1498="",$J1498=""),0,IF(ROUND(($J1498-$H1498)*1440,0)&gt;設定!$C$42,ROUND(($J1498-$H1498)*1440,0),0))</f>
        <v/>
      </c>
      <c r="P1498" s="81">
        <f>IF(OR($C1498="",$I1498="",$K1498=""),0,IF(ROUND(($I1498-$K1498)*1440,0)&gt;設定!$C$42,ROUND(($I1498-$K1498)*1440,0),0))</f>
        <v/>
      </c>
      <c r="Q1498" s="82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79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0">
        <f>IF($G1499="","",IFERROR(INDEX(設定!$D$6:$D$18,MATCH($G1499,設定!$B$6:$B$18,0)),""))</f>
        <v/>
      </c>
      <c r="I1499" s="80">
        <f>IF($G1499="","",IFERROR(INDEX(設定!$E$6:$E$18,MATCH($G1499,設定!$B$6:$B$18,0)),""))</f>
        <v/>
      </c>
      <c r="J1499" s="80">
        <f>IFERROR(INDEX(打卡匯入!$C$3:$C$2002,MATCH($C1499&amp;"|"&amp;DAY($A1499),打卡匯入!$E$3:$E$2002,0)),"")</f>
        <v/>
      </c>
      <c r="K1499" s="80">
        <f>IFERROR(INDEX(打卡匯入!$D$3:$D$2002,MATCH($C1499&amp;"|"&amp;DAY($A1499),打卡匯入!$E$3:$E$2002,0)),"")</f>
        <v/>
      </c>
      <c r="L1499" s="81">
        <f>IF(OR($J1499="",$K1499=""),"",IFERROR(INDEX(設定!$F$6:$F$18,MATCH($G1499,設定!$B$6:$B$18,0)),0))</f>
        <v/>
      </c>
      <c r="M1499" s="82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1">
        <f>IF(OR($C1499="",$H1499="",$J1499=""),0,IF(ROUND(($J1499-$H1499)*1440,0)&gt;設定!$C$42,ROUND(($J1499-$H1499)*1440,0),0))</f>
        <v/>
      </c>
      <c r="P1499" s="81">
        <f>IF(OR($C1499="",$I1499="",$K1499=""),0,IF(ROUND(($I1499-$K1499)*1440,0)&gt;設定!$C$42,ROUND(($I1499-$K1499)*1440,0),0))</f>
        <v/>
      </c>
      <c r="Q1499" s="82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79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0">
        <f>IF($G1500="","",IFERROR(INDEX(設定!$D$6:$D$18,MATCH($G1500,設定!$B$6:$B$18,0)),""))</f>
        <v/>
      </c>
      <c r="I1500" s="80">
        <f>IF($G1500="","",IFERROR(INDEX(設定!$E$6:$E$18,MATCH($G1500,設定!$B$6:$B$18,0)),""))</f>
        <v/>
      </c>
      <c r="J1500" s="80">
        <f>IFERROR(INDEX(打卡匯入!$C$3:$C$2002,MATCH($C1500&amp;"|"&amp;DAY($A1500),打卡匯入!$E$3:$E$2002,0)),"")</f>
        <v/>
      </c>
      <c r="K1500" s="80">
        <f>IFERROR(INDEX(打卡匯入!$D$3:$D$2002,MATCH($C1500&amp;"|"&amp;DAY($A1500),打卡匯入!$E$3:$E$2002,0)),"")</f>
        <v/>
      </c>
      <c r="L1500" s="81">
        <f>IF(OR($J1500="",$K1500=""),"",IFERROR(INDEX(設定!$F$6:$F$18,MATCH($G1500,設定!$B$6:$B$18,0)),0))</f>
        <v/>
      </c>
      <c r="M1500" s="82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1">
        <f>IF(OR($C1500="",$H1500="",$J1500=""),0,IF(ROUND(($J1500-$H1500)*1440,0)&gt;設定!$C$42,ROUND(($J1500-$H1500)*1440,0),0))</f>
        <v/>
      </c>
      <c r="P1500" s="81">
        <f>IF(OR($C1500="",$I1500="",$K1500=""),0,IF(ROUND(($I1500-$K1500)*1440,0)&gt;設定!$C$42,ROUND(($I1500-$K1500)*1440,0),0))</f>
        <v/>
      </c>
      <c r="Q1500" s="82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79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0">
        <f>IF($G1501="","",IFERROR(INDEX(設定!$D$6:$D$18,MATCH($G1501,設定!$B$6:$B$18,0)),""))</f>
        <v/>
      </c>
      <c r="I1501" s="80">
        <f>IF($G1501="","",IFERROR(INDEX(設定!$E$6:$E$18,MATCH($G1501,設定!$B$6:$B$18,0)),""))</f>
        <v/>
      </c>
      <c r="J1501" s="80">
        <f>IFERROR(INDEX(打卡匯入!$C$3:$C$2002,MATCH($C1501&amp;"|"&amp;DAY($A1501),打卡匯入!$E$3:$E$2002,0)),"")</f>
        <v/>
      </c>
      <c r="K1501" s="80">
        <f>IFERROR(INDEX(打卡匯入!$D$3:$D$2002,MATCH($C1501&amp;"|"&amp;DAY($A1501),打卡匯入!$E$3:$E$2002,0)),"")</f>
        <v/>
      </c>
      <c r="L1501" s="81">
        <f>IF(OR($J1501="",$K1501=""),"",IFERROR(INDEX(設定!$F$6:$F$18,MATCH($G1501,設定!$B$6:$B$18,0)),0))</f>
        <v/>
      </c>
      <c r="M1501" s="82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1">
        <f>IF(OR($C1501="",$H1501="",$J1501=""),0,IF(ROUND(($J1501-$H1501)*1440,0)&gt;設定!$C$42,ROUND(($J1501-$H1501)*1440,0),0))</f>
        <v/>
      </c>
      <c r="P1501" s="81">
        <f>IF(OR($C1501="",$I1501="",$K1501=""),0,IF(ROUND(($I1501-$K1501)*1440,0)&gt;設定!$C$42,ROUND(($I1501-$K1501)*1440,0),0))</f>
        <v/>
      </c>
      <c r="Q1501" s="82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79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0">
        <f>IF($G1502="","",IFERROR(INDEX(設定!$D$6:$D$18,MATCH($G1502,設定!$B$6:$B$18,0)),""))</f>
        <v/>
      </c>
      <c r="I1502" s="80">
        <f>IF($G1502="","",IFERROR(INDEX(設定!$E$6:$E$18,MATCH($G1502,設定!$B$6:$B$18,0)),""))</f>
        <v/>
      </c>
      <c r="J1502" s="80">
        <f>IFERROR(INDEX(打卡匯入!$C$3:$C$2002,MATCH($C1502&amp;"|"&amp;DAY($A1502),打卡匯入!$E$3:$E$2002,0)),"")</f>
        <v/>
      </c>
      <c r="K1502" s="80">
        <f>IFERROR(INDEX(打卡匯入!$D$3:$D$2002,MATCH($C1502&amp;"|"&amp;DAY($A1502),打卡匯入!$E$3:$E$2002,0)),"")</f>
        <v/>
      </c>
      <c r="L1502" s="81">
        <f>IF(OR($J1502="",$K1502=""),"",IFERROR(INDEX(設定!$F$6:$F$18,MATCH($G1502,設定!$B$6:$B$18,0)),0))</f>
        <v/>
      </c>
      <c r="M1502" s="82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1">
        <f>IF(OR($C1502="",$H1502="",$J1502=""),0,IF(ROUND(($J1502-$H1502)*1440,0)&gt;設定!$C$42,ROUND(($J1502-$H1502)*1440,0),0))</f>
        <v/>
      </c>
      <c r="P1502" s="81">
        <f>IF(OR($C1502="",$I1502="",$K1502=""),0,IF(ROUND(($I1502-$K1502)*1440,0)&gt;設定!$C$42,ROUND(($I1502-$K1502)*1440,0),0))</f>
        <v/>
      </c>
      <c r="Q1502" s="82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79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0">
        <f>IF($G1503="","",IFERROR(INDEX(設定!$D$6:$D$18,MATCH($G1503,設定!$B$6:$B$18,0)),""))</f>
        <v/>
      </c>
      <c r="I1503" s="80">
        <f>IF($G1503="","",IFERROR(INDEX(設定!$E$6:$E$18,MATCH($G1503,設定!$B$6:$B$18,0)),""))</f>
        <v/>
      </c>
      <c r="J1503" s="80">
        <f>IFERROR(INDEX(打卡匯入!$C$3:$C$2002,MATCH($C1503&amp;"|"&amp;DAY($A1503),打卡匯入!$E$3:$E$2002,0)),"")</f>
        <v/>
      </c>
      <c r="K1503" s="80">
        <f>IFERROR(INDEX(打卡匯入!$D$3:$D$2002,MATCH($C1503&amp;"|"&amp;DAY($A1503),打卡匯入!$E$3:$E$2002,0)),"")</f>
        <v/>
      </c>
      <c r="L1503" s="81">
        <f>IF(OR($J1503="",$K1503=""),"",IFERROR(INDEX(設定!$F$6:$F$18,MATCH($G1503,設定!$B$6:$B$18,0)),0))</f>
        <v/>
      </c>
      <c r="M1503" s="82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1">
        <f>IF(OR($C1503="",$H1503="",$J1503=""),0,IF(ROUND(($J1503-$H1503)*1440,0)&gt;設定!$C$42,ROUND(($J1503-$H1503)*1440,0),0))</f>
        <v/>
      </c>
      <c r="P1503" s="81">
        <f>IF(OR($C1503="",$I1503="",$K1503=""),0,IF(ROUND(($I1503-$K1503)*1440,0)&gt;設定!$C$42,ROUND(($I1503-$K1503)*1440,0),0))</f>
        <v/>
      </c>
      <c r="Q1503" s="82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79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0">
        <f>IF($G1504="","",IFERROR(INDEX(設定!$D$6:$D$18,MATCH($G1504,設定!$B$6:$B$18,0)),""))</f>
        <v/>
      </c>
      <c r="I1504" s="80">
        <f>IF($G1504="","",IFERROR(INDEX(設定!$E$6:$E$18,MATCH($G1504,設定!$B$6:$B$18,0)),""))</f>
        <v/>
      </c>
      <c r="J1504" s="80">
        <f>IFERROR(INDEX(打卡匯入!$C$3:$C$2002,MATCH($C1504&amp;"|"&amp;DAY($A1504),打卡匯入!$E$3:$E$2002,0)),"")</f>
        <v/>
      </c>
      <c r="K1504" s="80">
        <f>IFERROR(INDEX(打卡匯入!$D$3:$D$2002,MATCH($C1504&amp;"|"&amp;DAY($A1504),打卡匯入!$E$3:$E$2002,0)),"")</f>
        <v/>
      </c>
      <c r="L1504" s="81">
        <f>IF(OR($J1504="",$K1504=""),"",IFERROR(INDEX(設定!$F$6:$F$18,MATCH($G1504,設定!$B$6:$B$18,0)),0))</f>
        <v/>
      </c>
      <c r="M1504" s="82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1">
        <f>IF(OR($C1504="",$H1504="",$J1504=""),0,IF(ROUND(($J1504-$H1504)*1440,0)&gt;設定!$C$42,ROUND(($J1504-$H1504)*1440,0),0))</f>
        <v/>
      </c>
      <c r="P1504" s="81">
        <f>IF(OR($C1504="",$I1504="",$K1504=""),0,IF(ROUND(($I1504-$K1504)*1440,0)&gt;設定!$C$42,ROUND(($I1504-$K1504)*1440,0),0))</f>
        <v/>
      </c>
      <c r="Q1504" s="82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79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0">
        <f>IF($G1505="","",IFERROR(INDEX(設定!$D$6:$D$18,MATCH($G1505,設定!$B$6:$B$18,0)),""))</f>
        <v/>
      </c>
      <c r="I1505" s="80">
        <f>IF($G1505="","",IFERROR(INDEX(設定!$E$6:$E$18,MATCH($G1505,設定!$B$6:$B$18,0)),""))</f>
        <v/>
      </c>
      <c r="J1505" s="80">
        <f>IFERROR(INDEX(打卡匯入!$C$3:$C$2002,MATCH($C1505&amp;"|"&amp;DAY($A1505),打卡匯入!$E$3:$E$2002,0)),"")</f>
        <v/>
      </c>
      <c r="K1505" s="80">
        <f>IFERROR(INDEX(打卡匯入!$D$3:$D$2002,MATCH($C1505&amp;"|"&amp;DAY($A1505),打卡匯入!$E$3:$E$2002,0)),"")</f>
        <v/>
      </c>
      <c r="L1505" s="81">
        <f>IF(OR($J1505="",$K1505=""),"",IFERROR(INDEX(設定!$F$6:$F$18,MATCH($G1505,設定!$B$6:$B$18,0)),0))</f>
        <v/>
      </c>
      <c r="M1505" s="82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1">
        <f>IF(OR($C1505="",$H1505="",$J1505=""),0,IF(ROUND(($J1505-$H1505)*1440,0)&gt;設定!$C$42,ROUND(($J1505-$H1505)*1440,0),0))</f>
        <v/>
      </c>
      <c r="P1505" s="81">
        <f>IF(OR($C1505="",$I1505="",$K1505=""),0,IF(ROUND(($I1505-$K1505)*1440,0)&gt;設定!$C$42,ROUND(($I1505-$K1505)*1440,0),0))</f>
        <v/>
      </c>
      <c r="Q1505" s="82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79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0">
        <f>IF($G1506="","",IFERROR(INDEX(設定!$D$6:$D$18,MATCH($G1506,設定!$B$6:$B$18,0)),""))</f>
        <v/>
      </c>
      <c r="I1506" s="80">
        <f>IF($G1506="","",IFERROR(INDEX(設定!$E$6:$E$18,MATCH($G1506,設定!$B$6:$B$18,0)),""))</f>
        <v/>
      </c>
      <c r="J1506" s="80">
        <f>IFERROR(INDEX(打卡匯入!$C$3:$C$2002,MATCH($C1506&amp;"|"&amp;DAY($A1506),打卡匯入!$E$3:$E$2002,0)),"")</f>
        <v/>
      </c>
      <c r="K1506" s="80">
        <f>IFERROR(INDEX(打卡匯入!$D$3:$D$2002,MATCH($C1506&amp;"|"&amp;DAY($A1506),打卡匯入!$E$3:$E$2002,0)),"")</f>
        <v/>
      </c>
      <c r="L1506" s="81">
        <f>IF(OR($J1506="",$K1506=""),"",IFERROR(INDEX(設定!$F$6:$F$18,MATCH($G1506,設定!$B$6:$B$18,0)),0))</f>
        <v/>
      </c>
      <c r="M1506" s="82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1">
        <f>IF(OR($C1506="",$H1506="",$J1506=""),0,IF(ROUND(($J1506-$H1506)*1440,0)&gt;設定!$C$42,ROUND(($J1506-$H1506)*1440,0),0))</f>
        <v/>
      </c>
      <c r="P1506" s="81">
        <f>IF(OR($C1506="",$I1506="",$K1506=""),0,IF(ROUND(($I1506-$K1506)*1440,0)&gt;設定!$C$42,ROUND(($I1506-$K1506)*1440,0),0))</f>
        <v/>
      </c>
      <c r="Q1506" s="82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79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0">
        <f>IF($G1507="","",IFERROR(INDEX(設定!$D$6:$D$18,MATCH($G1507,設定!$B$6:$B$18,0)),""))</f>
        <v/>
      </c>
      <c r="I1507" s="80">
        <f>IF($G1507="","",IFERROR(INDEX(設定!$E$6:$E$18,MATCH($G1507,設定!$B$6:$B$18,0)),""))</f>
        <v/>
      </c>
      <c r="J1507" s="80">
        <f>IFERROR(INDEX(打卡匯入!$C$3:$C$2002,MATCH($C1507&amp;"|"&amp;DAY($A1507),打卡匯入!$E$3:$E$2002,0)),"")</f>
        <v/>
      </c>
      <c r="K1507" s="80">
        <f>IFERROR(INDEX(打卡匯入!$D$3:$D$2002,MATCH($C1507&amp;"|"&amp;DAY($A1507),打卡匯入!$E$3:$E$2002,0)),"")</f>
        <v/>
      </c>
      <c r="L1507" s="81">
        <f>IF(OR($J1507="",$K1507=""),"",IFERROR(INDEX(設定!$F$6:$F$18,MATCH($G1507,設定!$B$6:$B$18,0)),0))</f>
        <v/>
      </c>
      <c r="M1507" s="82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1">
        <f>IF(OR($C1507="",$H1507="",$J1507=""),0,IF(ROUND(($J1507-$H1507)*1440,0)&gt;設定!$C$42,ROUND(($J1507-$H1507)*1440,0),0))</f>
        <v/>
      </c>
      <c r="P1507" s="81">
        <f>IF(OR($C1507="",$I1507="",$K1507=""),0,IF(ROUND(($I1507-$K1507)*1440,0)&gt;設定!$C$42,ROUND(($I1507-$K1507)*1440,0),0))</f>
        <v/>
      </c>
      <c r="Q1507" s="82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79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0">
        <f>IF($G1508="","",IFERROR(INDEX(設定!$D$6:$D$18,MATCH($G1508,設定!$B$6:$B$18,0)),""))</f>
        <v/>
      </c>
      <c r="I1508" s="80">
        <f>IF($G1508="","",IFERROR(INDEX(設定!$E$6:$E$18,MATCH($G1508,設定!$B$6:$B$18,0)),""))</f>
        <v/>
      </c>
      <c r="J1508" s="80">
        <f>IFERROR(INDEX(打卡匯入!$C$3:$C$2002,MATCH($C1508&amp;"|"&amp;DAY($A1508),打卡匯入!$E$3:$E$2002,0)),"")</f>
        <v/>
      </c>
      <c r="K1508" s="80">
        <f>IFERROR(INDEX(打卡匯入!$D$3:$D$2002,MATCH($C1508&amp;"|"&amp;DAY($A1508),打卡匯入!$E$3:$E$2002,0)),"")</f>
        <v/>
      </c>
      <c r="L1508" s="81">
        <f>IF(OR($J1508="",$K1508=""),"",IFERROR(INDEX(設定!$F$6:$F$18,MATCH($G1508,設定!$B$6:$B$18,0)),0))</f>
        <v/>
      </c>
      <c r="M1508" s="82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1">
        <f>IF(OR($C1508="",$H1508="",$J1508=""),0,IF(ROUND(($J1508-$H1508)*1440,0)&gt;設定!$C$42,ROUND(($J1508-$H1508)*1440,0),0))</f>
        <v/>
      </c>
      <c r="P1508" s="81">
        <f>IF(OR($C1508="",$I1508="",$K1508=""),0,IF(ROUND(($I1508-$K1508)*1440,0)&gt;設定!$C$42,ROUND(($I1508-$K1508)*1440,0),0))</f>
        <v/>
      </c>
      <c r="Q1508" s="82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79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0">
        <f>IF($G1509="","",IFERROR(INDEX(設定!$D$6:$D$18,MATCH($G1509,設定!$B$6:$B$18,0)),""))</f>
        <v/>
      </c>
      <c r="I1509" s="80">
        <f>IF($G1509="","",IFERROR(INDEX(設定!$E$6:$E$18,MATCH($G1509,設定!$B$6:$B$18,0)),""))</f>
        <v/>
      </c>
      <c r="J1509" s="80">
        <f>IFERROR(INDEX(打卡匯入!$C$3:$C$2002,MATCH($C1509&amp;"|"&amp;DAY($A1509),打卡匯入!$E$3:$E$2002,0)),"")</f>
        <v/>
      </c>
      <c r="K1509" s="80">
        <f>IFERROR(INDEX(打卡匯入!$D$3:$D$2002,MATCH($C1509&amp;"|"&amp;DAY($A1509),打卡匯入!$E$3:$E$2002,0)),"")</f>
        <v/>
      </c>
      <c r="L1509" s="81">
        <f>IF(OR($J1509="",$K1509=""),"",IFERROR(INDEX(設定!$F$6:$F$18,MATCH($G1509,設定!$B$6:$B$18,0)),0))</f>
        <v/>
      </c>
      <c r="M1509" s="82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1">
        <f>IF(OR($C1509="",$H1509="",$J1509=""),0,IF(ROUND(($J1509-$H1509)*1440,0)&gt;設定!$C$42,ROUND(($J1509-$H1509)*1440,0),0))</f>
        <v/>
      </c>
      <c r="P1509" s="81">
        <f>IF(OR($C1509="",$I1509="",$K1509=""),0,IF(ROUND(($I1509-$K1509)*1440,0)&gt;設定!$C$42,ROUND(($I1509-$K1509)*1440,0),0))</f>
        <v/>
      </c>
      <c r="Q1509" s="82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79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0">
        <f>IF($G1510="","",IFERROR(INDEX(設定!$D$6:$D$18,MATCH($G1510,設定!$B$6:$B$18,0)),""))</f>
        <v/>
      </c>
      <c r="I1510" s="80">
        <f>IF($G1510="","",IFERROR(INDEX(設定!$E$6:$E$18,MATCH($G1510,設定!$B$6:$B$18,0)),""))</f>
        <v/>
      </c>
      <c r="J1510" s="80">
        <f>IFERROR(INDEX(打卡匯入!$C$3:$C$2002,MATCH($C1510&amp;"|"&amp;DAY($A1510),打卡匯入!$E$3:$E$2002,0)),"")</f>
        <v/>
      </c>
      <c r="K1510" s="80">
        <f>IFERROR(INDEX(打卡匯入!$D$3:$D$2002,MATCH($C1510&amp;"|"&amp;DAY($A1510),打卡匯入!$E$3:$E$2002,0)),"")</f>
        <v/>
      </c>
      <c r="L1510" s="81">
        <f>IF(OR($J1510="",$K1510=""),"",IFERROR(INDEX(設定!$F$6:$F$18,MATCH($G1510,設定!$B$6:$B$18,0)),0))</f>
        <v/>
      </c>
      <c r="M1510" s="82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1">
        <f>IF(OR($C1510="",$H1510="",$J1510=""),0,IF(ROUND(($J1510-$H1510)*1440,0)&gt;設定!$C$42,ROUND(($J1510-$H1510)*1440,0),0))</f>
        <v/>
      </c>
      <c r="P1510" s="81">
        <f>IF(OR($C1510="",$I1510="",$K1510=""),0,IF(ROUND(($I1510-$K1510)*1440,0)&gt;設定!$C$42,ROUND(($I1510-$K1510)*1440,0),0))</f>
        <v/>
      </c>
      <c r="Q1510" s="82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79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0">
        <f>IF($G1511="","",IFERROR(INDEX(設定!$D$6:$D$18,MATCH($G1511,設定!$B$6:$B$18,0)),""))</f>
        <v/>
      </c>
      <c r="I1511" s="80">
        <f>IF($G1511="","",IFERROR(INDEX(設定!$E$6:$E$18,MATCH($G1511,設定!$B$6:$B$18,0)),""))</f>
        <v/>
      </c>
      <c r="J1511" s="80">
        <f>IFERROR(INDEX(打卡匯入!$C$3:$C$2002,MATCH($C1511&amp;"|"&amp;DAY($A1511),打卡匯入!$E$3:$E$2002,0)),"")</f>
        <v/>
      </c>
      <c r="K1511" s="80">
        <f>IFERROR(INDEX(打卡匯入!$D$3:$D$2002,MATCH($C1511&amp;"|"&amp;DAY($A1511),打卡匯入!$E$3:$E$2002,0)),"")</f>
        <v/>
      </c>
      <c r="L1511" s="81">
        <f>IF(OR($J1511="",$K1511=""),"",IFERROR(INDEX(設定!$F$6:$F$18,MATCH($G1511,設定!$B$6:$B$18,0)),0))</f>
        <v/>
      </c>
      <c r="M1511" s="82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1">
        <f>IF(OR($C1511="",$H1511="",$J1511=""),0,IF(ROUND(($J1511-$H1511)*1440,0)&gt;設定!$C$42,ROUND(($J1511-$H1511)*1440,0),0))</f>
        <v/>
      </c>
      <c r="P1511" s="81">
        <f>IF(OR($C1511="",$I1511="",$K1511=""),0,IF(ROUND(($I1511-$K1511)*1440,0)&gt;設定!$C$42,ROUND(($I1511-$K1511)*1440,0),0))</f>
        <v/>
      </c>
      <c r="Q1511" s="82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79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0">
        <f>IF($G1512="","",IFERROR(INDEX(設定!$D$6:$D$18,MATCH($G1512,設定!$B$6:$B$18,0)),""))</f>
        <v/>
      </c>
      <c r="I1512" s="80">
        <f>IF($G1512="","",IFERROR(INDEX(設定!$E$6:$E$18,MATCH($G1512,設定!$B$6:$B$18,0)),""))</f>
        <v/>
      </c>
      <c r="J1512" s="80">
        <f>IFERROR(INDEX(打卡匯入!$C$3:$C$2002,MATCH($C1512&amp;"|"&amp;DAY($A1512),打卡匯入!$E$3:$E$2002,0)),"")</f>
        <v/>
      </c>
      <c r="K1512" s="80">
        <f>IFERROR(INDEX(打卡匯入!$D$3:$D$2002,MATCH($C1512&amp;"|"&amp;DAY($A1512),打卡匯入!$E$3:$E$2002,0)),"")</f>
        <v/>
      </c>
      <c r="L1512" s="81">
        <f>IF(OR($J1512="",$K1512=""),"",IFERROR(INDEX(設定!$F$6:$F$18,MATCH($G1512,設定!$B$6:$B$18,0)),0))</f>
        <v/>
      </c>
      <c r="M1512" s="82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1">
        <f>IF(OR($C1512="",$H1512="",$J1512=""),0,IF(ROUND(($J1512-$H1512)*1440,0)&gt;設定!$C$42,ROUND(($J1512-$H1512)*1440,0),0))</f>
        <v/>
      </c>
      <c r="P1512" s="81">
        <f>IF(OR($C1512="",$I1512="",$K1512=""),0,IF(ROUND(($I1512-$K1512)*1440,0)&gt;設定!$C$42,ROUND(($I1512-$K1512)*1440,0),0))</f>
        <v/>
      </c>
      <c r="Q1512" s="82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79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0">
        <f>IF($G1513="","",IFERROR(INDEX(設定!$D$6:$D$18,MATCH($G1513,設定!$B$6:$B$18,0)),""))</f>
        <v/>
      </c>
      <c r="I1513" s="80">
        <f>IF($G1513="","",IFERROR(INDEX(設定!$E$6:$E$18,MATCH($G1513,設定!$B$6:$B$18,0)),""))</f>
        <v/>
      </c>
      <c r="J1513" s="80">
        <f>IFERROR(INDEX(打卡匯入!$C$3:$C$2002,MATCH($C1513&amp;"|"&amp;DAY($A1513),打卡匯入!$E$3:$E$2002,0)),"")</f>
        <v/>
      </c>
      <c r="K1513" s="80">
        <f>IFERROR(INDEX(打卡匯入!$D$3:$D$2002,MATCH($C1513&amp;"|"&amp;DAY($A1513),打卡匯入!$E$3:$E$2002,0)),"")</f>
        <v/>
      </c>
      <c r="L1513" s="81">
        <f>IF(OR($J1513="",$K1513=""),"",IFERROR(INDEX(設定!$F$6:$F$18,MATCH($G1513,設定!$B$6:$B$18,0)),0))</f>
        <v/>
      </c>
      <c r="M1513" s="82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1">
        <f>IF(OR($C1513="",$H1513="",$J1513=""),0,IF(ROUND(($J1513-$H1513)*1440,0)&gt;設定!$C$42,ROUND(($J1513-$H1513)*1440,0),0))</f>
        <v/>
      </c>
      <c r="P1513" s="81">
        <f>IF(OR($C1513="",$I1513="",$K1513=""),0,IF(ROUND(($I1513-$K1513)*1440,0)&gt;設定!$C$42,ROUND(($I1513-$K1513)*1440,0),0))</f>
        <v/>
      </c>
      <c r="Q1513" s="82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79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0">
        <f>IF($G1514="","",IFERROR(INDEX(設定!$D$6:$D$18,MATCH($G1514,設定!$B$6:$B$18,0)),""))</f>
        <v/>
      </c>
      <c r="I1514" s="80">
        <f>IF($G1514="","",IFERROR(INDEX(設定!$E$6:$E$18,MATCH($G1514,設定!$B$6:$B$18,0)),""))</f>
        <v/>
      </c>
      <c r="J1514" s="80">
        <f>IFERROR(INDEX(打卡匯入!$C$3:$C$2002,MATCH($C1514&amp;"|"&amp;DAY($A1514),打卡匯入!$E$3:$E$2002,0)),"")</f>
        <v/>
      </c>
      <c r="K1514" s="80">
        <f>IFERROR(INDEX(打卡匯入!$D$3:$D$2002,MATCH($C1514&amp;"|"&amp;DAY($A1514),打卡匯入!$E$3:$E$2002,0)),"")</f>
        <v/>
      </c>
      <c r="L1514" s="81">
        <f>IF(OR($J1514="",$K1514=""),"",IFERROR(INDEX(設定!$F$6:$F$18,MATCH($G1514,設定!$B$6:$B$18,0)),0))</f>
        <v/>
      </c>
      <c r="M1514" s="82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1">
        <f>IF(OR($C1514="",$H1514="",$J1514=""),0,IF(ROUND(($J1514-$H1514)*1440,0)&gt;設定!$C$42,ROUND(($J1514-$H1514)*1440,0),0))</f>
        <v/>
      </c>
      <c r="P1514" s="81">
        <f>IF(OR($C1514="",$I1514="",$K1514=""),0,IF(ROUND(($I1514-$K1514)*1440,0)&gt;設定!$C$42,ROUND(($I1514-$K1514)*1440,0),0))</f>
        <v/>
      </c>
      <c r="Q1514" s="82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79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0">
        <f>IF($G1515="","",IFERROR(INDEX(設定!$D$6:$D$18,MATCH($G1515,設定!$B$6:$B$18,0)),""))</f>
        <v/>
      </c>
      <c r="I1515" s="80">
        <f>IF($G1515="","",IFERROR(INDEX(設定!$E$6:$E$18,MATCH($G1515,設定!$B$6:$B$18,0)),""))</f>
        <v/>
      </c>
      <c r="J1515" s="80">
        <f>IFERROR(INDEX(打卡匯入!$C$3:$C$2002,MATCH($C1515&amp;"|"&amp;DAY($A1515),打卡匯入!$E$3:$E$2002,0)),"")</f>
        <v/>
      </c>
      <c r="K1515" s="80">
        <f>IFERROR(INDEX(打卡匯入!$D$3:$D$2002,MATCH($C1515&amp;"|"&amp;DAY($A1515),打卡匯入!$E$3:$E$2002,0)),"")</f>
        <v/>
      </c>
      <c r="L1515" s="81">
        <f>IF(OR($J1515="",$K1515=""),"",IFERROR(INDEX(設定!$F$6:$F$18,MATCH($G1515,設定!$B$6:$B$18,0)),0))</f>
        <v/>
      </c>
      <c r="M1515" s="82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1">
        <f>IF(OR($C1515="",$H1515="",$J1515=""),0,IF(ROUND(($J1515-$H1515)*1440,0)&gt;設定!$C$42,ROUND(($J1515-$H1515)*1440,0),0))</f>
        <v/>
      </c>
      <c r="P1515" s="81">
        <f>IF(OR($C1515="",$I1515="",$K1515=""),0,IF(ROUND(($I1515-$K1515)*1440,0)&gt;設定!$C$42,ROUND(($I1515-$K1515)*1440,0),0))</f>
        <v/>
      </c>
      <c r="Q1515" s="82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79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0">
        <f>IF($G1516="","",IFERROR(INDEX(設定!$D$6:$D$18,MATCH($G1516,設定!$B$6:$B$18,0)),""))</f>
        <v/>
      </c>
      <c r="I1516" s="80">
        <f>IF($G1516="","",IFERROR(INDEX(設定!$E$6:$E$18,MATCH($G1516,設定!$B$6:$B$18,0)),""))</f>
        <v/>
      </c>
      <c r="J1516" s="80">
        <f>IFERROR(INDEX(打卡匯入!$C$3:$C$2002,MATCH($C1516&amp;"|"&amp;DAY($A1516),打卡匯入!$E$3:$E$2002,0)),"")</f>
        <v/>
      </c>
      <c r="K1516" s="80">
        <f>IFERROR(INDEX(打卡匯入!$D$3:$D$2002,MATCH($C1516&amp;"|"&amp;DAY($A1516),打卡匯入!$E$3:$E$2002,0)),"")</f>
        <v/>
      </c>
      <c r="L1516" s="81">
        <f>IF(OR($J1516="",$K1516=""),"",IFERROR(INDEX(設定!$F$6:$F$18,MATCH($G1516,設定!$B$6:$B$18,0)),0))</f>
        <v/>
      </c>
      <c r="M1516" s="82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1">
        <f>IF(OR($C1516="",$H1516="",$J1516=""),0,IF(ROUND(($J1516-$H1516)*1440,0)&gt;設定!$C$42,ROUND(($J1516-$H1516)*1440,0),0))</f>
        <v/>
      </c>
      <c r="P1516" s="81">
        <f>IF(OR($C1516="",$I1516="",$K1516=""),0,IF(ROUND(($I1516-$K1516)*1440,0)&gt;設定!$C$42,ROUND(($I1516-$K1516)*1440,0),0))</f>
        <v/>
      </c>
      <c r="Q1516" s="82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79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0">
        <f>IF($G1517="","",IFERROR(INDEX(設定!$D$6:$D$18,MATCH($G1517,設定!$B$6:$B$18,0)),""))</f>
        <v/>
      </c>
      <c r="I1517" s="80">
        <f>IF($G1517="","",IFERROR(INDEX(設定!$E$6:$E$18,MATCH($G1517,設定!$B$6:$B$18,0)),""))</f>
        <v/>
      </c>
      <c r="J1517" s="80">
        <f>IFERROR(INDEX(打卡匯入!$C$3:$C$2002,MATCH($C1517&amp;"|"&amp;DAY($A1517),打卡匯入!$E$3:$E$2002,0)),"")</f>
        <v/>
      </c>
      <c r="K1517" s="80">
        <f>IFERROR(INDEX(打卡匯入!$D$3:$D$2002,MATCH($C1517&amp;"|"&amp;DAY($A1517),打卡匯入!$E$3:$E$2002,0)),"")</f>
        <v/>
      </c>
      <c r="L1517" s="81">
        <f>IF(OR($J1517="",$K1517=""),"",IFERROR(INDEX(設定!$F$6:$F$18,MATCH($G1517,設定!$B$6:$B$18,0)),0))</f>
        <v/>
      </c>
      <c r="M1517" s="82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1">
        <f>IF(OR($C1517="",$H1517="",$J1517=""),0,IF(ROUND(($J1517-$H1517)*1440,0)&gt;設定!$C$42,ROUND(($J1517-$H1517)*1440,0),0))</f>
        <v/>
      </c>
      <c r="P1517" s="81">
        <f>IF(OR($C1517="",$I1517="",$K1517=""),0,IF(ROUND(($I1517-$K1517)*1440,0)&gt;設定!$C$42,ROUND(($I1517-$K1517)*1440,0),0))</f>
        <v/>
      </c>
      <c r="Q1517" s="82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79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0">
        <f>IF($G1518="","",IFERROR(INDEX(設定!$D$6:$D$18,MATCH($G1518,設定!$B$6:$B$18,0)),""))</f>
        <v/>
      </c>
      <c r="I1518" s="80">
        <f>IF($G1518="","",IFERROR(INDEX(設定!$E$6:$E$18,MATCH($G1518,設定!$B$6:$B$18,0)),""))</f>
        <v/>
      </c>
      <c r="J1518" s="80">
        <f>IFERROR(INDEX(打卡匯入!$C$3:$C$2002,MATCH($C1518&amp;"|"&amp;DAY($A1518),打卡匯入!$E$3:$E$2002,0)),"")</f>
        <v/>
      </c>
      <c r="K1518" s="80">
        <f>IFERROR(INDEX(打卡匯入!$D$3:$D$2002,MATCH($C1518&amp;"|"&amp;DAY($A1518),打卡匯入!$E$3:$E$2002,0)),"")</f>
        <v/>
      </c>
      <c r="L1518" s="81">
        <f>IF(OR($J1518="",$K1518=""),"",IFERROR(INDEX(設定!$F$6:$F$18,MATCH($G1518,設定!$B$6:$B$18,0)),0))</f>
        <v/>
      </c>
      <c r="M1518" s="82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1">
        <f>IF(OR($C1518="",$H1518="",$J1518=""),0,IF(ROUND(($J1518-$H1518)*1440,0)&gt;設定!$C$42,ROUND(($J1518-$H1518)*1440,0),0))</f>
        <v/>
      </c>
      <c r="P1518" s="81">
        <f>IF(OR($C1518="",$I1518="",$K1518=""),0,IF(ROUND(($I1518-$K1518)*1440,0)&gt;設定!$C$42,ROUND(($I1518-$K1518)*1440,0),0))</f>
        <v/>
      </c>
      <c r="Q1518" s="82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79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0">
        <f>IF($G1519="","",IFERROR(INDEX(設定!$D$6:$D$18,MATCH($G1519,設定!$B$6:$B$18,0)),""))</f>
        <v/>
      </c>
      <c r="I1519" s="80">
        <f>IF($G1519="","",IFERROR(INDEX(設定!$E$6:$E$18,MATCH($G1519,設定!$B$6:$B$18,0)),""))</f>
        <v/>
      </c>
      <c r="J1519" s="80">
        <f>IFERROR(INDEX(打卡匯入!$C$3:$C$2002,MATCH($C1519&amp;"|"&amp;DAY($A1519),打卡匯入!$E$3:$E$2002,0)),"")</f>
        <v/>
      </c>
      <c r="K1519" s="80">
        <f>IFERROR(INDEX(打卡匯入!$D$3:$D$2002,MATCH($C1519&amp;"|"&amp;DAY($A1519),打卡匯入!$E$3:$E$2002,0)),"")</f>
        <v/>
      </c>
      <c r="L1519" s="81">
        <f>IF(OR($J1519="",$K1519=""),"",IFERROR(INDEX(設定!$F$6:$F$18,MATCH($G1519,設定!$B$6:$B$18,0)),0))</f>
        <v/>
      </c>
      <c r="M1519" s="82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1">
        <f>IF(OR($C1519="",$H1519="",$J1519=""),0,IF(ROUND(($J1519-$H1519)*1440,0)&gt;設定!$C$42,ROUND(($J1519-$H1519)*1440,0),0))</f>
        <v/>
      </c>
      <c r="P1519" s="81">
        <f>IF(OR($C1519="",$I1519="",$K1519=""),0,IF(ROUND(($I1519-$K1519)*1440,0)&gt;設定!$C$42,ROUND(($I1519-$K1519)*1440,0),0))</f>
        <v/>
      </c>
      <c r="Q1519" s="82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79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0">
        <f>IF($G1520="","",IFERROR(INDEX(設定!$D$6:$D$18,MATCH($G1520,設定!$B$6:$B$18,0)),""))</f>
        <v/>
      </c>
      <c r="I1520" s="80">
        <f>IF($G1520="","",IFERROR(INDEX(設定!$E$6:$E$18,MATCH($G1520,設定!$B$6:$B$18,0)),""))</f>
        <v/>
      </c>
      <c r="J1520" s="80">
        <f>IFERROR(INDEX(打卡匯入!$C$3:$C$2002,MATCH($C1520&amp;"|"&amp;DAY($A1520),打卡匯入!$E$3:$E$2002,0)),"")</f>
        <v/>
      </c>
      <c r="K1520" s="80">
        <f>IFERROR(INDEX(打卡匯入!$D$3:$D$2002,MATCH($C1520&amp;"|"&amp;DAY($A1520),打卡匯入!$E$3:$E$2002,0)),"")</f>
        <v/>
      </c>
      <c r="L1520" s="81">
        <f>IF(OR($J1520="",$K1520=""),"",IFERROR(INDEX(設定!$F$6:$F$18,MATCH($G1520,設定!$B$6:$B$18,0)),0))</f>
        <v/>
      </c>
      <c r="M1520" s="82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1">
        <f>IF(OR($C1520="",$H1520="",$J1520=""),0,IF(ROUND(($J1520-$H1520)*1440,0)&gt;設定!$C$42,ROUND(($J1520-$H1520)*1440,0),0))</f>
        <v/>
      </c>
      <c r="P1520" s="81">
        <f>IF(OR($C1520="",$I1520="",$K1520=""),0,IF(ROUND(($I1520-$K1520)*1440,0)&gt;設定!$C$42,ROUND(($I1520-$K1520)*1440,0),0))</f>
        <v/>
      </c>
      <c r="Q1520" s="82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79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0">
        <f>IF($G1521="","",IFERROR(INDEX(設定!$D$6:$D$18,MATCH($G1521,設定!$B$6:$B$18,0)),""))</f>
        <v/>
      </c>
      <c r="I1521" s="80">
        <f>IF($G1521="","",IFERROR(INDEX(設定!$E$6:$E$18,MATCH($G1521,設定!$B$6:$B$18,0)),""))</f>
        <v/>
      </c>
      <c r="J1521" s="80">
        <f>IFERROR(INDEX(打卡匯入!$C$3:$C$2002,MATCH($C1521&amp;"|"&amp;DAY($A1521),打卡匯入!$E$3:$E$2002,0)),"")</f>
        <v/>
      </c>
      <c r="K1521" s="80">
        <f>IFERROR(INDEX(打卡匯入!$D$3:$D$2002,MATCH($C1521&amp;"|"&amp;DAY($A1521),打卡匯入!$E$3:$E$2002,0)),"")</f>
        <v/>
      </c>
      <c r="L1521" s="81">
        <f>IF(OR($J1521="",$K1521=""),"",IFERROR(INDEX(設定!$F$6:$F$18,MATCH($G1521,設定!$B$6:$B$18,0)),0))</f>
        <v/>
      </c>
      <c r="M1521" s="82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1">
        <f>IF(OR($C1521="",$H1521="",$J1521=""),0,IF(ROUND(($J1521-$H1521)*1440,0)&gt;設定!$C$42,ROUND(($J1521-$H1521)*1440,0),0))</f>
        <v/>
      </c>
      <c r="P1521" s="81">
        <f>IF(OR($C1521="",$I1521="",$K1521=""),0,IF(ROUND(($I1521-$K1521)*1440,0)&gt;設定!$C$42,ROUND(($I1521-$K1521)*1440,0),0))</f>
        <v/>
      </c>
      <c r="Q1521" s="82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79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0">
        <f>IF($G1522="","",IFERROR(INDEX(設定!$D$6:$D$18,MATCH($G1522,設定!$B$6:$B$18,0)),""))</f>
        <v/>
      </c>
      <c r="I1522" s="80">
        <f>IF($G1522="","",IFERROR(INDEX(設定!$E$6:$E$18,MATCH($G1522,設定!$B$6:$B$18,0)),""))</f>
        <v/>
      </c>
      <c r="J1522" s="80">
        <f>IFERROR(INDEX(打卡匯入!$C$3:$C$2002,MATCH($C1522&amp;"|"&amp;DAY($A1522),打卡匯入!$E$3:$E$2002,0)),"")</f>
        <v/>
      </c>
      <c r="K1522" s="80">
        <f>IFERROR(INDEX(打卡匯入!$D$3:$D$2002,MATCH($C1522&amp;"|"&amp;DAY($A1522),打卡匯入!$E$3:$E$2002,0)),"")</f>
        <v/>
      </c>
      <c r="L1522" s="81">
        <f>IF(OR($J1522="",$K1522=""),"",IFERROR(INDEX(設定!$F$6:$F$18,MATCH($G1522,設定!$B$6:$B$18,0)),0))</f>
        <v/>
      </c>
      <c r="M1522" s="82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1">
        <f>IF(OR($C1522="",$H1522="",$J1522=""),0,IF(ROUND(($J1522-$H1522)*1440,0)&gt;設定!$C$42,ROUND(($J1522-$H1522)*1440,0),0))</f>
        <v/>
      </c>
      <c r="P1522" s="81">
        <f>IF(OR($C1522="",$I1522="",$K1522=""),0,IF(ROUND(($I1522-$K1522)*1440,0)&gt;設定!$C$42,ROUND(($I1522-$K1522)*1440,0),0))</f>
        <v/>
      </c>
      <c r="Q1522" s="82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79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0">
        <f>IF($G1523="","",IFERROR(INDEX(設定!$D$6:$D$18,MATCH($G1523,設定!$B$6:$B$18,0)),""))</f>
        <v/>
      </c>
      <c r="I1523" s="80">
        <f>IF($G1523="","",IFERROR(INDEX(設定!$E$6:$E$18,MATCH($G1523,設定!$B$6:$B$18,0)),""))</f>
        <v/>
      </c>
      <c r="J1523" s="80">
        <f>IFERROR(INDEX(打卡匯入!$C$3:$C$2002,MATCH($C1523&amp;"|"&amp;DAY($A1523),打卡匯入!$E$3:$E$2002,0)),"")</f>
        <v/>
      </c>
      <c r="K1523" s="80">
        <f>IFERROR(INDEX(打卡匯入!$D$3:$D$2002,MATCH($C1523&amp;"|"&amp;DAY($A1523),打卡匯入!$E$3:$E$2002,0)),"")</f>
        <v/>
      </c>
      <c r="L1523" s="81">
        <f>IF(OR($J1523="",$K1523=""),"",IFERROR(INDEX(設定!$F$6:$F$18,MATCH($G1523,設定!$B$6:$B$18,0)),0))</f>
        <v/>
      </c>
      <c r="M1523" s="82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1">
        <f>IF(OR($C1523="",$H1523="",$J1523=""),0,IF(ROUND(($J1523-$H1523)*1440,0)&gt;設定!$C$42,ROUND(($J1523-$H1523)*1440,0),0))</f>
        <v/>
      </c>
      <c r="P1523" s="81">
        <f>IF(OR($C1523="",$I1523="",$K1523=""),0,IF(ROUND(($I1523-$K1523)*1440,0)&gt;設定!$C$42,ROUND(($I1523-$K1523)*1440,0),0))</f>
        <v/>
      </c>
      <c r="Q1523" s="82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79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0">
        <f>IF($G1524="","",IFERROR(INDEX(設定!$D$6:$D$18,MATCH($G1524,設定!$B$6:$B$18,0)),""))</f>
        <v/>
      </c>
      <c r="I1524" s="80">
        <f>IF($G1524="","",IFERROR(INDEX(設定!$E$6:$E$18,MATCH($G1524,設定!$B$6:$B$18,0)),""))</f>
        <v/>
      </c>
      <c r="J1524" s="80">
        <f>IFERROR(INDEX(打卡匯入!$C$3:$C$2002,MATCH($C1524&amp;"|"&amp;DAY($A1524),打卡匯入!$E$3:$E$2002,0)),"")</f>
        <v/>
      </c>
      <c r="K1524" s="80">
        <f>IFERROR(INDEX(打卡匯入!$D$3:$D$2002,MATCH($C1524&amp;"|"&amp;DAY($A1524),打卡匯入!$E$3:$E$2002,0)),"")</f>
        <v/>
      </c>
      <c r="L1524" s="81">
        <f>IF(OR($J1524="",$K1524=""),"",IFERROR(INDEX(設定!$F$6:$F$18,MATCH($G1524,設定!$B$6:$B$18,0)),0))</f>
        <v/>
      </c>
      <c r="M1524" s="82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1">
        <f>IF(OR($C1524="",$H1524="",$J1524=""),0,IF(ROUND(($J1524-$H1524)*1440,0)&gt;設定!$C$42,ROUND(($J1524-$H1524)*1440,0),0))</f>
        <v/>
      </c>
      <c r="P1524" s="81">
        <f>IF(OR($C1524="",$I1524="",$K1524=""),0,IF(ROUND(($I1524-$K1524)*1440,0)&gt;設定!$C$42,ROUND(($I1524-$K1524)*1440,0),0))</f>
        <v/>
      </c>
      <c r="Q1524" s="82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79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0">
        <f>IF($G1525="","",IFERROR(INDEX(設定!$D$6:$D$18,MATCH($G1525,設定!$B$6:$B$18,0)),""))</f>
        <v/>
      </c>
      <c r="I1525" s="80">
        <f>IF($G1525="","",IFERROR(INDEX(設定!$E$6:$E$18,MATCH($G1525,設定!$B$6:$B$18,0)),""))</f>
        <v/>
      </c>
      <c r="J1525" s="80">
        <f>IFERROR(INDEX(打卡匯入!$C$3:$C$2002,MATCH($C1525&amp;"|"&amp;DAY($A1525),打卡匯入!$E$3:$E$2002,0)),"")</f>
        <v/>
      </c>
      <c r="K1525" s="80">
        <f>IFERROR(INDEX(打卡匯入!$D$3:$D$2002,MATCH($C1525&amp;"|"&amp;DAY($A1525),打卡匯入!$E$3:$E$2002,0)),"")</f>
        <v/>
      </c>
      <c r="L1525" s="81">
        <f>IF(OR($J1525="",$K1525=""),"",IFERROR(INDEX(設定!$F$6:$F$18,MATCH($G1525,設定!$B$6:$B$18,0)),0))</f>
        <v/>
      </c>
      <c r="M1525" s="82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1">
        <f>IF(OR($C1525="",$H1525="",$J1525=""),0,IF(ROUND(($J1525-$H1525)*1440,0)&gt;設定!$C$42,ROUND(($J1525-$H1525)*1440,0),0))</f>
        <v/>
      </c>
      <c r="P1525" s="81">
        <f>IF(OR($C1525="",$I1525="",$K1525=""),0,IF(ROUND(($I1525-$K1525)*1440,0)&gt;設定!$C$42,ROUND(($I1525-$K1525)*1440,0),0))</f>
        <v/>
      </c>
      <c r="Q1525" s="82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79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0">
        <f>IF($G1526="","",IFERROR(INDEX(設定!$D$6:$D$18,MATCH($G1526,設定!$B$6:$B$18,0)),""))</f>
        <v/>
      </c>
      <c r="I1526" s="80">
        <f>IF($G1526="","",IFERROR(INDEX(設定!$E$6:$E$18,MATCH($G1526,設定!$B$6:$B$18,0)),""))</f>
        <v/>
      </c>
      <c r="J1526" s="80">
        <f>IFERROR(INDEX(打卡匯入!$C$3:$C$2002,MATCH($C1526&amp;"|"&amp;DAY($A1526),打卡匯入!$E$3:$E$2002,0)),"")</f>
        <v/>
      </c>
      <c r="K1526" s="80">
        <f>IFERROR(INDEX(打卡匯入!$D$3:$D$2002,MATCH($C1526&amp;"|"&amp;DAY($A1526),打卡匯入!$E$3:$E$2002,0)),"")</f>
        <v/>
      </c>
      <c r="L1526" s="81">
        <f>IF(OR($J1526="",$K1526=""),"",IFERROR(INDEX(設定!$F$6:$F$18,MATCH($G1526,設定!$B$6:$B$18,0)),0))</f>
        <v/>
      </c>
      <c r="M1526" s="82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1">
        <f>IF(OR($C1526="",$H1526="",$J1526=""),0,IF(ROUND(($J1526-$H1526)*1440,0)&gt;設定!$C$42,ROUND(($J1526-$H1526)*1440,0),0))</f>
        <v/>
      </c>
      <c r="P1526" s="81">
        <f>IF(OR($C1526="",$I1526="",$K1526=""),0,IF(ROUND(($I1526-$K1526)*1440,0)&gt;設定!$C$42,ROUND(($I1526-$K1526)*1440,0),0))</f>
        <v/>
      </c>
      <c r="Q1526" s="82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79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0">
        <f>IF($G1527="","",IFERROR(INDEX(設定!$D$6:$D$18,MATCH($G1527,設定!$B$6:$B$18,0)),""))</f>
        <v/>
      </c>
      <c r="I1527" s="80">
        <f>IF($G1527="","",IFERROR(INDEX(設定!$E$6:$E$18,MATCH($G1527,設定!$B$6:$B$18,0)),""))</f>
        <v/>
      </c>
      <c r="J1527" s="80">
        <f>IFERROR(INDEX(打卡匯入!$C$3:$C$2002,MATCH($C1527&amp;"|"&amp;DAY($A1527),打卡匯入!$E$3:$E$2002,0)),"")</f>
        <v/>
      </c>
      <c r="K1527" s="80">
        <f>IFERROR(INDEX(打卡匯入!$D$3:$D$2002,MATCH($C1527&amp;"|"&amp;DAY($A1527),打卡匯入!$E$3:$E$2002,0)),"")</f>
        <v/>
      </c>
      <c r="L1527" s="81">
        <f>IF(OR($J1527="",$K1527=""),"",IFERROR(INDEX(設定!$F$6:$F$18,MATCH($G1527,設定!$B$6:$B$18,0)),0))</f>
        <v/>
      </c>
      <c r="M1527" s="82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1">
        <f>IF(OR($C1527="",$H1527="",$J1527=""),0,IF(ROUND(($J1527-$H1527)*1440,0)&gt;設定!$C$42,ROUND(($J1527-$H1527)*1440,0),0))</f>
        <v/>
      </c>
      <c r="P1527" s="81">
        <f>IF(OR($C1527="",$I1527="",$K1527=""),0,IF(ROUND(($I1527-$K1527)*1440,0)&gt;設定!$C$42,ROUND(($I1527-$K1527)*1440,0),0))</f>
        <v/>
      </c>
      <c r="Q1527" s="82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79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0">
        <f>IF($G1528="","",IFERROR(INDEX(設定!$D$6:$D$18,MATCH($G1528,設定!$B$6:$B$18,0)),""))</f>
        <v/>
      </c>
      <c r="I1528" s="80">
        <f>IF($G1528="","",IFERROR(INDEX(設定!$E$6:$E$18,MATCH($G1528,設定!$B$6:$B$18,0)),""))</f>
        <v/>
      </c>
      <c r="J1528" s="80">
        <f>IFERROR(INDEX(打卡匯入!$C$3:$C$2002,MATCH($C1528&amp;"|"&amp;DAY($A1528),打卡匯入!$E$3:$E$2002,0)),"")</f>
        <v/>
      </c>
      <c r="K1528" s="80">
        <f>IFERROR(INDEX(打卡匯入!$D$3:$D$2002,MATCH($C1528&amp;"|"&amp;DAY($A1528),打卡匯入!$E$3:$E$2002,0)),"")</f>
        <v/>
      </c>
      <c r="L1528" s="81">
        <f>IF(OR($J1528="",$K1528=""),"",IFERROR(INDEX(設定!$F$6:$F$18,MATCH($G1528,設定!$B$6:$B$18,0)),0))</f>
        <v/>
      </c>
      <c r="M1528" s="82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1">
        <f>IF(OR($C1528="",$H1528="",$J1528=""),0,IF(ROUND(($J1528-$H1528)*1440,0)&gt;設定!$C$42,ROUND(($J1528-$H1528)*1440,0),0))</f>
        <v/>
      </c>
      <c r="P1528" s="81">
        <f>IF(OR($C1528="",$I1528="",$K1528=""),0,IF(ROUND(($I1528-$K1528)*1440,0)&gt;設定!$C$42,ROUND(($I1528-$K1528)*1440,0),0))</f>
        <v/>
      </c>
      <c r="Q1528" s="82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79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0">
        <f>IF($G1529="","",IFERROR(INDEX(設定!$D$6:$D$18,MATCH($G1529,設定!$B$6:$B$18,0)),""))</f>
        <v/>
      </c>
      <c r="I1529" s="80">
        <f>IF($G1529="","",IFERROR(INDEX(設定!$E$6:$E$18,MATCH($G1529,設定!$B$6:$B$18,0)),""))</f>
        <v/>
      </c>
      <c r="J1529" s="80">
        <f>IFERROR(INDEX(打卡匯入!$C$3:$C$2002,MATCH($C1529&amp;"|"&amp;DAY($A1529),打卡匯入!$E$3:$E$2002,0)),"")</f>
        <v/>
      </c>
      <c r="K1529" s="80">
        <f>IFERROR(INDEX(打卡匯入!$D$3:$D$2002,MATCH($C1529&amp;"|"&amp;DAY($A1529),打卡匯入!$E$3:$E$2002,0)),"")</f>
        <v/>
      </c>
      <c r="L1529" s="81">
        <f>IF(OR($J1529="",$K1529=""),"",IFERROR(INDEX(設定!$F$6:$F$18,MATCH($G1529,設定!$B$6:$B$18,0)),0))</f>
        <v/>
      </c>
      <c r="M1529" s="82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1">
        <f>IF(OR($C1529="",$H1529="",$J1529=""),0,IF(ROUND(($J1529-$H1529)*1440,0)&gt;設定!$C$42,ROUND(($J1529-$H1529)*1440,0),0))</f>
        <v/>
      </c>
      <c r="P1529" s="81">
        <f>IF(OR($C1529="",$I1529="",$K1529=""),0,IF(ROUND(($I1529-$K1529)*1440,0)&gt;設定!$C$42,ROUND(($I1529-$K1529)*1440,0),0))</f>
        <v/>
      </c>
      <c r="Q1529" s="82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79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0">
        <f>IF($G1530="","",IFERROR(INDEX(設定!$D$6:$D$18,MATCH($G1530,設定!$B$6:$B$18,0)),""))</f>
        <v/>
      </c>
      <c r="I1530" s="80">
        <f>IF($G1530="","",IFERROR(INDEX(設定!$E$6:$E$18,MATCH($G1530,設定!$B$6:$B$18,0)),""))</f>
        <v/>
      </c>
      <c r="J1530" s="80">
        <f>IFERROR(INDEX(打卡匯入!$C$3:$C$2002,MATCH($C1530&amp;"|"&amp;DAY($A1530),打卡匯入!$E$3:$E$2002,0)),"")</f>
        <v/>
      </c>
      <c r="K1530" s="80">
        <f>IFERROR(INDEX(打卡匯入!$D$3:$D$2002,MATCH($C1530&amp;"|"&amp;DAY($A1530),打卡匯入!$E$3:$E$2002,0)),"")</f>
        <v/>
      </c>
      <c r="L1530" s="81">
        <f>IF(OR($J1530="",$K1530=""),"",IFERROR(INDEX(設定!$F$6:$F$18,MATCH($G1530,設定!$B$6:$B$18,0)),0))</f>
        <v/>
      </c>
      <c r="M1530" s="82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1">
        <f>IF(OR($C1530="",$H1530="",$J1530=""),0,IF(ROUND(($J1530-$H1530)*1440,0)&gt;設定!$C$42,ROUND(($J1530-$H1530)*1440,0),0))</f>
        <v/>
      </c>
      <c r="P1530" s="81">
        <f>IF(OR($C1530="",$I1530="",$K1530=""),0,IF(ROUND(($I1530-$K1530)*1440,0)&gt;設定!$C$42,ROUND(($I1530-$K1530)*1440,0),0))</f>
        <v/>
      </c>
      <c r="Q1530" s="82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79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0">
        <f>IF($G1531="","",IFERROR(INDEX(設定!$D$6:$D$18,MATCH($G1531,設定!$B$6:$B$18,0)),""))</f>
        <v/>
      </c>
      <c r="I1531" s="80">
        <f>IF($G1531="","",IFERROR(INDEX(設定!$E$6:$E$18,MATCH($G1531,設定!$B$6:$B$18,0)),""))</f>
        <v/>
      </c>
      <c r="J1531" s="80">
        <f>IFERROR(INDEX(打卡匯入!$C$3:$C$2002,MATCH($C1531&amp;"|"&amp;DAY($A1531),打卡匯入!$E$3:$E$2002,0)),"")</f>
        <v/>
      </c>
      <c r="K1531" s="80">
        <f>IFERROR(INDEX(打卡匯入!$D$3:$D$2002,MATCH($C1531&amp;"|"&amp;DAY($A1531),打卡匯入!$E$3:$E$2002,0)),"")</f>
        <v/>
      </c>
      <c r="L1531" s="81">
        <f>IF(OR($J1531="",$K1531=""),"",IFERROR(INDEX(設定!$F$6:$F$18,MATCH($G1531,設定!$B$6:$B$18,0)),0))</f>
        <v/>
      </c>
      <c r="M1531" s="82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1">
        <f>IF(OR($C1531="",$H1531="",$J1531=""),0,IF(ROUND(($J1531-$H1531)*1440,0)&gt;設定!$C$42,ROUND(($J1531-$H1531)*1440,0),0))</f>
        <v/>
      </c>
      <c r="P1531" s="81">
        <f>IF(OR($C1531="",$I1531="",$K1531=""),0,IF(ROUND(($I1531-$K1531)*1440,0)&gt;設定!$C$42,ROUND(($I1531-$K1531)*1440,0),0))</f>
        <v/>
      </c>
      <c r="Q1531" s="82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79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0">
        <f>IF($G1532="","",IFERROR(INDEX(設定!$D$6:$D$18,MATCH($G1532,設定!$B$6:$B$18,0)),""))</f>
        <v/>
      </c>
      <c r="I1532" s="80">
        <f>IF($G1532="","",IFERROR(INDEX(設定!$E$6:$E$18,MATCH($G1532,設定!$B$6:$B$18,0)),""))</f>
        <v/>
      </c>
      <c r="J1532" s="80">
        <f>IFERROR(INDEX(打卡匯入!$C$3:$C$2002,MATCH($C1532&amp;"|"&amp;DAY($A1532),打卡匯入!$E$3:$E$2002,0)),"")</f>
        <v/>
      </c>
      <c r="K1532" s="80">
        <f>IFERROR(INDEX(打卡匯入!$D$3:$D$2002,MATCH($C1532&amp;"|"&amp;DAY($A1532),打卡匯入!$E$3:$E$2002,0)),"")</f>
        <v/>
      </c>
      <c r="L1532" s="81">
        <f>IF(OR($J1532="",$K1532=""),"",IFERROR(INDEX(設定!$F$6:$F$18,MATCH($G1532,設定!$B$6:$B$18,0)),0))</f>
        <v/>
      </c>
      <c r="M1532" s="82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1">
        <f>IF(OR($C1532="",$H1532="",$J1532=""),0,IF(ROUND(($J1532-$H1532)*1440,0)&gt;設定!$C$42,ROUND(($J1532-$H1532)*1440,0),0))</f>
        <v/>
      </c>
      <c r="P1532" s="81">
        <f>IF(OR($C1532="",$I1532="",$K1532=""),0,IF(ROUND(($I1532-$K1532)*1440,0)&gt;設定!$C$42,ROUND(($I1532-$K1532)*1440,0),0))</f>
        <v/>
      </c>
      <c r="Q1532" s="82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79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0">
        <f>IF($G1533="","",IFERROR(INDEX(設定!$D$6:$D$18,MATCH($G1533,設定!$B$6:$B$18,0)),""))</f>
        <v/>
      </c>
      <c r="I1533" s="80">
        <f>IF($G1533="","",IFERROR(INDEX(設定!$E$6:$E$18,MATCH($G1533,設定!$B$6:$B$18,0)),""))</f>
        <v/>
      </c>
      <c r="J1533" s="80">
        <f>IFERROR(INDEX(打卡匯入!$C$3:$C$2002,MATCH($C1533&amp;"|"&amp;DAY($A1533),打卡匯入!$E$3:$E$2002,0)),"")</f>
        <v/>
      </c>
      <c r="K1533" s="80">
        <f>IFERROR(INDEX(打卡匯入!$D$3:$D$2002,MATCH($C1533&amp;"|"&amp;DAY($A1533),打卡匯入!$E$3:$E$2002,0)),"")</f>
        <v/>
      </c>
      <c r="L1533" s="81">
        <f>IF(OR($J1533="",$K1533=""),"",IFERROR(INDEX(設定!$F$6:$F$18,MATCH($G1533,設定!$B$6:$B$18,0)),0))</f>
        <v/>
      </c>
      <c r="M1533" s="82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1">
        <f>IF(OR($C1533="",$H1533="",$J1533=""),0,IF(ROUND(($J1533-$H1533)*1440,0)&gt;設定!$C$42,ROUND(($J1533-$H1533)*1440,0),0))</f>
        <v/>
      </c>
      <c r="P1533" s="81">
        <f>IF(OR($C1533="",$I1533="",$K1533=""),0,IF(ROUND(($I1533-$K1533)*1440,0)&gt;設定!$C$42,ROUND(($I1533-$K1533)*1440,0),0))</f>
        <v/>
      </c>
      <c r="Q1533" s="82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79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0">
        <f>IF($G1534="","",IFERROR(INDEX(設定!$D$6:$D$18,MATCH($G1534,設定!$B$6:$B$18,0)),""))</f>
        <v/>
      </c>
      <c r="I1534" s="80">
        <f>IF($G1534="","",IFERROR(INDEX(設定!$E$6:$E$18,MATCH($G1534,設定!$B$6:$B$18,0)),""))</f>
        <v/>
      </c>
      <c r="J1534" s="80">
        <f>IFERROR(INDEX(打卡匯入!$C$3:$C$2002,MATCH($C1534&amp;"|"&amp;DAY($A1534),打卡匯入!$E$3:$E$2002,0)),"")</f>
        <v/>
      </c>
      <c r="K1534" s="80">
        <f>IFERROR(INDEX(打卡匯入!$D$3:$D$2002,MATCH($C1534&amp;"|"&amp;DAY($A1534),打卡匯入!$E$3:$E$2002,0)),"")</f>
        <v/>
      </c>
      <c r="L1534" s="81">
        <f>IF(OR($J1534="",$K1534=""),"",IFERROR(INDEX(設定!$F$6:$F$18,MATCH($G1534,設定!$B$6:$B$18,0)),0))</f>
        <v/>
      </c>
      <c r="M1534" s="82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1">
        <f>IF(OR($C1534="",$H1534="",$J1534=""),0,IF(ROUND(($J1534-$H1534)*1440,0)&gt;設定!$C$42,ROUND(($J1534-$H1534)*1440,0),0))</f>
        <v/>
      </c>
      <c r="P1534" s="81">
        <f>IF(OR($C1534="",$I1534="",$K1534=""),0,IF(ROUND(($I1534-$K1534)*1440,0)&gt;設定!$C$42,ROUND(($I1534-$K1534)*1440,0),0))</f>
        <v/>
      </c>
      <c r="Q1534" s="82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79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0">
        <f>IF($G1535="","",IFERROR(INDEX(設定!$D$6:$D$18,MATCH($G1535,設定!$B$6:$B$18,0)),""))</f>
        <v/>
      </c>
      <c r="I1535" s="80">
        <f>IF($G1535="","",IFERROR(INDEX(設定!$E$6:$E$18,MATCH($G1535,設定!$B$6:$B$18,0)),""))</f>
        <v/>
      </c>
      <c r="J1535" s="80">
        <f>IFERROR(INDEX(打卡匯入!$C$3:$C$2002,MATCH($C1535&amp;"|"&amp;DAY($A1535),打卡匯入!$E$3:$E$2002,0)),"")</f>
        <v/>
      </c>
      <c r="K1535" s="80">
        <f>IFERROR(INDEX(打卡匯入!$D$3:$D$2002,MATCH($C1535&amp;"|"&amp;DAY($A1535),打卡匯入!$E$3:$E$2002,0)),"")</f>
        <v/>
      </c>
      <c r="L1535" s="81">
        <f>IF(OR($J1535="",$K1535=""),"",IFERROR(INDEX(設定!$F$6:$F$18,MATCH($G1535,設定!$B$6:$B$18,0)),0))</f>
        <v/>
      </c>
      <c r="M1535" s="82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1">
        <f>IF(OR($C1535="",$H1535="",$J1535=""),0,IF(ROUND(($J1535-$H1535)*1440,0)&gt;設定!$C$42,ROUND(($J1535-$H1535)*1440,0),0))</f>
        <v/>
      </c>
      <c r="P1535" s="81">
        <f>IF(OR($C1535="",$I1535="",$K1535=""),0,IF(ROUND(($I1535-$K1535)*1440,0)&gt;設定!$C$42,ROUND(($I1535-$K1535)*1440,0),0))</f>
        <v/>
      </c>
      <c r="Q1535" s="82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79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0">
        <f>IF($G1536="","",IFERROR(INDEX(設定!$D$6:$D$18,MATCH($G1536,設定!$B$6:$B$18,0)),""))</f>
        <v/>
      </c>
      <c r="I1536" s="80">
        <f>IF($G1536="","",IFERROR(INDEX(設定!$E$6:$E$18,MATCH($G1536,設定!$B$6:$B$18,0)),""))</f>
        <v/>
      </c>
      <c r="J1536" s="80">
        <f>IFERROR(INDEX(打卡匯入!$C$3:$C$2002,MATCH($C1536&amp;"|"&amp;DAY($A1536),打卡匯入!$E$3:$E$2002,0)),"")</f>
        <v/>
      </c>
      <c r="K1536" s="80">
        <f>IFERROR(INDEX(打卡匯入!$D$3:$D$2002,MATCH($C1536&amp;"|"&amp;DAY($A1536),打卡匯入!$E$3:$E$2002,0)),"")</f>
        <v/>
      </c>
      <c r="L1536" s="81">
        <f>IF(OR($J1536="",$K1536=""),"",IFERROR(INDEX(設定!$F$6:$F$18,MATCH($G1536,設定!$B$6:$B$18,0)),0))</f>
        <v/>
      </c>
      <c r="M1536" s="82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1">
        <f>IF(OR($C1536="",$H1536="",$J1536=""),0,IF(ROUND(($J1536-$H1536)*1440,0)&gt;設定!$C$42,ROUND(($J1536-$H1536)*1440,0),0))</f>
        <v/>
      </c>
      <c r="P1536" s="81">
        <f>IF(OR($C1536="",$I1536="",$K1536=""),0,IF(ROUND(($I1536-$K1536)*1440,0)&gt;設定!$C$42,ROUND(($I1536-$K1536)*1440,0),0))</f>
        <v/>
      </c>
      <c r="Q1536" s="82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79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0">
        <f>IF($G1537="","",IFERROR(INDEX(設定!$D$6:$D$18,MATCH($G1537,設定!$B$6:$B$18,0)),""))</f>
        <v/>
      </c>
      <c r="I1537" s="80">
        <f>IF($G1537="","",IFERROR(INDEX(設定!$E$6:$E$18,MATCH($G1537,設定!$B$6:$B$18,0)),""))</f>
        <v/>
      </c>
      <c r="J1537" s="80">
        <f>IFERROR(INDEX(打卡匯入!$C$3:$C$2002,MATCH($C1537&amp;"|"&amp;DAY($A1537),打卡匯入!$E$3:$E$2002,0)),"")</f>
        <v/>
      </c>
      <c r="K1537" s="80">
        <f>IFERROR(INDEX(打卡匯入!$D$3:$D$2002,MATCH($C1537&amp;"|"&amp;DAY($A1537),打卡匯入!$E$3:$E$2002,0)),"")</f>
        <v/>
      </c>
      <c r="L1537" s="81">
        <f>IF(OR($J1537="",$K1537=""),"",IFERROR(INDEX(設定!$F$6:$F$18,MATCH($G1537,設定!$B$6:$B$18,0)),0))</f>
        <v/>
      </c>
      <c r="M1537" s="82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1">
        <f>IF(OR($C1537="",$H1537="",$J1537=""),0,IF(ROUND(($J1537-$H1537)*1440,0)&gt;設定!$C$42,ROUND(($J1537-$H1537)*1440,0),0))</f>
        <v/>
      </c>
      <c r="P1537" s="81">
        <f>IF(OR($C1537="",$I1537="",$K1537=""),0,IF(ROUND(($I1537-$K1537)*1440,0)&gt;設定!$C$42,ROUND(($I1537-$K1537)*1440,0),0))</f>
        <v/>
      </c>
      <c r="Q1537" s="82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79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0">
        <f>IF($G1538="","",IFERROR(INDEX(設定!$D$6:$D$18,MATCH($G1538,設定!$B$6:$B$18,0)),""))</f>
        <v/>
      </c>
      <c r="I1538" s="80">
        <f>IF($G1538="","",IFERROR(INDEX(設定!$E$6:$E$18,MATCH($G1538,設定!$B$6:$B$18,0)),""))</f>
        <v/>
      </c>
      <c r="J1538" s="80">
        <f>IFERROR(INDEX(打卡匯入!$C$3:$C$2002,MATCH($C1538&amp;"|"&amp;DAY($A1538),打卡匯入!$E$3:$E$2002,0)),"")</f>
        <v/>
      </c>
      <c r="K1538" s="80">
        <f>IFERROR(INDEX(打卡匯入!$D$3:$D$2002,MATCH($C1538&amp;"|"&amp;DAY($A1538),打卡匯入!$E$3:$E$2002,0)),"")</f>
        <v/>
      </c>
      <c r="L1538" s="81">
        <f>IF(OR($J1538="",$K1538=""),"",IFERROR(INDEX(設定!$F$6:$F$18,MATCH($G1538,設定!$B$6:$B$18,0)),0))</f>
        <v/>
      </c>
      <c r="M1538" s="82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1">
        <f>IF(OR($C1538="",$H1538="",$J1538=""),0,IF(ROUND(($J1538-$H1538)*1440,0)&gt;設定!$C$42,ROUND(($J1538-$H1538)*1440,0),0))</f>
        <v/>
      </c>
      <c r="P1538" s="81">
        <f>IF(OR($C1538="",$I1538="",$K1538=""),0,IF(ROUND(($I1538-$K1538)*1440,0)&gt;設定!$C$42,ROUND(($I1538-$K1538)*1440,0),0))</f>
        <v/>
      </c>
      <c r="Q1538" s="82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79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0">
        <f>IF($G1539="","",IFERROR(INDEX(設定!$D$6:$D$18,MATCH($G1539,設定!$B$6:$B$18,0)),""))</f>
        <v/>
      </c>
      <c r="I1539" s="80">
        <f>IF($G1539="","",IFERROR(INDEX(設定!$E$6:$E$18,MATCH($G1539,設定!$B$6:$B$18,0)),""))</f>
        <v/>
      </c>
      <c r="J1539" s="80">
        <f>IFERROR(INDEX(打卡匯入!$C$3:$C$2002,MATCH($C1539&amp;"|"&amp;DAY($A1539),打卡匯入!$E$3:$E$2002,0)),"")</f>
        <v/>
      </c>
      <c r="K1539" s="80">
        <f>IFERROR(INDEX(打卡匯入!$D$3:$D$2002,MATCH($C1539&amp;"|"&amp;DAY($A1539),打卡匯入!$E$3:$E$2002,0)),"")</f>
        <v/>
      </c>
      <c r="L1539" s="81">
        <f>IF(OR($J1539="",$K1539=""),"",IFERROR(INDEX(設定!$F$6:$F$18,MATCH($G1539,設定!$B$6:$B$18,0)),0))</f>
        <v/>
      </c>
      <c r="M1539" s="82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1">
        <f>IF(OR($C1539="",$H1539="",$J1539=""),0,IF(ROUND(($J1539-$H1539)*1440,0)&gt;設定!$C$42,ROUND(($J1539-$H1539)*1440,0),0))</f>
        <v/>
      </c>
      <c r="P1539" s="81">
        <f>IF(OR($C1539="",$I1539="",$K1539=""),0,IF(ROUND(($I1539-$K1539)*1440,0)&gt;設定!$C$42,ROUND(($I1539-$K1539)*1440,0),0))</f>
        <v/>
      </c>
      <c r="Q1539" s="82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79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0">
        <f>IF($G1540="","",IFERROR(INDEX(設定!$D$6:$D$18,MATCH($G1540,設定!$B$6:$B$18,0)),""))</f>
        <v/>
      </c>
      <c r="I1540" s="80">
        <f>IF($G1540="","",IFERROR(INDEX(設定!$E$6:$E$18,MATCH($G1540,設定!$B$6:$B$18,0)),""))</f>
        <v/>
      </c>
      <c r="J1540" s="80">
        <f>IFERROR(INDEX(打卡匯入!$C$3:$C$2002,MATCH($C1540&amp;"|"&amp;DAY($A1540),打卡匯入!$E$3:$E$2002,0)),"")</f>
        <v/>
      </c>
      <c r="K1540" s="80">
        <f>IFERROR(INDEX(打卡匯入!$D$3:$D$2002,MATCH($C1540&amp;"|"&amp;DAY($A1540),打卡匯入!$E$3:$E$2002,0)),"")</f>
        <v/>
      </c>
      <c r="L1540" s="81">
        <f>IF(OR($J1540="",$K1540=""),"",IFERROR(INDEX(設定!$F$6:$F$18,MATCH($G1540,設定!$B$6:$B$18,0)),0))</f>
        <v/>
      </c>
      <c r="M1540" s="82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1">
        <f>IF(OR($C1540="",$H1540="",$J1540=""),0,IF(ROUND(($J1540-$H1540)*1440,0)&gt;設定!$C$42,ROUND(($J1540-$H1540)*1440,0),0))</f>
        <v/>
      </c>
      <c r="P1540" s="81">
        <f>IF(OR($C1540="",$I1540="",$K1540=""),0,IF(ROUND(($I1540-$K1540)*1440,0)&gt;設定!$C$42,ROUND(($I1540-$K1540)*1440,0),0))</f>
        <v/>
      </c>
      <c r="Q1540" s="82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79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0">
        <f>IF($G1541="","",IFERROR(INDEX(設定!$D$6:$D$18,MATCH($G1541,設定!$B$6:$B$18,0)),""))</f>
        <v/>
      </c>
      <c r="I1541" s="80">
        <f>IF($G1541="","",IFERROR(INDEX(設定!$E$6:$E$18,MATCH($G1541,設定!$B$6:$B$18,0)),""))</f>
        <v/>
      </c>
      <c r="J1541" s="80">
        <f>IFERROR(INDEX(打卡匯入!$C$3:$C$2002,MATCH($C1541&amp;"|"&amp;DAY($A1541),打卡匯入!$E$3:$E$2002,0)),"")</f>
        <v/>
      </c>
      <c r="K1541" s="80">
        <f>IFERROR(INDEX(打卡匯入!$D$3:$D$2002,MATCH($C1541&amp;"|"&amp;DAY($A1541),打卡匯入!$E$3:$E$2002,0)),"")</f>
        <v/>
      </c>
      <c r="L1541" s="81">
        <f>IF(OR($J1541="",$K1541=""),"",IFERROR(INDEX(設定!$F$6:$F$18,MATCH($G1541,設定!$B$6:$B$18,0)),0))</f>
        <v/>
      </c>
      <c r="M1541" s="82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1">
        <f>IF(OR($C1541="",$H1541="",$J1541=""),0,IF(ROUND(($J1541-$H1541)*1440,0)&gt;設定!$C$42,ROUND(($J1541-$H1541)*1440,0),0))</f>
        <v/>
      </c>
      <c r="P1541" s="81">
        <f>IF(OR($C1541="",$I1541="",$K1541=""),0,IF(ROUND(($I1541-$K1541)*1440,0)&gt;設定!$C$42,ROUND(($I1541-$K1541)*1440,0),0))</f>
        <v/>
      </c>
      <c r="Q1541" s="82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79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0">
        <f>IF($G1542="","",IFERROR(INDEX(設定!$D$6:$D$18,MATCH($G1542,設定!$B$6:$B$18,0)),""))</f>
        <v/>
      </c>
      <c r="I1542" s="80">
        <f>IF($G1542="","",IFERROR(INDEX(設定!$E$6:$E$18,MATCH($G1542,設定!$B$6:$B$18,0)),""))</f>
        <v/>
      </c>
      <c r="J1542" s="80">
        <f>IFERROR(INDEX(打卡匯入!$C$3:$C$2002,MATCH($C1542&amp;"|"&amp;DAY($A1542),打卡匯入!$E$3:$E$2002,0)),"")</f>
        <v/>
      </c>
      <c r="K1542" s="80">
        <f>IFERROR(INDEX(打卡匯入!$D$3:$D$2002,MATCH($C1542&amp;"|"&amp;DAY($A1542),打卡匯入!$E$3:$E$2002,0)),"")</f>
        <v/>
      </c>
      <c r="L1542" s="81">
        <f>IF(OR($J1542="",$K1542=""),"",IFERROR(INDEX(設定!$F$6:$F$18,MATCH($G1542,設定!$B$6:$B$18,0)),0))</f>
        <v/>
      </c>
      <c r="M1542" s="82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1">
        <f>IF(OR($C1542="",$H1542="",$J1542=""),0,IF(ROUND(($J1542-$H1542)*1440,0)&gt;設定!$C$42,ROUND(($J1542-$H1542)*1440,0),0))</f>
        <v/>
      </c>
      <c r="P1542" s="81">
        <f>IF(OR($C1542="",$I1542="",$K1542=""),0,IF(ROUND(($I1542-$K1542)*1440,0)&gt;設定!$C$42,ROUND(($I1542-$K1542)*1440,0),0))</f>
        <v/>
      </c>
      <c r="Q1542" s="82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79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0">
        <f>IF($G1543="","",IFERROR(INDEX(設定!$D$6:$D$18,MATCH($G1543,設定!$B$6:$B$18,0)),""))</f>
        <v/>
      </c>
      <c r="I1543" s="80">
        <f>IF($G1543="","",IFERROR(INDEX(設定!$E$6:$E$18,MATCH($G1543,設定!$B$6:$B$18,0)),""))</f>
        <v/>
      </c>
      <c r="J1543" s="80">
        <f>IFERROR(INDEX(打卡匯入!$C$3:$C$2002,MATCH($C1543&amp;"|"&amp;DAY($A1543),打卡匯入!$E$3:$E$2002,0)),"")</f>
        <v/>
      </c>
      <c r="K1543" s="80">
        <f>IFERROR(INDEX(打卡匯入!$D$3:$D$2002,MATCH($C1543&amp;"|"&amp;DAY($A1543),打卡匯入!$E$3:$E$2002,0)),"")</f>
        <v/>
      </c>
      <c r="L1543" s="81">
        <f>IF(OR($J1543="",$K1543=""),"",IFERROR(INDEX(設定!$F$6:$F$18,MATCH($G1543,設定!$B$6:$B$18,0)),0))</f>
        <v/>
      </c>
      <c r="M1543" s="82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1">
        <f>IF(OR($C1543="",$H1543="",$J1543=""),0,IF(ROUND(($J1543-$H1543)*1440,0)&gt;設定!$C$42,ROUND(($J1543-$H1543)*1440,0),0))</f>
        <v/>
      </c>
      <c r="P1543" s="81">
        <f>IF(OR($C1543="",$I1543="",$K1543=""),0,IF(ROUND(($I1543-$K1543)*1440,0)&gt;設定!$C$42,ROUND(($I1543-$K1543)*1440,0),0))</f>
        <v/>
      </c>
      <c r="Q1543" s="82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79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0">
        <f>IF($G1544="","",IFERROR(INDEX(設定!$D$6:$D$18,MATCH($G1544,設定!$B$6:$B$18,0)),""))</f>
        <v/>
      </c>
      <c r="I1544" s="80">
        <f>IF($G1544="","",IFERROR(INDEX(設定!$E$6:$E$18,MATCH($G1544,設定!$B$6:$B$18,0)),""))</f>
        <v/>
      </c>
      <c r="J1544" s="80">
        <f>IFERROR(INDEX(打卡匯入!$C$3:$C$2002,MATCH($C1544&amp;"|"&amp;DAY($A1544),打卡匯入!$E$3:$E$2002,0)),"")</f>
        <v/>
      </c>
      <c r="K1544" s="80">
        <f>IFERROR(INDEX(打卡匯入!$D$3:$D$2002,MATCH($C1544&amp;"|"&amp;DAY($A1544),打卡匯入!$E$3:$E$2002,0)),"")</f>
        <v/>
      </c>
      <c r="L1544" s="81">
        <f>IF(OR($J1544="",$K1544=""),"",IFERROR(INDEX(設定!$F$6:$F$18,MATCH($G1544,設定!$B$6:$B$18,0)),0))</f>
        <v/>
      </c>
      <c r="M1544" s="82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1">
        <f>IF(OR($C1544="",$H1544="",$J1544=""),0,IF(ROUND(($J1544-$H1544)*1440,0)&gt;設定!$C$42,ROUND(($J1544-$H1544)*1440,0),0))</f>
        <v/>
      </c>
      <c r="P1544" s="81">
        <f>IF(OR($C1544="",$I1544="",$K1544=""),0,IF(ROUND(($I1544-$K1544)*1440,0)&gt;設定!$C$42,ROUND(($I1544-$K1544)*1440,0),0))</f>
        <v/>
      </c>
      <c r="Q1544" s="82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79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0">
        <f>IF($G1545="","",IFERROR(INDEX(設定!$D$6:$D$18,MATCH($G1545,設定!$B$6:$B$18,0)),""))</f>
        <v/>
      </c>
      <c r="I1545" s="80">
        <f>IF($G1545="","",IFERROR(INDEX(設定!$E$6:$E$18,MATCH($G1545,設定!$B$6:$B$18,0)),""))</f>
        <v/>
      </c>
      <c r="J1545" s="80">
        <f>IFERROR(INDEX(打卡匯入!$C$3:$C$2002,MATCH($C1545&amp;"|"&amp;DAY($A1545),打卡匯入!$E$3:$E$2002,0)),"")</f>
        <v/>
      </c>
      <c r="K1545" s="80">
        <f>IFERROR(INDEX(打卡匯入!$D$3:$D$2002,MATCH($C1545&amp;"|"&amp;DAY($A1545),打卡匯入!$E$3:$E$2002,0)),"")</f>
        <v/>
      </c>
      <c r="L1545" s="81">
        <f>IF(OR($J1545="",$K1545=""),"",IFERROR(INDEX(設定!$F$6:$F$18,MATCH($G1545,設定!$B$6:$B$18,0)),0))</f>
        <v/>
      </c>
      <c r="M1545" s="82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1">
        <f>IF(OR($C1545="",$H1545="",$J1545=""),0,IF(ROUND(($J1545-$H1545)*1440,0)&gt;設定!$C$42,ROUND(($J1545-$H1545)*1440,0),0))</f>
        <v/>
      </c>
      <c r="P1545" s="81">
        <f>IF(OR($C1545="",$I1545="",$K1545=""),0,IF(ROUND(($I1545-$K1545)*1440,0)&gt;設定!$C$42,ROUND(($I1545-$K1545)*1440,0),0))</f>
        <v/>
      </c>
      <c r="Q1545" s="82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79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0">
        <f>IF($G1546="","",IFERROR(INDEX(設定!$D$6:$D$18,MATCH($G1546,設定!$B$6:$B$18,0)),""))</f>
        <v/>
      </c>
      <c r="I1546" s="80">
        <f>IF($G1546="","",IFERROR(INDEX(設定!$E$6:$E$18,MATCH($G1546,設定!$B$6:$B$18,0)),""))</f>
        <v/>
      </c>
      <c r="J1546" s="80">
        <f>IFERROR(INDEX(打卡匯入!$C$3:$C$2002,MATCH($C1546&amp;"|"&amp;DAY($A1546),打卡匯入!$E$3:$E$2002,0)),"")</f>
        <v/>
      </c>
      <c r="K1546" s="80">
        <f>IFERROR(INDEX(打卡匯入!$D$3:$D$2002,MATCH($C1546&amp;"|"&amp;DAY($A1546),打卡匯入!$E$3:$E$2002,0)),"")</f>
        <v/>
      </c>
      <c r="L1546" s="81">
        <f>IF(OR($J1546="",$K1546=""),"",IFERROR(INDEX(設定!$F$6:$F$18,MATCH($G1546,設定!$B$6:$B$18,0)),0))</f>
        <v/>
      </c>
      <c r="M1546" s="82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1">
        <f>IF(OR($C1546="",$H1546="",$J1546=""),0,IF(ROUND(($J1546-$H1546)*1440,0)&gt;設定!$C$42,ROUND(($J1546-$H1546)*1440,0),0))</f>
        <v/>
      </c>
      <c r="P1546" s="81">
        <f>IF(OR($C1546="",$I1546="",$K1546=""),0,IF(ROUND(($I1546-$K1546)*1440,0)&gt;設定!$C$42,ROUND(($I1546-$K1546)*1440,0),0))</f>
        <v/>
      </c>
      <c r="Q1546" s="82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79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0">
        <f>IF($G1547="","",IFERROR(INDEX(設定!$D$6:$D$18,MATCH($G1547,設定!$B$6:$B$18,0)),""))</f>
        <v/>
      </c>
      <c r="I1547" s="80">
        <f>IF($G1547="","",IFERROR(INDEX(設定!$E$6:$E$18,MATCH($G1547,設定!$B$6:$B$18,0)),""))</f>
        <v/>
      </c>
      <c r="J1547" s="80">
        <f>IFERROR(INDEX(打卡匯入!$C$3:$C$2002,MATCH($C1547&amp;"|"&amp;DAY($A1547),打卡匯入!$E$3:$E$2002,0)),"")</f>
        <v/>
      </c>
      <c r="K1547" s="80">
        <f>IFERROR(INDEX(打卡匯入!$D$3:$D$2002,MATCH($C1547&amp;"|"&amp;DAY($A1547),打卡匯入!$E$3:$E$2002,0)),"")</f>
        <v/>
      </c>
      <c r="L1547" s="81">
        <f>IF(OR($J1547="",$K1547=""),"",IFERROR(INDEX(設定!$F$6:$F$18,MATCH($G1547,設定!$B$6:$B$18,0)),0))</f>
        <v/>
      </c>
      <c r="M1547" s="82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1">
        <f>IF(OR($C1547="",$H1547="",$J1547=""),0,IF(ROUND(($J1547-$H1547)*1440,0)&gt;設定!$C$42,ROUND(($J1547-$H1547)*1440,0),0))</f>
        <v/>
      </c>
      <c r="P1547" s="81">
        <f>IF(OR($C1547="",$I1547="",$K1547=""),0,IF(ROUND(($I1547-$K1547)*1440,0)&gt;設定!$C$42,ROUND(($I1547-$K1547)*1440,0),0))</f>
        <v/>
      </c>
      <c r="Q1547" s="82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79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0">
        <f>IF($G1548="","",IFERROR(INDEX(設定!$D$6:$D$18,MATCH($G1548,設定!$B$6:$B$18,0)),""))</f>
        <v/>
      </c>
      <c r="I1548" s="80">
        <f>IF($G1548="","",IFERROR(INDEX(設定!$E$6:$E$18,MATCH($G1548,設定!$B$6:$B$18,0)),""))</f>
        <v/>
      </c>
      <c r="J1548" s="80">
        <f>IFERROR(INDEX(打卡匯入!$C$3:$C$2002,MATCH($C1548&amp;"|"&amp;DAY($A1548),打卡匯入!$E$3:$E$2002,0)),"")</f>
        <v/>
      </c>
      <c r="K1548" s="80">
        <f>IFERROR(INDEX(打卡匯入!$D$3:$D$2002,MATCH($C1548&amp;"|"&amp;DAY($A1548),打卡匯入!$E$3:$E$2002,0)),"")</f>
        <v/>
      </c>
      <c r="L1548" s="81">
        <f>IF(OR($J1548="",$K1548=""),"",IFERROR(INDEX(設定!$F$6:$F$18,MATCH($G1548,設定!$B$6:$B$18,0)),0))</f>
        <v/>
      </c>
      <c r="M1548" s="82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1">
        <f>IF(OR($C1548="",$H1548="",$J1548=""),0,IF(ROUND(($J1548-$H1548)*1440,0)&gt;設定!$C$42,ROUND(($J1548-$H1548)*1440,0),0))</f>
        <v/>
      </c>
      <c r="P1548" s="81">
        <f>IF(OR($C1548="",$I1548="",$K1548=""),0,IF(ROUND(($I1548-$K1548)*1440,0)&gt;設定!$C$42,ROUND(($I1548-$K1548)*1440,0),0))</f>
        <v/>
      </c>
      <c r="Q1548" s="82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79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0">
        <f>IF($G1549="","",IFERROR(INDEX(設定!$D$6:$D$18,MATCH($G1549,設定!$B$6:$B$18,0)),""))</f>
        <v/>
      </c>
      <c r="I1549" s="80">
        <f>IF($G1549="","",IFERROR(INDEX(設定!$E$6:$E$18,MATCH($G1549,設定!$B$6:$B$18,0)),""))</f>
        <v/>
      </c>
      <c r="J1549" s="80">
        <f>IFERROR(INDEX(打卡匯入!$C$3:$C$2002,MATCH($C1549&amp;"|"&amp;DAY($A1549),打卡匯入!$E$3:$E$2002,0)),"")</f>
        <v/>
      </c>
      <c r="K1549" s="80">
        <f>IFERROR(INDEX(打卡匯入!$D$3:$D$2002,MATCH($C1549&amp;"|"&amp;DAY($A1549),打卡匯入!$E$3:$E$2002,0)),"")</f>
        <v/>
      </c>
      <c r="L1549" s="81">
        <f>IF(OR($J1549="",$K1549=""),"",IFERROR(INDEX(設定!$F$6:$F$18,MATCH($G1549,設定!$B$6:$B$18,0)),0))</f>
        <v/>
      </c>
      <c r="M1549" s="82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1">
        <f>IF(OR($C1549="",$H1549="",$J1549=""),0,IF(ROUND(($J1549-$H1549)*1440,0)&gt;設定!$C$42,ROUND(($J1549-$H1549)*1440,0),0))</f>
        <v/>
      </c>
      <c r="P1549" s="81">
        <f>IF(OR($C1549="",$I1549="",$K1549=""),0,IF(ROUND(($I1549-$K1549)*1440,0)&gt;設定!$C$42,ROUND(($I1549-$K1549)*1440,0),0))</f>
        <v/>
      </c>
      <c r="Q1549" s="82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79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0">
        <f>IF($G1550="","",IFERROR(INDEX(設定!$D$6:$D$18,MATCH($G1550,設定!$B$6:$B$18,0)),""))</f>
        <v/>
      </c>
      <c r="I1550" s="80">
        <f>IF($G1550="","",IFERROR(INDEX(設定!$E$6:$E$18,MATCH($G1550,設定!$B$6:$B$18,0)),""))</f>
        <v/>
      </c>
      <c r="J1550" s="80">
        <f>IFERROR(INDEX(打卡匯入!$C$3:$C$2002,MATCH($C1550&amp;"|"&amp;DAY($A1550),打卡匯入!$E$3:$E$2002,0)),"")</f>
        <v/>
      </c>
      <c r="K1550" s="80">
        <f>IFERROR(INDEX(打卡匯入!$D$3:$D$2002,MATCH($C1550&amp;"|"&amp;DAY($A1550),打卡匯入!$E$3:$E$2002,0)),"")</f>
        <v/>
      </c>
      <c r="L1550" s="81">
        <f>IF(OR($J1550="",$K1550=""),"",IFERROR(INDEX(設定!$F$6:$F$18,MATCH($G1550,設定!$B$6:$B$18,0)),0))</f>
        <v/>
      </c>
      <c r="M1550" s="82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1">
        <f>IF(OR($C1550="",$H1550="",$J1550=""),0,IF(ROUND(($J1550-$H1550)*1440,0)&gt;設定!$C$42,ROUND(($J1550-$H1550)*1440,0),0))</f>
        <v/>
      </c>
      <c r="P1550" s="81">
        <f>IF(OR($C1550="",$I1550="",$K1550=""),0,IF(ROUND(($I1550-$K1550)*1440,0)&gt;設定!$C$42,ROUND(($I1550-$K1550)*1440,0),0))</f>
        <v/>
      </c>
      <c r="Q1550" s="82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79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0">
        <f>IF($G1551="","",IFERROR(INDEX(設定!$D$6:$D$18,MATCH($G1551,設定!$B$6:$B$18,0)),""))</f>
        <v/>
      </c>
      <c r="I1551" s="80">
        <f>IF($G1551="","",IFERROR(INDEX(設定!$E$6:$E$18,MATCH($G1551,設定!$B$6:$B$18,0)),""))</f>
        <v/>
      </c>
      <c r="J1551" s="80">
        <f>IFERROR(INDEX(打卡匯入!$C$3:$C$2002,MATCH($C1551&amp;"|"&amp;DAY($A1551),打卡匯入!$E$3:$E$2002,0)),"")</f>
        <v/>
      </c>
      <c r="K1551" s="80">
        <f>IFERROR(INDEX(打卡匯入!$D$3:$D$2002,MATCH($C1551&amp;"|"&amp;DAY($A1551),打卡匯入!$E$3:$E$2002,0)),"")</f>
        <v/>
      </c>
      <c r="L1551" s="81">
        <f>IF(OR($J1551="",$K1551=""),"",IFERROR(INDEX(設定!$F$6:$F$18,MATCH($G1551,設定!$B$6:$B$18,0)),0))</f>
        <v/>
      </c>
      <c r="M1551" s="82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1">
        <f>IF(OR($C1551="",$H1551="",$J1551=""),0,IF(ROUND(($J1551-$H1551)*1440,0)&gt;設定!$C$42,ROUND(($J1551-$H1551)*1440,0),0))</f>
        <v/>
      </c>
      <c r="P1551" s="81">
        <f>IF(OR($C1551="",$I1551="",$K1551=""),0,IF(ROUND(($I1551-$K1551)*1440,0)&gt;設定!$C$42,ROUND(($I1551-$K1551)*1440,0),0))</f>
        <v/>
      </c>
      <c r="Q1551" s="82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79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0">
        <f>IF($G1552="","",IFERROR(INDEX(設定!$D$6:$D$18,MATCH($G1552,設定!$B$6:$B$18,0)),""))</f>
        <v/>
      </c>
      <c r="I1552" s="80">
        <f>IF($G1552="","",IFERROR(INDEX(設定!$E$6:$E$18,MATCH($G1552,設定!$B$6:$B$18,0)),""))</f>
        <v/>
      </c>
      <c r="J1552" s="80">
        <f>IFERROR(INDEX(打卡匯入!$C$3:$C$2002,MATCH($C1552&amp;"|"&amp;DAY($A1552),打卡匯入!$E$3:$E$2002,0)),"")</f>
        <v/>
      </c>
      <c r="K1552" s="80">
        <f>IFERROR(INDEX(打卡匯入!$D$3:$D$2002,MATCH($C1552&amp;"|"&amp;DAY($A1552),打卡匯入!$E$3:$E$2002,0)),"")</f>
        <v/>
      </c>
      <c r="L1552" s="81">
        <f>IF(OR($J1552="",$K1552=""),"",IFERROR(INDEX(設定!$F$6:$F$18,MATCH($G1552,設定!$B$6:$B$18,0)),0))</f>
        <v/>
      </c>
      <c r="M1552" s="82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1">
        <f>IF(OR($C1552="",$H1552="",$J1552=""),0,IF(ROUND(($J1552-$H1552)*1440,0)&gt;設定!$C$42,ROUND(($J1552-$H1552)*1440,0),0))</f>
        <v/>
      </c>
      <c r="P1552" s="81">
        <f>IF(OR($C1552="",$I1552="",$K1552=""),0,IF(ROUND(($I1552-$K1552)*1440,0)&gt;設定!$C$42,ROUND(($I1552-$K1552)*1440,0),0))</f>
        <v/>
      </c>
      <c r="Q1552" s="82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79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0">
        <f>IF($G1553="","",IFERROR(INDEX(設定!$D$6:$D$18,MATCH($G1553,設定!$B$6:$B$18,0)),""))</f>
        <v/>
      </c>
      <c r="I1553" s="80">
        <f>IF($G1553="","",IFERROR(INDEX(設定!$E$6:$E$18,MATCH($G1553,設定!$B$6:$B$18,0)),""))</f>
        <v/>
      </c>
      <c r="J1553" s="80">
        <f>IFERROR(INDEX(打卡匯入!$C$3:$C$2002,MATCH($C1553&amp;"|"&amp;DAY($A1553),打卡匯入!$E$3:$E$2002,0)),"")</f>
        <v/>
      </c>
      <c r="K1553" s="80">
        <f>IFERROR(INDEX(打卡匯入!$D$3:$D$2002,MATCH($C1553&amp;"|"&amp;DAY($A1553),打卡匯入!$E$3:$E$2002,0)),"")</f>
        <v/>
      </c>
      <c r="L1553" s="81">
        <f>IF(OR($J1553="",$K1553=""),"",IFERROR(INDEX(設定!$F$6:$F$18,MATCH($G1553,設定!$B$6:$B$18,0)),0))</f>
        <v/>
      </c>
      <c r="M1553" s="82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1">
        <f>IF(OR($C1553="",$H1553="",$J1553=""),0,IF(ROUND(($J1553-$H1553)*1440,0)&gt;設定!$C$42,ROUND(($J1553-$H1553)*1440,0),0))</f>
        <v/>
      </c>
      <c r="P1553" s="81">
        <f>IF(OR($C1553="",$I1553="",$K1553=""),0,IF(ROUND(($I1553-$K1553)*1440,0)&gt;設定!$C$42,ROUND(($I1553-$K1553)*1440,0),0))</f>
        <v/>
      </c>
      <c r="Q1553" s="82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79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0">
        <f>IF($G1554="","",IFERROR(INDEX(設定!$D$6:$D$18,MATCH($G1554,設定!$B$6:$B$18,0)),""))</f>
        <v/>
      </c>
      <c r="I1554" s="80">
        <f>IF($G1554="","",IFERROR(INDEX(設定!$E$6:$E$18,MATCH($G1554,設定!$B$6:$B$18,0)),""))</f>
        <v/>
      </c>
      <c r="J1554" s="80">
        <f>IFERROR(INDEX(打卡匯入!$C$3:$C$2002,MATCH($C1554&amp;"|"&amp;DAY($A1554),打卡匯入!$E$3:$E$2002,0)),"")</f>
        <v/>
      </c>
      <c r="K1554" s="80">
        <f>IFERROR(INDEX(打卡匯入!$D$3:$D$2002,MATCH($C1554&amp;"|"&amp;DAY($A1554),打卡匯入!$E$3:$E$2002,0)),"")</f>
        <v/>
      </c>
      <c r="L1554" s="81">
        <f>IF(OR($J1554="",$K1554=""),"",IFERROR(INDEX(設定!$F$6:$F$18,MATCH($G1554,設定!$B$6:$B$18,0)),0))</f>
        <v/>
      </c>
      <c r="M1554" s="82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1">
        <f>IF(OR($C1554="",$H1554="",$J1554=""),0,IF(ROUND(($J1554-$H1554)*1440,0)&gt;設定!$C$42,ROUND(($J1554-$H1554)*1440,0),0))</f>
        <v/>
      </c>
      <c r="P1554" s="81">
        <f>IF(OR($C1554="",$I1554="",$K1554=""),0,IF(ROUND(($I1554-$K1554)*1440,0)&gt;設定!$C$42,ROUND(($I1554-$K1554)*1440,0),0))</f>
        <v/>
      </c>
      <c r="Q1554" s="82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79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0">
        <f>IF($G1555="","",IFERROR(INDEX(設定!$D$6:$D$18,MATCH($G1555,設定!$B$6:$B$18,0)),""))</f>
        <v/>
      </c>
      <c r="I1555" s="80">
        <f>IF($G1555="","",IFERROR(INDEX(設定!$E$6:$E$18,MATCH($G1555,設定!$B$6:$B$18,0)),""))</f>
        <v/>
      </c>
      <c r="J1555" s="80">
        <f>IFERROR(INDEX(打卡匯入!$C$3:$C$2002,MATCH($C1555&amp;"|"&amp;DAY($A1555),打卡匯入!$E$3:$E$2002,0)),"")</f>
        <v/>
      </c>
      <c r="K1555" s="80">
        <f>IFERROR(INDEX(打卡匯入!$D$3:$D$2002,MATCH($C1555&amp;"|"&amp;DAY($A1555),打卡匯入!$E$3:$E$2002,0)),"")</f>
        <v/>
      </c>
      <c r="L1555" s="81">
        <f>IF(OR($J1555="",$K1555=""),"",IFERROR(INDEX(設定!$F$6:$F$18,MATCH($G1555,設定!$B$6:$B$18,0)),0))</f>
        <v/>
      </c>
      <c r="M1555" s="82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1">
        <f>IF(OR($C1555="",$H1555="",$J1555=""),0,IF(ROUND(($J1555-$H1555)*1440,0)&gt;設定!$C$42,ROUND(($J1555-$H1555)*1440,0),0))</f>
        <v/>
      </c>
      <c r="P1555" s="81">
        <f>IF(OR($C1555="",$I1555="",$K1555=""),0,IF(ROUND(($I1555-$K1555)*1440,0)&gt;設定!$C$42,ROUND(($I1555-$K1555)*1440,0),0))</f>
        <v/>
      </c>
      <c r="Q1555" s="82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79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0">
        <f>IF($G1556="","",IFERROR(INDEX(設定!$D$6:$D$18,MATCH($G1556,設定!$B$6:$B$18,0)),""))</f>
        <v/>
      </c>
      <c r="I1556" s="80">
        <f>IF($G1556="","",IFERROR(INDEX(設定!$E$6:$E$18,MATCH($G1556,設定!$B$6:$B$18,0)),""))</f>
        <v/>
      </c>
      <c r="J1556" s="80">
        <f>IFERROR(INDEX(打卡匯入!$C$3:$C$2002,MATCH($C1556&amp;"|"&amp;DAY($A1556),打卡匯入!$E$3:$E$2002,0)),"")</f>
        <v/>
      </c>
      <c r="K1556" s="80">
        <f>IFERROR(INDEX(打卡匯入!$D$3:$D$2002,MATCH($C1556&amp;"|"&amp;DAY($A1556),打卡匯入!$E$3:$E$2002,0)),"")</f>
        <v/>
      </c>
      <c r="L1556" s="81">
        <f>IF(OR($J1556="",$K1556=""),"",IFERROR(INDEX(設定!$F$6:$F$18,MATCH($G1556,設定!$B$6:$B$18,0)),0))</f>
        <v/>
      </c>
      <c r="M1556" s="82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1">
        <f>IF(OR($C1556="",$H1556="",$J1556=""),0,IF(ROUND(($J1556-$H1556)*1440,0)&gt;設定!$C$42,ROUND(($J1556-$H1556)*1440,0),0))</f>
        <v/>
      </c>
      <c r="P1556" s="81">
        <f>IF(OR($C1556="",$I1556="",$K1556=""),0,IF(ROUND(($I1556-$K1556)*1440,0)&gt;設定!$C$42,ROUND(($I1556-$K1556)*1440,0),0))</f>
        <v/>
      </c>
      <c r="Q1556" s="82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79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0">
        <f>IF($G1557="","",IFERROR(INDEX(設定!$D$6:$D$18,MATCH($G1557,設定!$B$6:$B$18,0)),""))</f>
        <v/>
      </c>
      <c r="I1557" s="80">
        <f>IF($G1557="","",IFERROR(INDEX(設定!$E$6:$E$18,MATCH($G1557,設定!$B$6:$B$18,0)),""))</f>
        <v/>
      </c>
      <c r="J1557" s="80">
        <f>IFERROR(INDEX(打卡匯入!$C$3:$C$2002,MATCH($C1557&amp;"|"&amp;DAY($A1557),打卡匯入!$E$3:$E$2002,0)),"")</f>
        <v/>
      </c>
      <c r="K1557" s="80">
        <f>IFERROR(INDEX(打卡匯入!$D$3:$D$2002,MATCH($C1557&amp;"|"&amp;DAY($A1557),打卡匯入!$E$3:$E$2002,0)),"")</f>
        <v/>
      </c>
      <c r="L1557" s="81">
        <f>IF(OR($J1557="",$K1557=""),"",IFERROR(INDEX(設定!$F$6:$F$18,MATCH($G1557,設定!$B$6:$B$18,0)),0))</f>
        <v/>
      </c>
      <c r="M1557" s="82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1">
        <f>IF(OR($C1557="",$H1557="",$J1557=""),0,IF(ROUND(($J1557-$H1557)*1440,0)&gt;設定!$C$42,ROUND(($J1557-$H1557)*1440,0),0))</f>
        <v/>
      </c>
      <c r="P1557" s="81">
        <f>IF(OR($C1557="",$I1557="",$K1557=""),0,IF(ROUND(($I1557-$K1557)*1440,0)&gt;設定!$C$42,ROUND(($I1557-$K1557)*1440,0),0))</f>
        <v/>
      </c>
      <c r="Q1557" s="82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79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0">
        <f>IF($G1558="","",IFERROR(INDEX(設定!$D$6:$D$18,MATCH($G1558,設定!$B$6:$B$18,0)),""))</f>
        <v/>
      </c>
      <c r="I1558" s="80">
        <f>IF($G1558="","",IFERROR(INDEX(設定!$E$6:$E$18,MATCH($G1558,設定!$B$6:$B$18,0)),""))</f>
        <v/>
      </c>
      <c r="J1558" s="80">
        <f>IFERROR(INDEX(打卡匯入!$C$3:$C$2002,MATCH($C1558&amp;"|"&amp;DAY($A1558),打卡匯入!$E$3:$E$2002,0)),"")</f>
        <v/>
      </c>
      <c r="K1558" s="80">
        <f>IFERROR(INDEX(打卡匯入!$D$3:$D$2002,MATCH($C1558&amp;"|"&amp;DAY($A1558),打卡匯入!$E$3:$E$2002,0)),"")</f>
        <v/>
      </c>
      <c r="L1558" s="81">
        <f>IF(OR($J1558="",$K1558=""),"",IFERROR(INDEX(設定!$F$6:$F$18,MATCH($G1558,設定!$B$6:$B$18,0)),0))</f>
        <v/>
      </c>
      <c r="M1558" s="82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1">
        <f>IF(OR($C1558="",$H1558="",$J1558=""),0,IF(ROUND(($J1558-$H1558)*1440,0)&gt;設定!$C$42,ROUND(($J1558-$H1558)*1440,0),0))</f>
        <v/>
      </c>
      <c r="P1558" s="81">
        <f>IF(OR($C1558="",$I1558="",$K1558=""),0,IF(ROUND(($I1558-$K1558)*1440,0)&gt;設定!$C$42,ROUND(($I1558-$K1558)*1440,0),0))</f>
        <v/>
      </c>
      <c r="Q1558" s="82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79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0">
        <f>IF($G1559="","",IFERROR(INDEX(設定!$D$6:$D$18,MATCH($G1559,設定!$B$6:$B$18,0)),""))</f>
        <v/>
      </c>
      <c r="I1559" s="80">
        <f>IF($G1559="","",IFERROR(INDEX(設定!$E$6:$E$18,MATCH($G1559,設定!$B$6:$B$18,0)),""))</f>
        <v/>
      </c>
      <c r="J1559" s="80">
        <f>IFERROR(INDEX(打卡匯入!$C$3:$C$2002,MATCH($C1559&amp;"|"&amp;DAY($A1559),打卡匯入!$E$3:$E$2002,0)),"")</f>
        <v/>
      </c>
      <c r="K1559" s="80">
        <f>IFERROR(INDEX(打卡匯入!$D$3:$D$2002,MATCH($C1559&amp;"|"&amp;DAY($A1559),打卡匯入!$E$3:$E$2002,0)),"")</f>
        <v/>
      </c>
      <c r="L1559" s="81">
        <f>IF(OR($J1559="",$K1559=""),"",IFERROR(INDEX(設定!$F$6:$F$18,MATCH($G1559,設定!$B$6:$B$18,0)),0))</f>
        <v/>
      </c>
      <c r="M1559" s="82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1">
        <f>IF(OR($C1559="",$H1559="",$J1559=""),0,IF(ROUND(($J1559-$H1559)*1440,0)&gt;設定!$C$42,ROUND(($J1559-$H1559)*1440,0),0))</f>
        <v/>
      </c>
      <c r="P1559" s="81">
        <f>IF(OR($C1559="",$I1559="",$K1559=""),0,IF(ROUND(($I1559-$K1559)*1440,0)&gt;設定!$C$42,ROUND(($I1559-$K1559)*1440,0),0))</f>
        <v/>
      </c>
      <c r="Q1559" s="82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79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0">
        <f>IF($G1560="","",IFERROR(INDEX(設定!$D$6:$D$18,MATCH($G1560,設定!$B$6:$B$18,0)),""))</f>
        <v/>
      </c>
      <c r="I1560" s="80">
        <f>IF($G1560="","",IFERROR(INDEX(設定!$E$6:$E$18,MATCH($G1560,設定!$B$6:$B$18,0)),""))</f>
        <v/>
      </c>
      <c r="J1560" s="80">
        <f>IFERROR(INDEX(打卡匯入!$C$3:$C$2002,MATCH($C1560&amp;"|"&amp;DAY($A1560),打卡匯入!$E$3:$E$2002,0)),"")</f>
        <v/>
      </c>
      <c r="K1560" s="80">
        <f>IFERROR(INDEX(打卡匯入!$D$3:$D$2002,MATCH($C1560&amp;"|"&amp;DAY($A1560),打卡匯入!$E$3:$E$2002,0)),"")</f>
        <v/>
      </c>
      <c r="L1560" s="81">
        <f>IF(OR($J1560="",$K1560=""),"",IFERROR(INDEX(設定!$F$6:$F$18,MATCH($G1560,設定!$B$6:$B$18,0)),0))</f>
        <v/>
      </c>
      <c r="M1560" s="82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1">
        <f>IF(OR($C1560="",$H1560="",$J1560=""),0,IF(ROUND(($J1560-$H1560)*1440,0)&gt;設定!$C$42,ROUND(($J1560-$H1560)*1440,0),0))</f>
        <v/>
      </c>
      <c r="P1560" s="81">
        <f>IF(OR($C1560="",$I1560="",$K1560=""),0,IF(ROUND(($I1560-$K1560)*1440,0)&gt;設定!$C$42,ROUND(($I1560-$K1560)*1440,0),0))</f>
        <v/>
      </c>
      <c r="Q1560" s="82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79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0">
        <f>IF($G1561="","",IFERROR(INDEX(設定!$D$6:$D$18,MATCH($G1561,設定!$B$6:$B$18,0)),""))</f>
        <v/>
      </c>
      <c r="I1561" s="80">
        <f>IF($G1561="","",IFERROR(INDEX(設定!$E$6:$E$18,MATCH($G1561,設定!$B$6:$B$18,0)),""))</f>
        <v/>
      </c>
      <c r="J1561" s="80">
        <f>IFERROR(INDEX(打卡匯入!$C$3:$C$2002,MATCH($C1561&amp;"|"&amp;DAY($A1561),打卡匯入!$E$3:$E$2002,0)),"")</f>
        <v/>
      </c>
      <c r="K1561" s="80">
        <f>IFERROR(INDEX(打卡匯入!$D$3:$D$2002,MATCH($C1561&amp;"|"&amp;DAY($A1561),打卡匯入!$E$3:$E$2002,0)),"")</f>
        <v/>
      </c>
      <c r="L1561" s="81">
        <f>IF(OR($J1561="",$K1561=""),"",IFERROR(INDEX(設定!$F$6:$F$18,MATCH($G1561,設定!$B$6:$B$18,0)),0))</f>
        <v/>
      </c>
      <c r="M1561" s="82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1">
        <f>IF(OR($C1561="",$H1561="",$J1561=""),0,IF(ROUND(($J1561-$H1561)*1440,0)&gt;設定!$C$42,ROUND(($J1561-$H1561)*1440,0),0))</f>
        <v/>
      </c>
      <c r="P1561" s="81">
        <f>IF(OR($C1561="",$I1561="",$K1561=""),0,IF(ROUND(($I1561-$K1561)*1440,0)&gt;設定!$C$42,ROUND(($I1561-$K1561)*1440,0),0))</f>
        <v/>
      </c>
      <c r="Q1561" s="82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79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0">
        <f>IF($G1562="","",IFERROR(INDEX(設定!$D$6:$D$18,MATCH($G1562,設定!$B$6:$B$18,0)),""))</f>
        <v/>
      </c>
      <c r="I1562" s="80">
        <f>IF($G1562="","",IFERROR(INDEX(設定!$E$6:$E$18,MATCH($G1562,設定!$B$6:$B$18,0)),""))</f>
        <v/>
      </c>
      <c r="J1562" s="80">
        <f>IFERROR(INDEX(打卡匯入!$C$3:$C$2002,MATCH($C1562&amp;"|"&amp;DAY($A1562),打卡匯入!$E$3:$E$2002,0)),"")</f>
        <v/>
      </c>
      <c r="K1562" s="80">
        <f>IFERROR(INDEX(打卡匯入!$D$3:$D$2002,MATCH($C1562&amp;"|"&amp;DAY($A1562),打卡匯入!$E$3:$E$2002,0)),"")</f>
        <v/>
      </c>
      <c r="L1562" s="81">
        <f>IF(OR($J1562="",$K1562=""),"",IFERROR(INDEX(設定!$F$6:$F$18,MATCH($G1562,設定!$B$6:$B$18,0)),0))</f>
        <v/>
      </c>
      <c r="M1562" s="82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1">
        <f>IF(OR($C1562="",$H1562="",$J1562=""),0,IF(ROUND(($J1562-$H1562)*1440,0)&gt;設定!$C$42,ROUND(($J1562-$H1562)*1440,0),0))</f>
        <v/>
      </c>
      <c r="P1562" s="81">
        <f>IF(OR($C1562="",$I1562="",$K1562=""),0,IF(ROUND(($I1562-$K1562)*1440,0)&gt;設定!$C$42,ROUND(($I1562-$K1562)*1440,0),0))</f>
        <v/>
      </c>
      <c r="Q1562" s="82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79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0">
        <f>IF($G1563="","",IFERROR(INDEX(設定!$D$6:$D$18,MATCH($G1563,設定!$B$6:$B$18,0)),""))</f>
        <v/>
      </c>
      <c r="I1563" s="80">
        <f>IF($G1563="","",IFERROR(INDEX(設定!$E$6:$E$18,MATCH($G1563,設定!$B$6:$B$18,0)),""))</f>
        <v/>
      </c>
      <c r="J1563" s="80">
        <f>IFERROR(INDEX(打卡匯入!$C$3:$C$2002,MATCH($C1563&amp;"|"&amp;DAY($A1563),打卡匯入!$E$3:$E$2002,0)),"")</f>
        <v/>
      </c>
      <c r="K1563" s="80">
        <f>IFERROR(INDEX(打卡匯入!$D$3:$D$2002,MATCH($C1563&amp;"|"&amp;DAY($A1563),打卡匯入!$E$3:$E$2002,0)),"")</f>
        <v/>
      </c>
      <c r="L1563" s="81">
        <f>IF(OR($J1563="",$K1563=""),"",IFERROR(INDEX(設定!$F$6:$F$18,MATCH($G1563,設定!$B$6:$B$18,0)),0))</f>
        <v/>
      </c>
      <c r="M1563" s="82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1">
        <f>IF(OR($C1563="",$H1563="",$J1563=""),0,IF(ROUND(($J1563-$H1563)*1440,0)&gt;設定!$C$42,ROUND(($J1563-$H1563)*1440,0),0))</f>
        <v/>
      </c>
      <c r="P1563" s="81">
        <f>IF(OR($C1563="",$I1563="",$K1563=""),0,IF(ROUND(($I1563-$K1563)*1440,0)&gt;設定!$C$42,ROUND(($I1563-$K1563)*1440,0),0))</f>
        <v/>
      </c>
      <c r="Q1563" s="82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79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0">
        <f>IF($G1564="","",IFERROR(INDEX(設定!$D$6:$D$18,MATCH($G1564,設定!$B$6:$B$18,0)),""))</f>
        <v/>
      </c>
      <c r="I1564" s="80">
        <f>IF($G1564="","",IFERROR(INDEX(設定!$E$6:$E$18,MATCH($G1564,設定!$B$6:$B$18,0)),""))</f>
        <v/>
      </c>
      <c r="J1564" s="80">
        <f>IFERROR(INDEX(打卡匯入!$C$3:$C$2002,MATCH($C1564&amp;"|"&amp;DAY($A1564),打卡匯入!$E$3:$E$2002,0)),"")</f>
        <v/>
      </c>
      <c r="K1564" s="80">
        <f>IFERROR(INDEX(打卡匯入!$D$3:$D$2002,MATCH($C1564&amp;"|"&amp;DAY($A1564),打卡匯入!$E$3:$E$2002,0)),"")</f>
        <v/>
      </c>
      <c r="L1564" s="81">
        <f>IF(OR($J1564="",$K1564=""),"",IFERROR(INDEX(設定!$F$6:$F$18,MATCH($G1564,設定!$B$6:$B$18,0)),0))</f>
        <v/>
      </c>
      <c r="M1564" s="82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1">
        <f>IF(OR($C1564="",$H1564="",$J1564=""),0,IF(ROUND(($J1564-$H1564)*1440,0)&gt;設定!$C$42,ROUND(($J1564-$H1564)*1440,0),0))</f>
        <v/>
      </c>
      <c r="P1564" s="81">
        <f>IF(OR($C1564="",$I1564="",$K1564=""),0,IF(ROUND(($I1564-$K1564)*1440,0)&gt;設定!$C$42,ROUND(($I1564-$K1564)*1440,0),0))</f>
        <v/>
      </c>
      <c r="Q1564" s="82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79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0">
        <f>IF($G1565="","",IFERROR(INDEX(設定!$D$6:$D$18,MATCH($G1565,設定!$B$6:$B$18,0)),""))</f>
        <v/>
      </c>
      <c r="I1565" s="80">
        <f>IF($G1565="","",IFERROR(INDEX(設定!$E$6:$E$18,MATCH($G1565,設定!$B$6:$B$18,0)),""))</f>
        <v/>
      </c>
      <c r="J1565" s="80">
        <f>IFERROR(INDEX(打卡匯入!$C$3:$C$2002,MATCH($C1565&amp;"|"&amp;DAY($A1565),打卡匯入!$E$3:$E$2002,0)),"")</f>
        <v/>
      </c>
      <c r="K1565" s="80">
        <f>IFERROR(INDEX(打卡匯入!$D$3:$D$2002,MATCH($C1565&amp;"|"&amp;DAY($A1565),打卡匯入!$E$3:$E$2002,0)),"")</f>
        <v/>
      </c>
      <c r="L1565" s="81">
        <f>IF(OR($J1565="",$K1565=""),"",IFERROR(INDEX(設定!$F$6:$F$18,MATCH($G1565,設定!$B$6:$B$18,0)),0))</f>
        <v/>
      </c>
      <c r="M1565" s="82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1">
        <f>IF(OR($C1565="",$H1565="",$J1565=""),0,IF(ROUND(($J1565-$H1565)*1440,0)&gt;設定!$C$42,ROUND(($J1565-$H1565)*1440,0),0))</f>
        <v/>
      </c>
      <c r="P1565" s="81">
        <f>IF(OR($C1565="",$I1565="",$K1565=""),0,IF(ROUND(($I1565-$K1565)*1440,0)&gt;設定!$C$42,ROUND(($I1565-$K1565)*1440,0),0))</f>
        <v/>
      </c>
      <c r="Q1565" s="82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79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0">
        <f>IF($G1566="","",IFERROR(INDEX(設定!$D$6:$D$18,MATCH($G1566,設定!$B$6:$B$18,0)),""))</f>
        <v/>
      </c>
      <c r="I1566" s="80">
        <f>IF($G1566="","",IFERROR(INDEX(設定!$E$6:$E$18,MATCH($G1566,設定!$B$6:$B$18,0)),""))</f>
        <v/>
      </c>
      <c r="J1566" s="80">
        <f>IFERROR(INDEX(打卡匯入!$C$3:$C$2002,MATCH($C1566&amp;"|"&amp;DAY($A1566),打卡匯入!$E$3:$E$2002,0)),"")</f>
        <v/>
      </c>
      <c r="K1566" s="80">
        <f>IFERROR(INDEX(打卡匯入!$D$3:$D$2002,MATCH($C1566&amp;"|"&amp;DAY($A1566),打卡匯入!$E$3:$E$2002,0)),"")</f>
        <v/>
      </c>
      <c r="L1566" s="81">
        <f>IF(OR($J1566="",$K1566=""),"",IFERROR(INDEX(設定!$F$6:$F$18,MATCH($G1566,設定!$B$6:$B$18,0)),0))</f>
        <v/>
      </c>
      <c r="M1566" s="82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1">
        <f>IF(OR($C1566="",$H1566="",$J1566=""),0,IF(ROUND(($J1566-$H1566)*1440,0)&gt;設定!$C$42,ROUND(($J1566-$H1566)*1440,0),0))</f>
        <v/>
      </c>
      <c r="P1566" s="81">
        <f>IF(OR($C1566="",$I1566="",$K1566=""),0,IF(ROUND(($I1566-$K1566)*1440,0)&gt;設定!$C$42,ROUND(($I1566-$K1566)*1440,0),0))</f>
        <v/>
      </c>
      <c r="Q1566" s="82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79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0">
        <f>IF($G1567="","",IFERROR(INDEX(設定!$D$6:$D$18,MATCH($G1567,設定!$B$6:$B$18,0)),""))</f>
        <v/>
      </c>
      <c r="I1567" s="80">
        <f>IF($G1567="","",IFERROR(INDEX(設定!$E$6:$E$18,MATCH($G1567,設定!$B$6:$B$18,0)),""))</f>
        <v/>
      </c>
      <c r="J1567" s="80">
        <f>IFERROR(INDEX(打卡匯入!$C$3:$C$2002,MATCH($C1567&amp;"|"&amp;DAY($A1567),打卡匯入!$E$3:$E$2002,0)),"")</f>
        <v/>
      </c>
      <c r="K1567" s="80">
        <f>IFERROR(INDEX(打卡匯入!$D$3:$D$2002,MATCH($C1567&amp;"|"&amp;DAY($A1567),打卡匯入!$E$3:$E$2002,0)),"")</f>
        <v/>
      </c>
      <c r="L1567" s="81">
        <f>IF(OR($J1567="",$K1567=""),"",IFERROR(INDEX(設定!$F$6:$F$18,MATCH($G1567,設定!$B$6:$B$18,0)),0))</f>
        <v/>
      </c>
      <c r="M1567" s="82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1">
        <f>IF(OR($C1567="",$H1567="",$J1567=""),0,IF(ROUND(($J1567-$H1567)*1440,0)&gt;設定!$C$42,ROUND(($J1567-$H1567)*1440,0),0))</f>
        <v/>
      </c>
      <c r="P1567" s="81">
        <f>IF(OR($C1567="",$I1567="",$K1567=""),0,IF(ROUND(($I1567-$K1567)*1440,0)&gt;設定!$C$42,ROUND(($I1567-$K1567)*1440,0),0))</f>
        <v/>
      </c>
      <c r="Q1567" s="82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79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0">
        <f>IF($G1568="","",IFERROR(INDEX(設定!$D$6:$D$18,MATCH($G1568,設定!$B$6:$B$18,0)),""))</f>
        <v/>
      </c>
      <c r="I1568" s="80">
        <f>IF($G1568="","",IFERROR(INDEX(設定!$E$6:$E$18,MATCH($G1568,設定!$B$6:$B$18,0)),""))</f>
        <v/>
      </c>
      <c r="J1568" s="80">
        <f>IFERROR(INDEX(打卡匯入!$C$3:$C$2002,MATCH($C1568&amp;"|"&amp;DAY($A1568),打卡匯入!$E$3:$E$2002,0)),"")</f>
        <v/>
      </c>
      <c r="K1568" s="80">
        <f>IFERROR(INDEX(打卡匯入!$D$3:$D$2002,MATCH($C1568&amp;"|"&amp;DAY($A1568),打卡匯入!$E$3:$E$2002,0)),"")</f>
        <v/>
      </c>
      <c r="L1568" s="81">
        <f>IF(OR($J1568="",$K1568=""),"",IFERROR(INDEX(設定!$F$6:$F$18,MATCH($G1568,設定!$B$6:$B$18,0)),0))</f>
        <v/>
      </c>
      <c r="M1568" s="82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1">
        <f>IF(OR($C1568="",$H1568="",$J1568=""),0,IF(ROUND(($J1568-$H1568)*1440,0)&gt;設定!$C$42,ROUND(($J1568-$H1568)*1440,0),0))</f>
        <v/>
      </c>
      <c r="P1568" s="81">
        <f>IF(OR($C1568="",$I1568="",$K1568=""),0,IF(ROUND(($I1568-$K1568)*1440,0)&gt;設定!$C$42,ROUND(($I1568-$K1568)*1440,0),0))</f>
        <v/>
      </c>
      <c r="Q1568" s="82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79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0">
        <f>IF($G1569="","",IFERROR(INDEX(設定!$D$6:$D$18,MATCH($G1569,設定!$B$6:$B$18,0)),""))</f>
        <v/>
      </c>
      <c r="I1569" s="80">
        <f>IF($G1569="","",IFERROR(INDEX(設定!$E$6:$E$18,MATCH($G1569,設定!$B$6:$B$18,0)),""))</f>
        <v/>
      </c>
      <c r="J1569" s="80">
        <f>IFERROR(INDEX(打卡匯入!$C$3:$C$2002,MATCH($C1569&amp;"|"&amp;DAY($A1569),打卡匯入!$E$3:$E$2002,0)),"")</f>
        <v/>
      </c>
      <c r="K1569" s="80">
        <f>IFERROR(INDEX(打卡匯入!$D$3:$D$2002,MATCH($C1569&amp;"|"&amp;DAY($A1569),打卡匯入!$E$3:$E$2002,0)),"")</f>
        <v/>
      </c>
      <c r="L1569" s="81">
        <f>IF(OR($J1569="",$K1569=""),"",IFERROR(INDEX(設定!$F$6:$F$18,MATCH($G1569,設定!$B$6:$B$18,0)),0))</f>
        <v/>
      </c>
      <c r="M1569" s="82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1">
        <f>IF(OR($C1569="",$H1569="",$J1569=""),0,IF(ROUND(($J1569-$H1569)*1440,0)&gt;設定!$C$42,ROUND(($J1569-$H1569)*1440,0),0))</f>
        <v/>
      </c>
      <c r="P1569" s="81">
        <f>IF(OR($C1569="",$I1569="",$K1569=""),0,IF(ROUND(($I1569-$K1569)*1440,0)&gt;設定!$C$42,ROUND(($I1569-$K1569)*1440,0),0))</f>
        <v/>
      </c>
      <c r="Q1569" s="82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79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0">
        <f>IF($G1570="","",IFERROR(INDEX(設定!$D$6:$D$18,MATCH($G1570,設定!$B$6:$B$18,0)),""))</f>
        <v/>
      </c>
      <c r="I1570" s="80">
        <f>IF($G1570="","",IFERROR(INDEX(設定!$E$6:$E$18,MATCH($G1570,設定!$B$6:$B$18,0)),""))</f>
        <v/>
      </c>
      <c r="J1570" s="80">
        <f>IFERROR(INDEX(打卡匯入!$C$3:$C$2002,MATCH($C1570&amp;"|"&amp;DAY($A1570),打卡匯入!$E$3:$E$2002,0)),"")</f>
        <v/>
      </c>
      <c r="K1570" s="80">
        <f>IFERROR(INDEX(打卡匯入!$D$3:$D$2002,MATCH($C1570&amp;"|"&amp;DAY($A1570),打卡匯入!$E$3:$E$2002,0)),"")</f>
        <v/>
      </c>
      <c r="L1570" s="81">
        <f>IF(OR($J1570="",$K1570=""),"",IFERROR(INDEX(設定!$F$6:$F$18,MATCH($G1570,設定!$B$6:$B$18,0)),0))</f>
        <v/>
      </c>
      <c r="M1570" s="82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1">
        <f>IF(OR($C1570="",$H1570="",$J1570=""),0,IF(ROUND(($J1570-$H1570)*1440,0)&gt;設定!$C$42,ROUND(($J1570-$H1570)*1440,0),0))</f>
        <v/>
      </c>
      <c r="P1570" s="81">
        <f>IF(OR($C1570="",$I1570="",$K1570=""),0,IF(ROUND(($I1570-$K1570)*1440,0)&gt;設定!$C$42,ROUND(($I1570-$K1570)*1440,0),0))</f>
        <v/>
      </c>
      <c r="Q1570" s="82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79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0">
        <f>IF($G1571="","",IFERROR(INDEX(設定!$D$6:$D$18,MATCH($G1571,設定!$B$6:$B$18,0)),""))</f>
        <v/>
      </c>
      <c r="I1571" s="80">
        <f>IF($G1571="","",IFERROR(INDEX(設定!$E$6:$E$18,MATCH($G1571,設定!$B$6:$B$18,0)),""))</f>
        <v/>
      </c>
      <c r="J1571" s="80">
        <f>IFERROR(INDEX(打卡匯入!$C$3:$C$2002,MATCH($C1571&amp;"|"&amp;DAY($A1571),打卡匯入!$E$3:$E$2002,0)),"")</f>
        <v/>
      </c>
      <c r="K1571" s="80">
        <f>IFERROR(INDEX(打卡匯入!$D$3:$D$2002,MATCH($C1571&amp;"|"&amp;DAY($A1571),打卡匯入!$E$3:$E$2002,0)),"")</f>
        <v/>
      </c>
      <c r="L1571" s="81">
        <f>IF(OR($J1571="",$K1571=""),"",IFERROR(INDEX(設定!$F$6:$F$18,MATCH($G1571,設定!$B$6:$B$18,0)),0))</f>
        <v/>
      </c>
      <c r="M1571" s="82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1">
        <f>IF(OR($C1571="",$H1571="",$J1571=""),0,IF(ROUND(($J1571-$H1571)*1440,0)&gt;設定!$C$42,ROUND(($J1571-$H1571)*1440,0),0))</f>
        <v/>
      </c>
      <c r="P1571" s="81">
        <f>IF(OR($C1571="",$I1571="",$K1571=""),0,IF(ROUND(($I1571-$K1571)*1440,0)&gt;設定!$C$42,ROUND(($I1571-$K1571)*1440,0),0))</f>
        <v/>
      </c>
      <c r="Q1571" s="82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79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0">
        <f>IF($G1572="","",IFERROR(INDEX(設定!$D$6:$D$18,MATCH($G1572,設定!$B$6:$B$18,0)),""))</f>
        <v/>
      </c>
      <c r="I1572" s="80">
        <f>IF($G1572="","",IFERROR(INDEX(設定!$E$6:$E$18,MATCH($G1572,設定!$B$6:$B$18,0)),""))</f>
        <v/>
      </c>
      <c r="J1572" s="80">
        <f>IFERROR(INDEX(打卡匯入!$C$3:$C$2002,MATCH($C1572&amp;"|"&amp;DAY($A1572),打卡匯入!$E$3:$E$2002,0)),"")</f>
        <v/>
      </c>
      <c r="K1572" s="80">
        <f>IFERROR(INDEX(打卡匯入!$D$3:$D$2002,MATCH($C1572&amp;"|"&amp;DAY($A1572),打卡匯入!$E$3:$E$2002,0)),"")</f>
        <v/>
      </c>
      <c r="L1572" s="81">
        <f>IF(OR($J1572="",$K1572=""),"",IFERROR(INDEX(設定!$F$6:$F$18,MATCH($G1572,設定!$B$6:$B$18,0)),0))</f>
        <v/>
      </c>
      <c r="M1572" s="82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1">
        <f>IF(OR($C1572="",$H1572="",$J1572=""),0,IF(ROUND(($J1572-$H1572)*1440,0)&gt;設定!$C$42,ROUND(($J1572-$H1572)*1440,0),0))</f>
        <v/>
      </c>
      <c r="P1572" s="81">
        <f>IF(OR($C1572="",$I1572="",$K1572=""),0,IF(ROUND(($I1572-$K1572)*1440,0)&gt;設定!$C$42,ROUND(($I1572-$K1572)*1440,0),0))</f>
        <v/>
      </c>
      <c r="Q1572" s="82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79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0">
        <f>IF($G1573="","",IFERROR(INDEX(設定!$D$6:$D$18,MATCH($G1573,設定!$B$6:$B$18,0)),""))</f>
        <v/>
      </c>
      <c r="I1573" s="80">
        <f>IF($G1573="","",IFERROR(INDEX(設定!$E$6:$E$18,MATCH($G1573,設定!$B$6:$B$18,0)),""))</f>
        <v/>
      </c>
      <c r="J1573" s="80">
        <f>IFERROR(INDEX(打卡匯入!$C$3:$C$2002,MATCH($C1573&amp;"|"&amp;DAY($A1573),打卡匯入!$E$3:$E$2002,0)),"")</f>
        <v/>
      </c>
      <c r="K1573" s="80">
        <f>IFERROR(INDEX(打卡匯入!$D$3:$D$2002,MATCH($C1573&amp;"|"&amp;DAY($A1573),打卡匯入!$E$3:$E$2002,0)),"")</f>
        <v/>
      </c>
      <c r="L1573" s="81">
        <f>IF(OR($J1573="",$K1573=""),"",IFERROR(INDEX(設定!$F$6:$F$18,MATCH($G1573,設定!$B$6:$B$18,0)),0))</f>
        <v/>
      </c>
      <c r="M1573" s="82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1">
        <f>IF(OR($C1573="",$H1573="",$J1573=""),0,IF(ROUND(($J1573-$H1573)*1440,0)&gt;設定!$C$42,ROUND(($J1573-$H1573)*1440,0),0))</f>
        <v/>
      </c>
      <c r="P1573" s="81">
        <f>IF(OR($C1573="",$I1573="",$K1573=""),0,IF(ROUND(($I1573-$K1573)*1440,0)&gt;設定!$C$42,ROUND(($I1573-$K1573)*1440,0),0))</f>
        <v/>
      </c>
      <c r="Q1573" s="82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79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0">
        <f>IF($G1574="","",IFERROR(INDEX(設定!$D$6:$D$18,MATCH($G1574,設定!$B$6:$B$18,0)),""))</f>
        <v/>
      </c>
      <c r="I1574" s="80">
        <f>IF($G1574="","",IFERROR(INDEX(設定!$E$6:$E$18,MATCH($G1574,設定!$B$6:$B$18,0)),""))</f>
        <v/>
      </c>
      <c r="J1574" s="80">
        <f>IFERROR(INDEX(打卡匯入!$C$3:$C$2002,MATCH($C1574&amp;"|"&amp;DAY($A1574),打卡匯入!$E$3:$E$2002,0)),"")</f>
        <v/>
      </c>
      <c r="K1574" s="80">
        <f>IFERROR(INDEX(打卡匯入!$D$3:$D$2002,MATCH($C1574&amp;"|"&amp;DAY($A1574),打卡匯入!$E$3:$E$2002,0)),"")</f>
        <v/>
      </c>
      <c r="L1574" s="81">
        <f>IF(OR($J1574="",$K1574=""),"",IFERROR(INDEX(設定!$F$6:$F$18,MATCH($G1574,設定!$B$6:$B$18,0)),0))</f>
        <v/>
      </c>
      <c r="M1574" s="82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1">
        <f>IF(OR($C1574="",$H1574="",$J1574=""),0,IF(ROUND(($J1574-$H1574)*1440,0)&gt;設定!$C$42,ROUND(($J1574-$H1574)*1440,0),0))</f>
        <v/>
      </c>
      <c r="P1574" s="81">
        <f>IF(OR($C1574="",$I1574="",$K1574=""),0,IF(ROUND(($I1574-$K1574)*1440,0)&gt;設定!$C$42,ROUND(($I1574-$K1574)*1440,0),0))</f>
        <v/>
      </c>
      <c r="Q1574" s="82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79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0">
        <f>IF($G1575="","",IFERROR(INDEX(設定!$D$6:$D$18,MATCH($G1575,設定!$B$6:$B$18,0)),""))</f>
        <v/>
      </c>
      <c r="I1575" s="80">
        <f>IF($G1575="","",IFERROR(INDEX(設定!$E$6:$E$18,MATCH($G1575,設定!$B$6:$B$18,0)),""))</f>
        <v/>
      </c>
      <c r="J1575" s="80">
        <f>IFERROR(INDEX(打卡匯入!$C$3:$C$2002,MATCH($C1575&amp;"|"&amp;DAY($A1575),打卡匯入!$E$3:$E$2002,0)),"")</f>
        <v/>
      </c>
      <c r="K1575" s="80">
        <f>IFERROR(INDEX(打卡匯入!$D$3:$D$2002,MATCH($C1575&amp;"|"&amp;DAY($A1575),打卡匯入!$E$3:$E$2002,0)),"")</f>
        <v/>
      </c>
      <c r="L1575" s="81">
        <f>IF(OR($J1575="",$K1575=""),"",IFERROR(INDEX(設定!$F$6:$F$18,MATCH($G1575,設定!$B$6:$B$18,0)),0))</f>
        <v/>
      </c>
      <c r="M1575" s="82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1">
        <f>IF(OR($C1575="",$H1575="",$J1575=""),0,IF(ROUND(($J1575-$H1575)*1440,0)&gt;設定!$C$42,ROUND(($J1575-$H1575)*1440,0),0))</f>
        <v/>
      </c>
      <c r="P1575" s="81">
        <f>IF(OR($C1575="",$I1575="",$K1575=""),0,IF(ROUND(($I1575-$K1575)*1440,0)&gt;設定!$C$42,ROUND(($I1575-$K1575)*1440,0),0))</f>
        <v/>
      </c>
      <c r="Q1575" s="82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79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0">
        <f>IF($G1576="","",IFERROR(INDEX(設定!$D$6:$D$18,MATCH($G1576,設定!$B$6:$B$18,0)),""))</f>
        <v/>
      </c>
      <c r="I1576" s="80">
        <f>IF($G1576="","",IFERROR(INDEX(設定!$E$6:$E$18,MATCH($G1576,設定!$B$6:$B$18,0)),""))</f>
        <v/>
      </c>
      <c r="J1576" s="80">
        <f>IFERROR(INDEX(打卡匯入!$C$3:$C$2002,MATCH($C1576&amp;"|"&amp;DAY($A1576),打卡匯入!$E$3:$E$2002,0)),"")</f>
        <v/>
      </c>
      <c r="K1576" s="80">
        <f>IFERROR(INDEX(打卡匯入!$D$3:$D$2002,MATCH($C1576&amp;"|"&amp;DAY($A1576),打卡匯入!$E$3:$E$2002,0)),"")</f>
        <v/>
      </c>
      <c r="L1576" s="81">
        <f>IF(OR($J1576="",$K1576=""),"",IFERROR(INDEX(設定!$F$6:$F$18,MATCH($G1576,設定!$B$6:$B$18,0)),0))</f>
        <v/>
      </c>
      <c r="M1576" s="82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1">
        <f>IF(OR($C1576="",$H1576="",$J1576=""),0,IF(ROUND(($J1576-$H1576)*1440,0)&gt;設定!$C$42,ROUND(($J1576-$H1576)*1440,0),0))</f>
        <v/>
      </c>
      <c r="P1576" s="81">
        <f>IF(OR($C1576="",$I1576="",$K1576=""),0,IF(ROUND(($I1576-$K1576)*1440,0)&gt;設定!$C$42,ROUND(($I1576-$K1576)*1440,0),0))</f>
        <v/>
      </c>
      <c r="Q1576" s="82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79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0">
        <f>IF($G1577="","",IFERROR(INDEX(設定!$D$6:$D$18,MATCH($G1577,設定!$B$6:$B$18,0)),""))</f>
        <v/>
      </c>
      <c r="I1577" s="80">
        <f>IF($G1577="","",IFERROR(INDEX(設定!$E$6:$E$18,MATCH($G1577,設定!$B$6:$B$18,0)),""))</f>
        <v/>
      </c>
      <c r="J1577" s="80">
        <f>IFERROR(INDEX(打卡匯入!$C$3:$C$2002,MATCH($C1577&amp;"|"&amp;DAY($A1577),打卡匯入!$E$3:$E$2002,0)),"")</f>
        <v/>
      </c>
      <c r="K1577" s="80">
        <f>IFERROR(INDEX(打卡匯入!$D$3:$D$2002,MATCH($C1577&amp;"|"&amp;DAY($A1577),打卡匯入!$E$3:$E$2002,0)),"")</f>
        <v/>
      </c>
      <c r="L1577" s="81">
        <f>IF(OR($J1577="",$K1577=""),"",IFERROR(INDEX(設定!$F$6:$F$18,MATCH($G1577,設定!$B$6:$B$18,0)),0))</f>
        <v/>
      </c>
      <c r="M1577" s="82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1">
        <f>IF(OR($C1577="",$H1577="",$J1577=""),0,IF(ROUND(($J1577-$H1577)*1440,0)&gt;設定!$C$42,ROUND(($J1577-$H1577)*1440,0),0))</f>
        <v/>
      </c>
      <c r="P1577" s="81">
        <f>IF(OR($C1577="",$I1577="",$K1577=""),0,IF(ROUND(($I1577-$K1577)*1440,0)&gt;設定!$C$42,ROUND(($I1577-$K1577)*1440,0),0))</f>
        <v/>
      </c>
      <c r="Q1577" s="82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79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0">
        <f>IF($G1578="","",IFERROR(INDEX(設定!$D$6:$D$18,MATCH($G1578,設定!$B$6:$B$18,0)),""))</f>
        <v/>
      </c>
      <c r="I1578" s="80">
        <f>IF($G1578="","",IFERROR(INDEX(設定!$E$6:$E$18,MATCH($G1578,設定!$B$6:$B$18,0)),""))</f>
        <v/>
      </c>
      <c r="J1578" s="80">
        <f>IFERROR(INDEX(打卡匯入!$C$3:$C$2002,MATCH($C1578&amp;"|"&amp;DAY($A1578),打卡匯入!$E$3:$E$2002,0)),"")</f>
        <v/>
      </c>
      <c r="K1578" s="80">
        <f>IFERROR(INDEX(打卡匯入!$D$3:$D$2002,MATCH($C1578&amp;"|"&amp;DAY($A1578),打卡匯入!$E$3:$E$2002,0)),"")</f>
        <v/>
      </c>
      <c r="L1578" s="81">
        <f>IF(OR($J1578="",$K1578=""),"",IFERROR(INDEX(設定!$F$6:$F$18,MATCH($G1578,設定!$B$6:$B$18,0)),0))</f>
        <v/>
      </c>
      <c r="M1578" s="82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1">
        <f>IF(OR($C1578="",$H1578="",$J1578=""),0,IF(ROUND(($J1578-$H1578)*1440,0)&gt;設定!$C$42,ROUND(($J1578-$H1578)*1440,0),0))</f>
        <v/>
      </c>
      <c r="P1578" s="81">
        <f>IF(OR($C1578="",$I1578="",$K1578=""),0,IF(ROUND(($I1578-$K1578)*1440,0)&gt;設定!$C$42,ROUND(($I1578-$K1578)*1440,0),0))</f>
        <v/>
      </c>
      <c r="Q1578" s="82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79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0">
        <f>IF($G1579="","",IFERROR(INDEX(設定!$D$6:$D$18,MATCH($G1579,設定!$B$6:$B$18,0)),""))</f>
        <v/>
      </c>
      <c r="I1579" s="80">
        <f>IF($G1579="","",IFERROR(INDEX(設定!$E$6:$E$18,MATCH($G1579,設定!$B$6:$B$18,0)),""))</f>
        <v/>
      </c>
      <c r="J1579" s="80">
        <f>IFERROR(INDEX(打卡匯入!$C$3:$C$2002,MATCH($C1579&amp;"|"&amp;DAY($A1579),打卡匯入!$E$3:$E$2002,0)),"")</f>
        <v/>
      </c>
      <c r="K1579" s="80">
        <f>IFERROR(INDEX(打卡匯入!$D$3:$D$2002,MATCH($C1579&amp;"|"&amp;DAY($A1579),打卡匯入!$E$3:$E$2002,0)),"")</f>
        <v/>
      </c>
      <c r="L1579" s="81">
        <f>IF(OR($J1579="",$K1579=""),"",IFERROR(INDEX(設定!$F$6:$F$18,MATCH($G1579,設定!$B$6:$B$18,0)),0))</f>
        <v/>
      </c>
      <c r="M1579" s="82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1">
        <f>IF(OR($C1579="",$H1579="",$J1579=""),0,IF(ROUND(($J1579-$H1579)*1440,0)&gt;設定!$C$42,ROUND(($J1579-$H1579)*1440,0),0))</f>
        <v/>
      </c>
      <c r="P1579" s="81">
        <f>IF(OR($C1579="",$I1579="",$K1579=""),0,IF(ROUND(($I1579-$K1579)*1440,0)&gt;設定!$C$42,ROUND(($I1579-$K1579)*1440,0),0))</f>
        <v/>
      </c>
      <c r="Q1579" s="82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79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0">
        <f>IF($G1580="","",IFERROR(INDEX(設定!$D$6:$D$18,MATCH($G1580,設定!$B$6:$B$18,0)),""))</f>
        <v/>
      </c>
      <c r="I1580" s="80">
        <f>IF($G1580="","",IFERROR(INDEX(設定!$E$6:$E$18,MATCH($G1580,設定!$B$6:$B$18,0)),""))</f>
        <v/>
      </c>
      <c r="J1580" s="80">
        <f>IFERROR(INDEX(打卡匯入!$C$3:$C$2002,MATCH($C1580&amp;"|"&amp;DAY($A1580),打卡匯入!$E$3:$E$2002,0)),"")</f>
        <v/>
      </c>
      <c r="K1580" s="80">
        <f>IFERROR(INDEX(打卡匯入!$D$3:$D$2002,MATCH($C1580&amp;"|"&amp;DAY($A1580),打卡匯入!$E$3:$E$2002,0)),"")</f>
        <v/>
      </c>
      <c r="L1580" s="81">
        <f>IF(OR($J1580="",$K1580=""),"",IFERROR(INDEX(設定!$F$6:$F$18,MATCH($G1580,設定!$B$6:$B$18,0)),0))</f>
        <v/>
      </c>
      <c r="M1580" s="82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1">
        <f>IF(OR($C1580="",$H1580="",$J1580=""),0,IF(ROUND(($J1580-$H1580)*1440,0)&gt;設定!$C$42,ROUND(($J1580-$H1580)*1440,0),0))</f>
        <v/>
      </c>
      <c r="P1580" s="81">
        <f>IF(OR($C1580="",$I1580="",$K1580=""),0,IF(ROUND(($I1580-$K1580)*1440,0)&gt;設定!$C$42,ROUND(($I1580-$K1580)*1440,0),0))</f>
        <v/>
      </c>
      <c r="Q1580" s="82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79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0">
        <f>IF($G1581="","",IFERROR(INDEX(設定!$D$6:$D$18,MATCH($G1581,設定!$B$6:$B$18,0)),""))</f>
        <v/>
      </c>
      <c r="I1581" s="80">
        <f>IF($G1581="","",IFERROR(INDEX(設定!$E$6:$E$18,MATCH($G1581,設定!$B$6:$B$18,0)),""))</f>
        <v/>
      </c>
      <c r="J1581" s="80">
        <f>IFERROR(INDEX(打卡匯入!$C$3:$C$2002,MATCH($C1581&amp;"|"&amp;DAY($A1581),打卡匯入!$E$3:$E$2002,0)),"")</f>
        <v/>
      </c>
      <c r="K1581" s="80">
        <f>IFERROR(INDEX(打卡匯入!$D$3:$D$2002,MATCH($C1581&amp;"|"&amp;DAY($A1581),打卡匯入!$E$3:$E$2002,0)),"")</f>
        <v/>
      </c>
      <c r="L1581" s="81">
        <f>IF(OR($J1581="",$K1581=""),"",IFERROR(INDEX(設定!$F$6:$F$18,MATCH($G1581,設定!$B$6:$B$18,0)),0))</f>
        <v/>
      </c>
      <c r="M1581" s="82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1">
        <f>IF(OR($C1581="",$H1581="",$J1581=""),0,IF(ROUND(($J1581-$H1581)*1440,0)&gt;設定!$C$42,ROUND(($J1581-$H1581)*1440,0),0))</f>
        <v/>
      </c>
      <c r="P1581" s="81">
        <f>IF(OR($C1581="",$I1581="",$K1581=""),0,IF(ROUND(($I1581-$K1581)*1440,0)&gt;設定!$C$42,ROUND(($I1581-$K1581)*1440,0),0))</f>
        <v/>
      </c>
      <c r="Q1581" s="82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79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0">
        <f>IF($G1582="","",IFERROR(INDEX(設定!$D$6:$D$18,MATCH($G1582,設定!$B$6:$B$18,0)),""))</f>
        <v/>
      </c>
      <c r="I1582" s="80">
        <f>IF($G1582="","",IFERROR(INDEX(設定!$E$6:$E$18,MATCH($G1582,設定!$B$6:$B$18,0)),""))</f>
        <v/>
      </c>
      <c r="J1582" s="80">
        <f>IFERROR(INDEX(打卡匯入!$C$3:$C$2002,MATCH($C1582&amp;"|"&amp;DAY($A1582),打卡匯入!$E$3:$E$2002,0)),"")</f>
        <v/>
      </c>
      <c r="K1582" s="80">
        <f>IFERROR(INDEX(打卡匯入!$D$3:$D$2002,MATCH($C1582&amp;"|"&amp;DAY($A1582),打卡匯入!$E$3:$E$2002,0)),"")</f>
        <v/>
      </c>
      <c r="L1582" s="81">
        <f>IF(OR($J1582="",$K1582=""),"",IFERROR(INDEX(設定!$F$6:$F$18,MATCH($G1582,設定!$B$6:$B$18,0)),0))</f>
        <v/>
      </c>
      <c r="M1582" s="82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1">
        <f>IF(OR($C1582="",$H1582="",$J1582=""),0,IF(ROUND(($J1582-$H1582)*1440,0)&gt;設定!$C$42,ROUND(($J1582-$H1582)*1440,0),0))</f>
        <v/>
      </c>
      <c r="P1582" s="81">
        <f>IF(OR($C1582="",$I1582="",$K1582=""),0,IF(ROUND(($I1582-$K1582)*1440,0)&gt;設定!$C$42,ROUND(($I1582-$K1582)*1440,0),0))</f>
        <v/>
      </c>
      <c r="Q1582" s="82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79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0">
        <f>IF($G1583="","",IFERROR(INDEX(設定!$D$6:$D$18,MATCH($G1583,設定!$B$6:$B$18,0)),""))</f>
        <v/>
      </c>
      <c r="I1583" s="80">
        <f>IF($G1583="","",IFERROR(INDEX(設定!$E$6:$E$18,MATCH($G1583,設定!$B$6:$B$18,0)),""))</f>
        <v/>
      </c>
      <c r="J1583" s="80">
        <f>IFERROR(INDEX(打卡匯入!$C$3:$C$2002,MATCH($C1583&amp;"|"&amp;DAY($A1583),打卡匯入!$E$3:$E$2002,0)),"")</f>
        <v/>
      </c>
      <c r="K1583" s="80">
        <f>IFERROR(INDEX(打卡匯入!$D$3:$D$2002,MATCH($C1583&amp;"|"&amp;DAY($A1583),打卡匯入!$E$3:$E$2002,0)),"")</f>
        <v/>
      </c>
      <c r="L1583" s="81">
        <f>IF(OR($J1583="",$K1583=""),"",IFERROR(INDEX(設定!$F$6:$F$18,MATCH($G1583,設定!$B$6:$B$18,0)),0))</f>
        <v/>
      </c>
      <c r="M1583" s="82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1">
        <f>IF(OR($C1583="",$H1583="",$J1583=""),0,IF(ROUND(($J1583-$H1583)*1440,0)&gt;設定!$C$42,ROUND(($J1583-$H1583)*1440,0),0))</f>
        <v/>
      </c>
      <c r="P1583" s="81">
        <f>IF(OR($C1583="",$I1583="",$K1583=""),0,IF(ROUND(($I1583-$K1583)*1440,0)&gt;設定!$C$42,ROUND(($I1583-$K1583)*1440,0),0))</f>
        <v/>
      </c>
      <c r="Q1583" s="82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79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0">
        <f>IF($G1584="","",IFERROR(INDEX(設定!$D$6:$D$18,MATCH($G1584,設定!$B$6:$B$18,0)),""))</f>
        <v/>
      </c>
      <c r="I1584" s="80">
        <f>IF($G1584="","",IFERROR(INDEX(設定!$E$6:$E$18,MATCH($G1584,設定!$B$6:$B$18,0)),""))</f>
        <v/>
      </c>
      <c r="J1584" s="80">
        <f>IFERROR(INDEX(打卡匯入!$C$3:$C$2002,MATCH($C1584&amp;"|"&amp;DAY($A1584),打卡匯入!$E$3:$E$2002,0)),"")</f>
        <v/>
      </c>
      <c r="K1584" s="80">
        <f>IFERROR(INDEX(打卡匯入!$D$3:$D$2002,MATCH($C1584&amp;"|"&amp;DAY($A1584),打卡匯入!$E$3:$E$2002,0)),"")</f>
        <v/>
      </c>
      <c r="L1584" s="81">
        <f>IF(OR($J1584="",$K1584=""),"",IFERROR(INDEX(設定!$F$6:$F$18,MATCH($G1584,設定!$B$6:$B$18,0)),0))</f>
        <v/>
      </c>
      <c r="M1584" s="82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1">
        <f>IF(OR($C1584="",$H1584="",$J1584=""),0,IF(ROUND(($J1584-$H1584)*1440,0)&gt;設定!$C$42,ROUND(($J1584-$H1584)*1440,0),0))</f>
        <v/>
      </c>
      <c r="P1584" s="81">
        <f>IF(OR($C1584="",$I1584="",$K1584=""),0,IF(ROUND(($I1584-$K1584)*1440,0)&gt;設定!$C$42,ROUND(($I1584-$K1584)*1440,0),0))</f>
        <v/>
      </c>
      <c r="Q1584" s="82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79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0">
        <f>IF($G1585="","",IFERROR(INDEX(設定!$D$6:$D$18,MATCH($G1585,設定!$B$6:$B$18,0)),""))</f>
        <v/>
      </c>
      <c r="I1585" s="80">
        <f>IF($G1585="","",IFERROR(INDEX(設定!$E$6:$E$18,MATCH($G1585,設定!$B$6:$B$18,0)),""))</f>
        <v/>
      </c>
      <c r="J1585" s="80">
        <f>IFERROR(INDEX(打卡匯入!$C$3:$C$2002,MATCH($C1585&amp;"|"&amp;DAY($A1585),打卡匯入!$E$3:$E$2002,0)),"")</f>
        <v/>
      </c>
      <c r="K1585" s="80">
        <f>IFERROR(INDEX(打卡匯入!$D$3:$D$2002,MATCH($C1585&amp;"|"&amp;DAY($A1585),打卡匯入!$E$3:$E$2002,0)),"")</f>
        <v/>
      </c>
      <c r="L1585" s="81">
        <f>IF(OR($J1585="",$K1585=""),"",IFERROR(INDEX(設定!$F$6:$F$18,MATCH($G1585,設定!$B$6:$B$18,0)),0))</f>
        <v/>
      </c>
      <c r="M1585" s="82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1">
        <f>IF(OR($C1585="",$H1585="",$J1585=""),0,IF(ROUND(($J1585-$H1585)*1440,0)&gt;設定!$C$42,ROUND(($J1585-$H1585)*1440,0),0))</f>
        <v/>
      </c>
      <c r="P1585" s="81">
        <f>IF(OR($C1585="",$I1585="",$K1585=""),0,IF(ROUND(($I1585-$K1585)*1440,0)&gt;設定!$C$42,ROUND(($I1585-$K1585)*1440,0),0))</f>
        <v/>
      </c>
      <c r="Q1585" s="82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79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0">
        <f>IF($G1586="","",IFERROR(INDEX(設定!$D$6:$D$18,MATCH($G1586,設定!$B$6:$B$18,0)),""))</f>
        <v/>
      </c>
      <c r="I1586" s="80">
        <f>IF($G1586="","",IFERROR(INDEX(設定!$E$6:$E$18,MATCH($G1586,設定!$B$6:$B$18,0)),""))</f>
        <v/>
      </c>
      <c r="J1586" s="80">
        <f>IFERROR(INDEX(打卡匯入!$C$3:$C$2002,MATCH($C1586&amp;"|"&amp;DAY($A1586),打卡匯入!$E$3:$E$2002,0)),"")</f>
        <v/>
      </c>
      <c r="K1586" s="80">
        <f>IFERROR(INDEX(打卡匯入!$D$3:$D$2002,MATCH($C1586&amp;"|"&amp;DAY($A1586),打卡匯入!$E$3:$E$2002,0)),"")</f>
        <v/>
      </c>
      <c r="L1586" s="81">
        <f>IF(OR($J1586="",$K1586=""),"",IFERROR(INDEX(設定!$F$6:$F$18,MATCH($G1586,設定!$B$6:$B$18,0)),0))</f>
        <v/>
      </c>
      <c r="M1586" s="82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1">
        <f>IF(OR($C1586="",$H1586="",$J1586=""),0,IF(ROUND(($J1586-$H1586)*1440,0)&gt;設定!$C$42,ROUND(($J1586-$H1586)*1440,0),0))</f>
        <v/>
      </c>
      <c r="P1586" s="81">
        <f>IF(OR($C1586="",$I1586="",$K1586=""),0,IF(ROUND(($I1586-$K1586)*1440,0)&gt;設定!$C$42,ROUND(($I1586-$K1586)*1440,0),0))</f>
        <v/>
      </c>
      <c r="Q1586" s="82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79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0">
        <f>IF($G1587="","",IFERROR(INDEX(設定!$D$6:$D$18,MATCH($G1587,設定!$B$6:$B$18,0)),""))</f>
        <v/>
      </c>
      <c r="I1587" s="80">
        <f>IF($G1587="","",IFERROR(INDEX(設定!$E$6:$E$18,MATCH($G1587,設定!$B$6:$B$18,0)),""))</f>
        <v/>
      </c>
      <c r="J1587" s="80">
        <f>IFERROR(INDEX(打卡匯入!$C$3:$C$2002,MATCH($C1587&amp;"|"&amp;DAY($A1587),打卡匯入!$E$3:$E$2002,0)),"")</f>
        <v/>
      </c>
      <c r="K1587" s="80">
        <f>IFERROR(INDEX(打卡匯入!$D$3:$D$2002,MATCH($C1587&amp;"|"&amp;DAY($A1587),打卡匯入!$E$3:$E$2002,0)),"")</f>
        <v/>
      </c>
      <c r="L1587" s="81">
        <f>IF(OR($J1587="",$K1587=""),"",IFERROR(INDEX(設定!$F$6:$F$18,MATCH($G1587,設定!$B$6:$B$18,0)),0))</f>
        <v/>
      </c>
      <c r="M1587" s="82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1">
        <f>IF(OR($C1587="",$H1587="",$J1587=""),0,IF(ROUND(($J1587-$H1587)*1440,0)&gt;設定!$C$42,ROUND(($J1587-$H1587)*1440,0),0))</f>
        <v/>
      </c>
      <c r="P1587" s="81">
        <f>IF(OR($C1587="",$I1587="",$K1587=""),0,IF(ROUND(($I1587-$K1587)*1440,0)&gt;設定!$C$42,ROUND(($I1587-$K1587)*1440,0),0))</f>
        <v/>
      </c>
      <c r="Q1587" s="82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79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0">
        <f>IF($G1588="","",IFERROR(INDEX(設定!$D$6:$D$18,MATCH($G1588,設定!$B$6:$B$18,0)),""))</f>
        <v/>
      </c>
      <c r="I1588" s="80">
        <f>IF($G1588="","",IFERROR(INDEX(設定!$E$6:$E$18,MATCH($G1588,設定!$B$6:$B$18,0)),""))</f>
        <v/>
      </c>
      <c r="J1588" s="80">
        <f>IFERROR(INDEX(打卡匯入!$C$3:$C$2002,MATCH($C1588&amp;"|"&amp;DAY($A1588),打卡匯入!$E$3:$E$2002,0)),"")</f>
        <v/>
      </c>
      <c r="K1588" s="80">
        <f>IFERROR(INDEX(打卡匯入!$D$3:$D$2002,MATCH($C1588&amp;"|"&amp;DAY($A1588),打卡匯入!$E$3:$E$2002,0)),"")</f>
        <v/>
      </c>
      <c r="L1588" s="81">
        <f>IF(OR($J1588="",$K1588=""),"",IFERROR(INDEX(設定!$F$6:$F$18,MATCH($G1588,設定!$B$6:$B$18,0)),0))</f>
        <v/>
      </c>
      <c r="M1588" s="82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1">
        <f>IF(OR($C1588="",$H1588="",$J1588=""),0,IF(ROUND(($J1588-$H1588)*1440,0)&gt;設定!$C$42,ROUND(($J1588-$H1588)*1440,0),0))</f>
        <v/>
      </c>
      <c r="P1588" s="81">
        <f>IF(OR($C1588="",$I1588="",$K1588=""),0,IF(ROUND(($I1588-$K1588)*1440,0)&gt;設定!$C$42,ROUND(($I1588-$K1588)*1440,0),0))</f>
        <v/>
      </c>
      <c r="Q1588" s="82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79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0">
        <f>IF($G1589="","",IFERROR(INDEX(設定!$D$6:$D$18,MATCH($G1589,設定!$B$6:$B$18,0)),""))</f>
        <v/>
      </c>
      <c r="I1589" s="80">
        <f>IF($G1589="","",IFERROR(INDEX(設定!$E$6:$E$18,MATCH($G1589,設定!$B$6:$B$18,0)),""))</f>
        <v/>
      </c>
      <c r="J1589" s="80">
        <f>IFERROR(INDEX(打卡匯入!$C$3:$C$2002,MATCH($C1589&amp;"|"&amp;DAY($A1589),打卡匯入!$E$3:$E$2002,0)),"")</f>
        <v/>
      </c>
      <c r="K1589" s="80">
        <f>IFERROR(INDEX(打卡匯入!$D$3:$D$2002,MATCH($C1589&amp;"|"&amp;DAY($A1589),打卡匯入!$E$3:$E$2002,0)),"")</f>
        <v/>
      </c>
      <c r="L1589" s="81">
        <f>IF(OR($J1589="",$K1589=""),"",IFERROR(INDEX(設定!$F$6:$F$18,MATCH($G1589,設定!$B$6:$B$18,0)),0))</f>
        <v/>
      </c>
      <c r="M1589" s="82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1">
        <f>IF(OR($C1589="",$H1589="",$J1589=""),0,IF(ROUND(($J1589-$H1589)*1440,0)&gt;設定!$C$42,ROUND(($J1589-$H1589)*1440,0),0))</f>
        <v/>
      </c>
      <c r="P1589" s="81">
        <f>IF(OR($C1589="",$I1589="",$K1589=""),0,IF(ROUND(($I1589-$K1589)*1440,0)&gt;設定!$C$42,ROUND(($I1589-$K1589)*1440,0),0))</f>
        <v/>
      </c>
      <c r="Q1589" s="82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79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0">
        <f>IF($G1590="","",IFERROR(INDEX(設定!$D$6:$D$18,MATCH($G1590,設定!$B$6:$B$18,0)),""))</f>
        <v/>
      </c>
      <c r="I1590" s="80">
        <f>IF($G1590="","",IFERROR(INDEX(設定!$E$6:$E$18,MATCH($G1590,設定!$B$6:$B$18,0)),""))</f>
        <v/>
      </c>
      <c r="J1590" s="80">
        <f>IFERROR(INDEX(打卡匯入!$C$3:$C$2002,MATCH($C1590&amp;"|"&amp;DAY($A1590),打卡匯入!$E$3:$E$2002,0)),"")</f>
        <v/>
      </c>
      <c r="K1590" s="80">
        <f>IFERROR(INDEX(打卡匯入!$D$3:$D$2002,MATCH($C1590&amp;"|"&amp;DAY($A1590),打卡匯入!$E$3:$E$2002,0)),"")</f>
        <v/>
      </c>
      <c r="L1590" s="81">
        <f>IF(OR($J1590="",$K1590=""),"",IFERROR(INDEX(設定!$F$6:$F$18,MATCH($G1590,設定!$B$6:$B$18,0)),0))</f>
        <v/>
      </c>
      <c r="M1590" s="82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1">
        <f>IF(OR($C1590="",$H1590="",$J1590=""),0,IF(ROUND(($J1590-$H1590)*1440,0)&gt;設定!$C$42,ROUND(($J1590-$H1590)*1440,0),0))</f>
        <v/>
      </c>
      <c r="P1590" s="81">
        <f>IF(OR($C1590="",$I1590="",$K1590=""),0,IF(ROUND(($I1590-$K1590)*1440,0)&gt;設定!$C$42,ROUND(($I1590-$K1590)*1440,0),0))</f>
        <v/>
      </c>
      <c r="Q1590" s="82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79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0">
        <f>IF($G1591="","",IFERROR(INDEX(設定!$D$6:$D$18,MATCH($G1591,設定!$B$6:$B$18,0)),""))</f>
        <v/>
      </c>
      <c r="I1591" s="80">
        <f>IF($G1591="","",IFERROR(INDEX(設定!$E$6:$E$18,MATCH($G1591,設定!$B$6:$B$18,0)),""))</f>
        <v/>
      </c>
      <c r="J1591" s="80">
        <f>IFERROR(INDEX(打卡匯入!$C$3:$C$2002,MATCH($C1591&amp;"|"&amp;DAY($A1591),打卡匯入!$E$3:$E$2002,0)),"")</f>
        <v/>
      </c>
      <c r="K1591" s="80">
        <f>IFERROR(INDEX(打卡匯入!$D$3:$D$2002,MATCH($C1591&amp;"|"&amp;DAY($A1591),打卡匯入!$E$3:$E$2002,0)),"")</f>
        <v/>
      </c>
      <c r="L1591" s="81">
        <f>IF(OR($J1591="",$K1591=""),"",IFERROR(INDEX(設定!$F$6:$F$18,MATCH($G1591,設定!$B$6:$B$18,0)),0))</f>
        <v/>
      </c>
      <c r="M1591" s="82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1">
        <f>IF(OR($C1591="",$H1591="",$J1591=""),0,IF(ROUND(($J1591-$H1591)*1440,0)&gt;設定!$C$42,ROUND(($J1591-$H1591)*1440,0),0))</f>
        <v/>
      </c>
      <c r="P1591" s="81">
        <f>IF(OR($C1591="",$I1591="",$K1591=""),0,IF(ROUND(($I1591-$K1591)*1440,0)&gt;設定!$C$42,ROUND(($I1591-$K1591)*1440,0),0))</f>
        <v/>
      </c>
      <c r="Q1591" s="82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79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0">
        <f>IF($G1592="","",IFERROR(INDEX(設定!$D$6:$D$18,MATCH($G1592,設定!$B$6:$B$18,0)),""))</f>
        <v/>
      </c>
      <c r="I1592" s="80">
        <f>IF($G1592="","",IFERROR(INDEX(設定!$E$6:$E$18,MATCH($G1592,設定!$B$6:$B$18,0)),""))</f>
        <v/>
      </c>
      <c r="J1592" s="80">
        <f>IFERROR(INDEX(打卡匯入!$C$3:$C$2002,MATCH($C1592&amp;"|"&amp;DAY($A1592),打卡匯入!$E$3:$E$2002,0)),"")</f>
        <v/>
      </c>
      <c r="K1592" s="80">
        <f>IFERROR(INDEX(打卡匯入!$D$3:$D$2002,MATCH($C1592&amp;"|"&amp;DAY($A1592),打卡匯入!$E$3:$E$2002,0)),"")</f>
        <v/>
      </c>
      <c r="L1592" s="81">
        <f>IF(OR($J1592="",$K1592=""),"",IFERROR(INDEX(設定!$F$6:$F$18,MATCH($G1592,設定!$B$6:$B$18,0)),0))</f>
        <v/>
      </c>
      <c r="M1592" s="82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1">
        <f>IF(OR($C1592="",$H1592="",$J1592=""),0,IF(ROUND(($J1592-$H1592)*1440,0)&gt;設定!$C$42,ROUND(($J1592-$H1592)*1440,0),0))</f>
        <v/>
      </c>
      <c r="P1592" s="81">
        <f>IF(OR($C1592="",$I1592="",$K1592=""),0,IF(ROUND(($I1592-$K1592)*1440,0)&gt;設定!$C$42,ROUND(($I1592-$K1592)*1440,0),0))</f>
        <v/>
      </c>
      <c r="Q1592" s="82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79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0">
        <f>IF($G1593="","",IFERROR(INDEX(設定!$D$6:$D$18,MATCH($G1593,設定!$B$6:$B$18,0)),""))</f>
        <v/>
      </c>
      <c r="I1593" s="80">
        <f>IF($G1593="","",IFERROR(INDEX(設定!$E$6:$E$18,MATCH($G1593,設定!$B$6:$B$18,0)),""))</f>
        <v/>
      </c>
      <c r="J1593" s="80">
        <f>IFERROR(INDEX(打卡匯入!$C$3:$C$2002,MATCH($C1593&amp;"|"&amp;DAY($A1593),打卡匯入!$E$3:$E$2002,0)),"")</f>
        <v/>
      </c>
      <c r="K1593" s="80">
        <f>IFERROR(INDEX(打卡匯入!$D$3:$D$2002,MATCH($C1593&amp;"|"&amp;DAY($A1593),打卡匯入!$E$3:$E$2002,0)),"")</f>
        <v/>
      </c>
      <c r="L1593" s="81">
        <f>IF(OR($J1593="",$K1593=""),"",IFERROR(INDEX(設定!$F$6:$F$18,MATCH($G1593,設定!$B$6:$B$18,0)),0))</f>
        <v/>
      </c>
      <c r="M1593" s="82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1">
        <f>IF(OR($C1593="",$H1593="",$J1593=""),0,IF(ROUND(($J1593-$H1593)*1440,0)&gt;設定!$C$42,ROUND(($J1593-$H1593)*1440,0),0))</f>
        <v/>
      </c>
      <c r="P1593" s="81">
        <f>IF(OR($C1593="",$I1593="",$K1593=""),0,IF(ROUND(($I1593-$K1593)*1440,0)&gt;設定!$C$42,ROUND(($I1593-$K1593)*1440,0),0))</f>
        <v/>
      </c>
      <c r="Q1593" s="82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79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0">
        <f>IF($G1594="","",IFERROR(INDEX(設定!$D$6:$D$18,MATCH($G1594,設定!$B$6:$B$18,0)),""))</f>
        <v/>
      </c>
      <c r="I1594" s="80">
        <f>IF($G1594="","",IFERROR(INDEX(設定!$E$6:$E$18,MATCH($G1594,設定!$B$6:$B$18,0)),""))</f>
        <v/>
      </c>
      <c r="J1594" s="80">
        <f>IFERROR(INDEX(打卡匯入!$C$3:$C$2002,MATCH($C1594&amp;"|"&amp;DAY($A1594),打卡匯入!$E$3:$E$2002,0)),"")</f>
        <v/>
      </c>
      <c r="K1594" s="80">
        <f>IFERROR(INDEX(打卡匯入!$D$3:$D$2002,MATCH($C1594&amp;"|"&amp;DAY($A1594),打卡匯入!$E$3:$E$2002,0)),"")</f>
        <v/>
      </c>
      <c r="L1594" s="81">
        <f>IF(OR($J1594="",$K1594=""),"",IFERROR(INDEX(設定!$F$6:$F$18,MATCH($G1594,設定!$B$6:$B$18,0)),0))</f>
        <v/>
      </c>
      <c r="M1594" s="82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1">
        <f>IF(OR($C1594="",$H1594="",$J1594=""),0,IF(ROUND(($J1594-$H1594)*1440,0)&gt;設定!$C$42,ROUND(($J1594-$H1594)*1440,0),0))</f>
        <v/>
      </c>
      <c r="P1594" s="81">
        <f>IF(OR($C1594="",$I1594="",$K1594=""),0,IF(ROUND(($I1594-$K1594)*1440,0)&gt;設定!$C$42,ROUND(($I1594-$K1594)*1440,0),0))</f>
        <v/>
      </c>
      <c r="Q1594" s="82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79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0">
        <f>IF($G1595="","",IFERROR(INDEX(設定!$D$6:$D$18,MATCH($G1595,設定!$B$6:$B$18,0)),""))</f>
        <v/>
      </c>
      <c r="I1595" s="80">
        <f>IF($G1595="","",IFERROR(INDEX(設定!$E$6:$E$18,MATCH($G1595,設定!$B$6:$B$18,0)),""))</f>
        <v/>
      </c>
      <c r="J1595" s="80">
        <f>IFERROR(INDEX(打卡匯入!$C$3:$C$2002,MATCH($C1595&amp;"|"&amp;DAY($A1595),打卡匯入!$E$3:$E$2002,0)),"")</f>
        <v/>
      </c>
      <c r="K1595" s="80">
        <f>IFERROR(INDEX(打卡匯入!$D$3:$D$2002,MATCH($C1595&amp;"|"&amp;DAY($A1595),打卡匯入!$E$3:$E$2002,0)),"")</f>
        <v/>
      </c>
      <c r="L1595" s="81">
        <f>IF(OR($J1595="",$K1595=""),"",IFERROR(INDEX(設定!$F$6:$F$18,MATCH($G1595,設定!$B$6:$B$18,0)),0))</f>
        <v/>
      </c>
      <c r="M1595" s="82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1">
        <f>IF(OR($C1595="",$H1595="",$J1595=""),0,IF(ROUND(($J1595-$H1595)*1440,0)&gt;設定!$C$42,ROUND(($J1595-$H1595)*1440,0),0))</f>
        <v/>
      </c>
      <c r="P1595" s="81">
        <f>IF(OR($C1595="",$I1595="",$K1595=""),0,IF(ROUND(($I1595-$K1595)*1440,0)&gt;設定!$C$42,ROUND(($I1595-$K1595)*1440,0),0))</f>
        <v/>
      </c>
      <c r="Q1595" s="82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79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0">
        <f>IF($G1596="","",IFERROR(INDEX(設定!$D$6:$D$18,MATCH($G1596,設定!$B$6:$B$18,0)),""))</f>
        <v/>
      </c>
      <c r="I1596" s="80">
        <f>IF($G1596="","",IFERROR(INDEX(設定!$E$6:$E$18,MATCH($G1596,設定!$B$6:$B$18,0)),""))</f>
        <v/>
      </c>
      <c r="J1596" s="80">
        <f>IFERROR(INDEX(打卡匯入!$C$3:$C$2002,MATCH($C1596&amp;"|"&amp;DAY($A1596),打卡匯入!$E$3:$E$2002,0)),"")</f>
        <v/>
      </c>
      <c r="K1596" s="80">
        <f>IFERROR(INDEX(打卡匯入!$D$3:$D$2002,MATCH($C1596&amp;"|"&amp;DAY($A1596),打卡匯入!$E$3:$E$2002,0)),"")</f>
        <v/>
      </c>
      <c r="L1596" s="81">
        <f>IF(OR($J1596="",$K1596=""),"",IFERROR(INDEX(設定!$F$6:$F$18,MATCH($G1596,設定!$B$6:$B$18,0)),0))</f>
        <v/>
      </c>
      <c r="M1596" s="82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1">
        <f>IF(OR($C1596="",$H1596="",$J1596=""),0,IF(ROUND(($J1596-$H1596)*1440,0)&gt;設定!$C$42,ROUND(($J1596-$H1596)*1440,0),0))</f>
        <v/>
      </c>
      <c r="P1596" s="81">
        <f>IF(OR($C1596="",$I1596="",$K1596=""),0,IF(ROUND(($I1596-$K1596)*1440,0)&gt;設定!$C$42,ROUND(($I1596-$K1596)*1440,0),0))</f>
        <v/>
      </c>
      <c r="Q1596" s="82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79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0">
        <f>IF($G1597="","",IFERROR(INDEX(設定!$D$6:$D$18,MATCH($G1597,設定!$B$6:$B$18,0)),""))</f>
        <v/>
      </c>
      <c r="I1597" s="80">
        <f>IF($G1597="","",IFERROR(INDEX(設定!$E$6:$E$18,MATCH($G1597,設定!$B$6:$B$18,0)),""))</f>
        <v/>
      </c>
      <c r="J1597" s="80">
        <f>IFERROR(INDEX(打卡匯入!$C$3:$C$2002,MATCH($C1597&amp;"|"&amp;DAY($A1597),打卡匯入!$E$3:$E$2002,0)),"")</f>
        <v/>
      </c>
      <c r="K1597" s="80">
        <f>IFERROR(INDEX(打卡匯入!$D$3:$D$2002,MATCH($C1597&amp;"|"&amp;DAY($A1597),打卡匯入!$E$3:$E$2002,0)),"")</f>
        <v/>
      </c>
      <c r="L1597" s="81">
        <f>IF(OR($J1597="",$K1597=""),"",IFERROR(INDEX(設定!$F$6:$F$18,MATCH($G1597,設定!$B$6:$B$18,0)),0))</f>
        <v/>
      </c>
      <c r="M1597" s="82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1">
        <f>IF(OR($C1597="",$H1597="",$J1597=""),0,IF(ROUND(($J1597-$H1597)*1440,0)&gt;設定!$C$42,ROUND(($J1597-$H1597)*1440,0),0))</f>
        <v/>
      </c>
      <c r="P1597" s="81">
        <f>IF(OR($C1597="",$I1597="",$K1597=""),0,IF(ROUND(($I1597-$K1597)*1440,0)&gt;設定!$C$42,ROUND(($I1597-$K1597)*1440,0),0))</f>
        <v/>
      </c>
      <c r="Q1597" s="82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79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0">
        <f>IF($G1598="","",IFERROR(INDEX(設定!$D$6:$D$18,MATCH($G1598,設定!$B$6:$B$18,0)),""))</f>
        <v/>
      </c>
      <c r="I1598" s="80">
        <f>IF($G1598="","",IFERROR(INDEX(設定!$E$6:$E$18,MATCH($G1598,設定!$B$6:$B$18,0)),""))</f>
        <v/>
      </c>
      <c r="J1598" s="80">
        <f>IFERROR(INDEX(打卡匯入!$C$3:$C$2002,MATCH($C1598&amp;"|"&amp;DAY($A1598),打卡匯入!$E$3:$E$2002,0)),"")</f>
        <v/>
      </c>
      <c r="K1598" s="80">
        <f>IFERROR(INDEX(打卡匯入!$D$3:$D$2002,MATCH($C1598&amp;"|"&amp;DAY($A1598),打卡匯入!$E$3:$E$2002,0)),"")</f>
        <v/>
      </c>
      <c r="L1598" s="81">
        <f>IF(OR($J1598="",$K1598=""),"",IFERROR(INDEX(設定!$F$6:$F$18,MATCH($G1598,設定!$B$6:$B$18,0)),0))</f>
        <v/>
      </c>
      <c r="M1598" s="82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1">
        <f>IF(OR($C1598="",$H1598="",$J1598=""),0,IF(ROUND(($J1598-$H1598)*1440,0)&gt;設定!$C$42,ROUND(($J1598-$H1598)*1440,0),0))</f>
        <v/>
      </c>
      <c r="P1598" s="81">
        <f>IF(OR($C1598="",$I1598="",$K1598=""),0,IF(ROUND(($I1598-$K1598)*1440,0)&gt;設定!$C$42,ROUND(($I1598-$K1598)*1440,0),0))</f>
        <v/>
      </c>
      <c r="Q1598" s="82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79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0">
        <f>IF($G1599="","",IFERROR(INDEX(設定!$D$6:$D$18,MATCH($G1599,設定!$B$6:$B$18,0)),""))</f>
        <v/>
      </c>
      <c r="I1599" s="80">
        <f>IF($G1599="","",IFERROR(INDEX(設定!$E$6:$E$18,MATCH($G1599,設定!$B$6:$B$18,0)),""))</f>
        <v/>
      </c>
      <c r="J1599" s="80">
        <f>IFERROR(INDEX(打卡匯入!$C$3:$C$2002,MATCH($C1599&amp;"|"&amp;DAY($A1599),打卡匯入!$E$3:$E$2002,0)),"")</f>
        <v/>
      </c>
      <c r="K1599" s="80">
        <f>IFERROR(INDEX(打卡匯入!$D$3:$D$2002,MATCH($C1599&amp;"|"&amp;DAY($A1599),打卡匯入!$E$3:$E$2002,0)),"")</f>
        <v/>
      </c>
      <c r="L1599" s="81">
        <f>IF(OR($J1599="",$K1599=""),"",IFERROR(INDEX(設定!$F$6:$F$18,MATCH($G1599,設定!$B$6:$B$18,0)),0))</f>
        <v/>
      </c>
      <c r="M1599" s="82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1">
        <f>IF(OR($C1599="",$H1599="",$J1599=""),0,IF(ROUND(($J1599-$H1599)*1440,0)&gt;設定!$C$42,ROUND(($J1599-$H1599)*1440,0),0))</f>
        <v/>
      </c>
      <c r="P1599" s="81">
        <f>IF(OR($C1599="",$I1599="",$K1599=""),0,IF(ROUND(($I1599-$K1599)*1440,0)&gt;設定!$C$42,ROUND(($I1599-$K1599)*1440,0),0))</f>
        <v/>
      </c>
      <c r="Q1599" s="82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79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0">
        <f>IF($G1600="","",IFERROR(INDEX(設定!$D$6:$D$18,MATCH($G1600,設定!$B$6:$B$18,0)),""))</f>
        <v/>
      </c>
      <c r="I1600" s="80">
        <f>IF($G1600="","",IFERROR(INDEX(設定!$E$6:$E$18,MATCH($G1600,設定!$B$6:$B$18,0)),""))</f>
        <v/>
      </c>
      <c r="J1600" s="80">
        <f>IFERROR(INDEX(打卡匯入!$C$3:$C$2002,MATCH($C1600&amp;"|"&amp;DAY($A1600),打卡匯入!$E$3:$E$2002,0)),"")</f>
        <v/>
      </c>
      <c r="K1600" s="80">
        <f>IFERROR(INDEX(打卡匯入!$D$3:$D$2002,MATCH($C1600&amp;"|"&amp;DAY($A1600),打卡匯入!$E$3:$E$2002,0)),"")</f>
        <v/>
      </c>
      <c r="L1600" s="81">
        <f>IF(OR($J1600="",$K1600=""),"",IFERROR(INDEX(設定!$F$6:$F$18,MATCH($G1600,設定!$B$6:$B$18,0)),0))</f>
        <v/>
      </c>
      <c r="M1600" s="82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1">
        <f>IF(OR($C1600="",$H1600="",$J1600=""),0,IF(ROUND(($J1600-$H1600)*1440,0)&gt;設定!$C$42,ROUND(($J1600-$H1600)*1440,0),0))</f>
        <v/>
      </c>
      <c r="P1600" s="81">
        <f>IF(OR($C1600="",$I1600="",$K1600=""),0,IF(ROUND(($I1600-$K1600)*1440,0)&gt;設定!$C$42,ROUND(($I1600-$K1600)*1440,0),0))</f>
        <v/>
      </c>
      <c r="Q1600" s="82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79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0">
        <f>IF($G1601="","",IFERROR(INDEX(設定!$D$6:$D$18,MATCH($G1601,設定!$B$6:$B$18,0)),""))</f>
        <v/>
      </c>
      <c r="I1601" s="80">
        <f>IF($G1601="","",IFERROR(INDEX(設定!$E$6:$E$18,MATCH($G1601,設定!$B$6:$B$18,0)),""))</f>
        <v/>
      </c>
      <c r="J1601" s="80">
        <f>IFERROR(INDEX(打卡匯入!$C$3:$C$2002,MATCH($C1601&amp;"|"&amp;DAY($A1601),打卡匯入!$E$3:$E$2002,0)),"")</f>
        <v/>
      </c>
      <c r="K1601" s="80">
        <f>IFERROR(INDEX(打卡匯入!$D$3:$D$2002,MATCH($C1601&amp;"|"&amp;DAY($A1601),打卡匯入!$E$3:$E$2002,0)),"")</f>
        <v/>
      </c>
      <c r="L1601" s="81">
        <f>IF(OR($J1601="",$K1601=""),"",IFERROR(INDEX(設定!$F$6:$F$18,MATCH($G1601,設定!$B$6:$B$18,0)),0))</f>
        <v/>
      </c>
      <c r="M1601" s="82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1">
        <f>IF(OR($C1601="",$H1601="",$J1601=""),0,IF(ROUND(($J1601-$H1601)*1440,0)&gt;設定!$C$42,ROUND(($J1601-$H1601)*1440,0),0))</f>
        <v/>
      </c>
      <c r="P1601" s="81">
        <f>IF(OR($C1601="",$I1601="",$K1601=""),0,IF(ROUND(($I1601-$K1601)*1440,0)&gt;設定!$C$42,ROUND(($I1601-$K1601)*1440,0),0))</f>
        <v/>
      </c>
      <c r="Q1601" s="82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79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0">
        <f>IF($G1602="","",IFERROR(INDEX(設定!$D$6:$D$18,MATCH($G1602,設定!$B$6:$B$18,0)),""))</f>
        <v/>
      </c>
      <c r="I1602" s="80">
        <f>IF($G1602="","",IFERROR(INDEX(設定!$E$6:$E$18,MATCH($G1602,設定!$B$6:$B$18,0)),""))</f>
        <v/>
      </c>
      <c r="J1602" s="80">
        <f>IFERROR(INDEX(打卡匯入!$C$3:$C$2002,MATCH($C1602&amp;"|"&amp;DAY($A1602),打卡匯入!$E$3:$E$2002,0)),"")</f>
        <v/>
      </c>
      <c r="K1602" s="80">
        <f>IFERROR(INDEX(打卡匯入!$D$3:$D$2002,MATCH($C1602&amp;"|"&amp;DAY($A1602),打卡匯入!$E$3:$E$2002,0)),"")</f>
        <v/>
      </c>
      <c r="L1602" s="81">
        <f>IF(OR($J1602="",$K1602=""),"",IFERROR(INDEX(設定!$F$6:$F$18,MATCH($G1602,設定!$B$6:$B$18,0)),0))</f>
        <v/>
      </c>
      <c r="M1602" s="82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1">
        <f>IF(OR($C1602="",$H1602="",$J1602=""),0,IF(ROUND(($J1602-$H1602)*1440,0)&gt;設定!$C$42,ROUND(($J1602-$H1602)*1440,0),0))</f>
        <v/>
      </c>
      <c r="P1602" s="81">
        <f>IF(OR($C1602="",$I1602="",$K1602=""),0,IF(ROUND(($I1602-$K1602)*1440,0)&gt;設定!$C$42,ROUND(($I1602-$K1602)*1440,0),0))</f>
        <v/>
      </c>
      <c r="Q1602" s="82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79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0">
        <f>IF($G1603="","",IFERROR(INDEX(設定!$D$6:$D$18,MATCH($G1603,設定!$B$6:$B$18,0)),""))</f>
        <v/>
      </c>
      <c r="I1603" s="80">
        <f>IF($G1603="","",IFERROR(INDEX(設定!$E$6:$E$18,MATCH($G1603,設定!$B$6:$B$18,0)),""))</f>
        <v/>
      </c>
      <c r="J1603" s="80">
        <f>IFERROR(INDEX(打卡匯入!$C$3:$C$2002,MATCH($C1603&amp;"|"&amp;DAY($A1603),打卡匯入!$E$3:$E$2002,0)),"")</f>
        <v/>
      </c>
      <c r="K1603" s="80">
        <f>IFERROR(INDEX(打卡匯入!$D$3:$D$2002,MATCH($C1603&amp;"|"&amp;DAY($A1603),打卡匯入!$E$3:$E$2002,0)),"")</f>
        <v/>
      </c>
      <c r="L1603" s="81">
        <f>IF(OR($J1603="",$K1603=""),"",IFERROR(INDEX(設定!$F$6:$F$18,MATCH($G1603,設定!$B$6:$B$18,0)),0))</f>
        <v/>
      </c>
      <c r="M1603" s="82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1">
        <f>IF(OR($C1603="",$H1603="",$J1603=""),0,IF(ROUND(($J1603-$H1603)*1440,0)&gt;設定!$C$42,ROUND(($J1603-$H1603)*1440,0),0))</f>
        <v/>
      </c>
      <c r="P1603" s="81">
        <f>IF(OR($C1603="",$I1603="",$K1603=""),0,IF(ROUND(($I1603-$K1603)*1440,0)&gt;設定!$C$42,ROUND(($I1603-$K1603)*1440,0),0))</f>
        <v/>
      </c>
      <c r="Q1603" s="82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79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0">
        <f>IF($G1604="","",IFERROR(INDEX(設定!$D$6:$D$18,MATCH($G1604,設定!$B$6:$B$18,0)),""))</f>
        <v/>
      </c>
      <c r="I1604" s="80">
        <f>IF($G1604="","",IFERROR(INDEX(設定!$E$6:$E$18,MATCH($G1604,設定!$B$6:$B$18,0)),""))</f>
        <v/>
      </c>
      <c r="J1604" s="80">
        <f>IFERROR(INDEX(打卡匯入!$C$3:$C$2002,MATCH($C1604&amp;"|"&amp;DAY($A1604),打卡匯入!$E$3:$E$2002,0)),"")</f>
        <v/>
      </c>
      <c r="K1604" s="80">
        <f>IFERROR(INDEX(打卡匯入!$D$3:$D$2002,MATCH($C1604&amp;"|"&amp;DAY($A1604),打卡匯入!$E$3:$E$2002,0)),"")</f>
        <v/>
      </c>
      <c r="L1604" s="81">
        <f>IF(OR($J1604="",$K1604=""),"",IFERROR(INDEX(設定!$F$6:$F$18,MATCH($G1604,設定!$B$6:$B$18,0)),0))</f>
        <v/>
      </c>
      <c r="M1604" s="82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1">
        <f>IF(OR($C1604="",$H1604="",$J1604=""),0,IF(ROUND(($J1604-$H1604)*1440,0)&gt;設定!$C$42,ROUND(($J1604-$H1604)*1440,0),0))</f>
        <v/>
      </c>
      <c r="P1604" s="81">
        <f>IF(OR($C1604="",$I1604="",$K1604=""),0,IF(ROUND(($I1604-$K1604)*1440,0)&gt;設定!$C$42,ROUND(($I1604-$K1604)*1440,0),0))</f>
        <v/>
      </c>
      <c r="Q1604" s="82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79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0">
        <f>IF($G1605="","",IFERROR(INDEX(設定!$D$6:$D$18,MATCH($G1605,設定!$B$6:$B$18,0)),""))</f>
        <v/>
      </c>
      <c r="I1605" s="80">
        <f>IF($G1605="","",IFERROR(INDEX(設定!$E$6:$E$18,MATCH($G1605,設定!$B$6:$B$18,0)),""))</f>
        <v/>
      </c>
      <c r="J1605" s="80">
        <f>IFERROR(INDEX(打卡匯入!$C$3:$C$2002,MATCH($C1605&amp;"|"&amp;DAY($A1605),打卡匯入!$E$3:$E$2002,0)),"")</f>
        <v/>
      </c>
      <c r="K1605" s="80">
        <f>IFERROR(INDEX(打卡匯入!$D$3:$D$2002,MATCH($C1605&amp;"|"&amp;DAY($A1605),打卡匯入!$E$3:$E$2002,0)),"")</f>
        <v/>
      </c>
      <c r="L1605" s="81">
        <f>IF(OR($J1605="",$K1605=""),"",IFERROR(INDEX(設定!$F$6:$F$18,MATCH($G1605,設定!$B$6:$B$18,0)),0))</f>
        <v/>
      </c>
      <c r="M1605" s="82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1">
        <f>IF(OR($C1605="",$H1605="",$J1605=""),0,IF(ROUND(($J1605-$H1605)*1440,0)&gt;設定!$C$42,ROUND(($J1605-$H1605)*1440,0),0))</f>
        <v/>
      </c>
      <c r="P1605" s="81">
        <f>IF(OR($C1605="",$I1605="",$K1605=""),0,IF(ROUND(($I1605-$K1605)*1440,0)&gt;設定!$C$42,ROUND(($I1605-$K1605)*1440,0),0))</f>
        <v/>
      </c>
      <c r="Q1605" s="82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79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0">
        <f>IF($G1606="","",IFERROR(INDEX(設定!$D$6:$D$18,MATCH($G1606,設定!$B$6:$B$18,0)),""))</f>
        <v/>
      </c>
      <c r="I1606" s="80">
        <f>IF($G1606="","",IFERROR(INDEX(設定!$E$6:$E$18,MATCH($G1606,設定!$B$6:$B$18,0)),""))</f>
        <v/>
      </c>
      <c r="J1606" s="80">
        <f>IFERROR(INDEX(打卡匯入!$C$3:$C$2002,MATCH($C1606&amp;"|"&amp;DAY($A1606),打卡匯入!$E$3:$E$2002,0)),"")</f>
        <v/>
      </c>
      <c r="K1606" s="80">
        <f>IFERROR(INDEX(打卡匯入!$D$3:$D$2002,MATCH($C1606&amp;"|"&amp;DAY($A1606),打卡匯入!$E$3:$E$2002,0)),"")</f>
        <v/>
      </c>
      <c r="L1606" s="81">
        <f>IF(OR($J1606="",$K1606=""),"",IFERROR(INDEX(設定!$F$6:$F$18,MATCH($G1606,設定!$B$6:$B$18,0)),0))</f>
        <v/>
      </c>
      <c r="M1606" s="82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1">
        <f>IF(OR($C1606="",$H1606="",$J1606=""),0,IF(ROUND(($J1606-$H1606)*1440,0)&gt;設定!$C$42,ROUND(($J1606-$H1606)*1440,0),0))</f>
        <v/>
      </c>
      <c r="P1606" s="81">
        <f>IF(OR($C1606="",$I1606="",$K1606=""),0,IF(ROUND(($I1606-$K1606)*1440,0)&gt;設定!$C$42,ROUND(($I1606-$K1606)*1440,0),0))</f>
        <v/>
      </c>
      <c r="Q1606" s="82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79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0">
        <f>IF($G1607="","",IFERROR(INDEX(設定!$D$6:$D$18,MATCH($G1607,設定!$B$6:$B$18,0)),""))</f>
        <v/>
      </c>
      <c r="I1607" s="80">
        <f>IF($G1607="","",IFERROR(INDEX(設定!$E$6:$E$18,MATCH($G1607,設定!$B$6:$B$18,0)),""))</f>
        <v/>
      </c>
      <c r="J1607" s="80">
        <f>IFERROR(INDEX(打卡匯入!$C$3:$C$2002,MATCH($C1607&amp;"|"&amp;DAY($A1607),打卡匯入!$E$3:$E$2002,0)),"")</f>
        <v/>
      </c>
      <c r="K1607" s="80">
        <f>IFERROR(INDEX(打卡匯入!$D$3:$D$2002,MATCH($C1607&amp;"|"&amp;DAY($A1607),打卡匯入!$E$3:$E$2002,0)),"")</f>
        <v/>
      </c>
      <c r="L1607" s="81">
        <f>IF(OR($J1607="",$K1607=""),"",IFERROR(INDEX(設定!$F$6:$F$18,MATCH($G1607,設定!$B$6:$B$18,0)),0))</f>
        <v/>
      </c>
      <c r="M1607" s="82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1">
        <f>IF(OR($C1607="",$H1607="",$J1607=""),0,IF(ROUND(($J1607-$H1607)*1440,0)&gt;設定!$C$42,ROUND(($J1607-$H1607)*1440,0),0))</f>
        <v/>
      </c>
      <c r="P1607" s="81">
        <f>IF(OR($C1607="",$I1607="",$K1607=""),0,IF(ROUND(($I1607-$K1607)*1440,0)&gt;設定!$C$42,ROUND(($I1607-$K1607)*1440,0),0))</f>
        <v/>
      </c>
      <c r="Q1607" s="82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79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0">
        <f>IF($G1608="","",IFERROR(INDEX(設定!$D$6:$D$18,MATCH($G1608,設定!$B$6:$B$18,0)),""))</f>
        <v/>
      </c>
      <c r="I1608" s="80">
        <f>IF($G1608="","",IFERROR(INDEX(設定!$E$6:$E$18,MATCH($G1608,設定!$B$6:$B$18,0)),""))</f>
        <v/>
      </c>
      <c r="J1608" s="80">
        <f>IFERROR(INDEX(打卡匯入!$C$3:$C$2002,MATCH($C1608&amp;"|"&amp;DAY($A1608),打卡匯入!$E$3:$E$2002,0)),"")</f>
        <v/>
      </c>
      <c r="K1608" s="80">
        <f>IFERROR(INDEX(打卡匯入!$D$3:$D$2002,MATCH($C1608&amp;"|"&amp;DAY($A1608),打卡匯入!$E$3:$E$2002,0)),"")</f>
        <v/>
      </c>
      <c r="L1608" s="81">
        <f>IF(OR($J1608="",$K1608=""),"",IFERROR(INDEX(設定!$F$6:$F$18,MATCH($G1608,設定!$B$6:$B$18,0)),0))</f>
        <v/>
      </c>
      <c r="M1608" s="82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1">
        <f>IF(OR($C1608="",$H1608="",$J1608=""),0,IF(ROUND(($J1608-$H1608)*1440,0)&gt;設定!$C$42,ROUND(($J1608-$H1608)*1440,0),0))</f>
        <v/>
      </c>
      <c r="P1608" s="81">
        <f>IF(OR($C1608="",$I1608="",$K1608=""),0,IF(ROUND(($I1608-$K1608)*1440,0)&gt;設定!$C$42,ROUND(($I1608-$K1608)*1440,0),0))</f>
        <v/>
      </c>
      <c r="Q1608" s="82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79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0">
        <f>IF($G1609="","",IFERROR(INDEX(設定!$D$6:$D$18,MATCH($G1609,設定!$B$6:$B$18,0)),""))</f>
        <v/>
      </c>
      <c r="I1609" s="80">
        <f>IF($G1609="","",IFERROR(INDEX(設定!$E$6:$E$18,MATCH($G1609,設定!$B$6:$B$18,0)),""))</f>
        <v/>
      </c>
      <c r="J1609" s="80">
        <f>IFERROR(INDEX(打卡匯入!$C$3:$C$2002,MATCH($C1609&amp;"|"&amp;DAY($A1609),打卡匯入!$E$3:$E$2002,0)),"")</f>
        <v/>
      </c>
      <c r="K1609" s="80">
        <f>IFERROR(INDEX(打卡匯入!$D$3:$D$2002,MATCH($C1609&amp;"|"&amp;DAY($A1609),打卡匯入!$E$3:$E$2002,0)),"")</f>
        <v/>
      </c>
      <c r="L1609" s="81">
        <f>IF(OR($J1609="",$K1609=""),"",IFERROR(INDEX(設定!$F$6:$F$18,MATCH($G1609,設定!$B$6:$B$18,0)),0))</f>
        <v/>
      </c>
      <c r="M1609" s="82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1">
        <f>IF(OR($C1609="",$H1609="",$J1609=""),0,IF(ROUND(($J1609-$H1609)*1440,0)&gt;設定!$C$42,ROUND(($J1609-$H1609)*1440,0),0))</f>
        <v/>
      </c>
      <c r="P1609" s="81">
        <f>IF(OR($C1609="",$I1609="",$K1609=""),0,IF(ROUND(($I1609-$K1609)*1440,0)&gt;設定!$C$42,ROUND(($I1609-$K1609)*1440,0),0))</f>
        <v/>
      </c>
      <c r="Q1609" s="82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79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0">
        <f>IF($G1610="","",IFERROR(INDEX(設定!$D$6:$D$18,MATCH($G1610,設定!$B$6:$B$18,0)),""))</f>
        <v/>
      </c>
      <c r="I1610" s="80">
        <f>IF($G1610="","",IFERROR(INDEX(設定!$E$6:$E$18,MATCH($G1610,設定!$B$6:$B$18,0)),""))</f>
        <v/>
      </c>
      <c r="J1610" s="80">
        <f>IFERROR(INDEX(打卡匯入!$C$3:$C$2002,MATCH($C1610&amp;"|"&amp;DAY($A1610),打卡匯入!$E$3:$E$2002,0)),"")</f>
        <v/>
      </c>
      <c r="K1610" s="80">
        <f>IFERROR(INDEX(打卡匯入!$D$3:$D$2002,MATCH($C1610&amp;"|"&amp;DAY($A1610),打卡匯入!$E$3:$E$2002,0)),"")</f>
        <v/>
      </c>
      <c r="L1610" s="81">
        <f>IF(OR($J1610="",$K1610=""),"",IFERROR(INDEX(設定!$F$6:$F$18,MATCH($G1610,設定!$B$6:$B$18,0)),0))</f>
        <v/>
      </c>
      <c r="M1610" s="82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1">
        <f>IF(OR($C1610="",$H1610="",$J1610=""),0,IF(ROUND(($J1610-$H1610)*1440,0)&gt;設定!$C$42,ROUND(($J1610-$H1610)*1440,0),0))</f>
        <v/>
      </c>
      <c r="P1610" s="81">
        <f>IF(OR($C1610="",$I1610="",$K1610=""),0,IF(ROUND(($I1610-$K1610)*1440,0)&gt;設定!$C$42,ROUND(($I1610-$K1610)*1440,0),0))</f>
        <v/>
      </c>
      <c r="Q1610" s="82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79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0">
        <f>IF($G1611="","",IFERROR(INDEX(設定!$D$6:$D$18,MATCH($G1611,設定!$B$6:$B$18,0)),""))</f>
        <v/>
      </c>
      <c r="I1611" s="80">
        <f>IF($G1611="","",IFERROR(INDEX(設定!$E$6:$E$18,MATCH($G1611,設定!$B$6:$B$18,0)),""))</f>
        <v/>
      </c>
      <c r="J1611" s="80">
        <f>IFERROR(INDEX(打卡匯入!$C$3:$C$2002,MATCH($C1611&amp;"|"&amp;DAY($A1611),打卡匯入!$E$3:$E$2002,0)),"")</f>
        <v/>
      </c>
      <c r="K1611" s="80">
        <f>IFERROR(INDEX(打卡匯入!$D$3:$D$2002,MATCH($C1611&amp;"|"&amp;DAY($A1611),打卡匯入!$E$3:$E$2002,0)),"")</f>
        <v/>
      </c>
      <c r="L1611" s="81">
        <f>IF(OR($J1611="",$K1611=""),"",IFERROR(INDEX(設定!$F$6:$F$18,MATCH($G1611,設定!$B$6:$B$18,0)),0))</f>
        <v/>
      </c>
      <c r="M1611" s="82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1">
        <f>IF(OR($C1611="",$H1611="",$J1611=""),0,IF(ROUND(($J1611-$H1611)*1440,0)&gt;設定!$C$42,ROUND(($J1611-$H1611)*1440,0),0))</f>
        <v/>
      </c>
      <c r="P1611" s="81">
        <f>IF(OR($C1611="",$I1611="",$K1611=""),0,IF(ROUND(($I1611-$K1611)*1440,0)&gt;設定!$C$42,ROUND(($I1611-$K1611)*1440,0),0))</f>
        <v/>
      </c>
      <c r="Q1611" s="82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79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0">
        <f>IF($G1612="","",IFERROR(INDEX(設定!$D$6:$D$18,MATCH($G1612,設定!$B$6:$B$18,0)),""))</f>
        <v/>
      </c>
      <c r="I1612" s="80">
        <f>IF($G1612="","",IFERROR(INDEX(設定!$E$6:$E$18,MATCH($G1612,設定!$B$6:$B$18,0)),""))</f>
        <v/>
      </c>
      <c r="J1612" s="80">
        <f>IFERROR(INDEX(打卡匯入!$C$3:$C$2002,MATCH($C1612&amp;"|"&amp;DAY($A1612),打卡匯入!$E$3:$E$2002,0)),"")</f>
        <v/>
      </c>
      <c r="K1612" s="80">
        <f>IFERROR(INDEX(打卡匯入!$D$3:$D$2002,MATCH($C1612&amp;"|"&amp;DAY($A1612),打卡匯入!$E$3:$E$2002,0)),"")</f>
        <v/>
      </c>
      <c r="L1612" s="81">
        <f>IF(OR($J1612="",$K1612=""),"",IFERROR(INDEX(設定!$F$6:$F$18,MATCH($G1612,設定!$B$6:$B$18,0)),0))</f>
        <v/>
      </c>
      <c r="M1612" s="82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1">
        <f>IF(OR($C1612="",$H1612="",$J1612=""),0,IF(ROUND(($J1612-$H1612)*1440,0)&gt;設定!$C$42,ROUND(($J1612-$H1612)*1440,0),0))</f>
        <v/>
      </c>
      <c r="P1612" s="81">
        <f>IF(OR($C1612="",$I1612="",$K1612=""),0,IF(ROUND(($I1612-$K1612)*1440,0)&gt;設定!$C$42,ROUND(($I1612-$K1612)*1440,0),0))</f>
        <v/>
      </c>
      <c r="Q1612" s="82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79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0">
        <f>IF($G1613="","",IFERROR(INDEX(設定!$D$6:$D$18,MATCH($G1613,設定!$B$6:$B$18,0)),""))</f>
        <v/>
      </c>
      <c r="I1613" s="80">
        <f>IF($G1613="","",IFERROR(INDEX(設定!$E$6:$E$18,MATCH($G1613,設定!$B$6:$B$18,0)),""))</f>
        <v/>
      </c>
      <c r="J1613" s="80">
        <f>IFERROR(INDEX(打卡匯入!$C$3:$C$2002,MATCH($C1613&amp;"|"&amp;DAY($A1613),打卡匯入!$E$3:$E$2002,0)),"")</f>
        <v/>
      </c>
      <c r="K1613" s="80">
        <f>IFERROR(INDEX(打卡匯入!$D$3:$D$2002,MATCH($C1613&amp;"|"&amp;DAY($A1613),打卡匯入!$E$3:$E$2002,0)),"")</f>
        <v/>
      </c>
      <c r="L1613" s="81">
        <f>IF(OR($J1613="",$K1613=""),"",IFERROR(INDEX(設定!$F$6:$F$18,MATCH($G1613,設定!$B$6:$B$18,0)),0))</f>
        <v/>
      </c>
      <c r="M1613" s="82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1">
        <f>IF(OR($C1613="",$H1613="",$J1613=""),0,IF(ROUND(($J1613-$H1613)*1440,0)&gt;設定!$C$42,ROUND(($J1613-$H1613)*1440,0),0))</f>
        <v/>
      </c>
      <c r="P1613" s="81">
        <f>IF(OR($C1613="",$I1613="",$K1613=""),0,IF(ROUND(($I1613-$K1613)*1440,0)&gt;設定!$C$42,ROUND(($I1613-$K1613)*1440,0),0))</f>
        <v/>
      </c>
      <c r="Q1613" s="82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79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0">
        <f>IF($G1614="","",IFERROR(INDEX(設定!$D$6:$D$18,MATCH($G1614,設定!$B$6:$B$18,0)),""))</f>
        <v/>
      </c>
      <c r="I1614" s="80">
        <f>IF($G1614="","",IFERROR(INDEX(設定!$E$6:$E$18,MATCH($G1614,設定!$B$6:$B$18,0)),""))</f>
        <v/>
      </c>
      <c r="J1614" s="80">
        <f>IFERROR(INDEX(打卡匯入!$C$3:$C$2002,MATCH($C1614&amp;"|"&amp;DAY($A1614),打卡匯入!$E$3:$E$2002,0)),"")</f>
        <v/>
      </c>
      <c r="K1614" s="80">
        <f>IFERROR(INDEX(打卡匯入!$D$3:$D$2002,MATCH($C1614&amp;"|"&amp;DAY($A1614),打卡匯入!$E$3:$E$2002,0)),"")</f>
        <v/>
      </c>
      <c r="L1614" s="81">
        <f>IF(OR($J1614="",$K1614=""),"",IFERROR(INDEX(設定!$F$6:$F$18,MATCH($G1614,設定!$B$6:$B$18,0)),0))</f>
        <v/>
      </c>
      <c r="M1614" s="82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1">
        <f>IF(OR($C1614="",$H1614="",$J1614=""),0,IF(ROUND(($J1614-$H1614)*1440,0)&gt;設定!$C$42,ROUND(($J1614-$H1614)*1440,0),0))</f>
        <v/>
      </c>
      <c r="P1614" s="81">
        <f>IF(OR($C1614="",$I1614="",$K1614=""),0,IF(ROUND(($I1614-$K1614)*1440,0)&gt;設定!$C$42,ROUND(($I1614-$K1614)*1440,0),0))</f>
        <v/>
      </c>
      <c r="Q1614" s="82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79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0">
        <f>IF($G1615="","",IFERROR(INDEX(設定!$D$6:$D$18,MATCH($G1615,設定!$B$6:$B$18,0)),""))</f>
        <v/>
      </c>
      <c r="I1615" s="80">
        <f>IF($G1615="","",IFERROR(INDEX(設定!$E$6:$E$18,MATCH($G1615,設定!$B$6:$B$18,0)),""))</f>
        <v/>
      </c>
      <c r="J1615" s="80">
        <f>IFERROR(INDEX(打卡匯入!$C$3:$C$2002,MATCH($C1615&amp;"|"&amp;DAY($A1615),打卡匯入!$E$3:$E$2002,0)),"")</f>
        <v/>
      </c>
      <c r="K1615" s="80">
        <f>IFERROR(INDEX(打卡匯入!$D$3:$D$2002,MATCH($C1615&amp;"|"&amp;DAY($A1615),打卡匯入!$E$3:$E$2002,0)),"")</f>
        <v/>
      </c>
      <c r="L1615" s="81">
        <f>IF(OR($J1615="",$K1615=""),"",IFERROR(INDEX(設定!$F$6:$F$18,MATCH($G1615,設定!$B$6:$B$18,0)),0))</f>
        <v/>
      </c>
      <c r="M1615" s="82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1">
        <f>IF(OR($C1615="",$H1615="",$J1615=""),0,IF(ROUND(($J1615-$H1615)*1440,0)&gt;設定!$C$42,ROUND(($J1615-$H1615)*1440,0),0))</f>
        <v/>
      </c>
      <c r="P1615" s="81">
        <f>IF(OR($C1615="",$I1615="",$K1615=""),0,IF(ROUND(($I1615-$K1615)*1440,0)&gt;設定!$C$42,ROUND(($I1615-$K1615)*1440,0),0))</f>
        <v/>
      </c>
      <c r="Q1615" s="82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79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0">
        <f>IF($G1616="","",IFERROR(INDEX(設定!$D$6:$D$18,MATCH($G1616,設定!$B$6:$B$18,0)),""))</f>
        <v/>
      </c>
      <c r="I1616" s="80">
        <f>IF($G1616="","",IFERROR(INDEX(設定!$E$6:$E$18,MATCH($G1616,設定!$B$6:$B$18,0)),""))</f>
        <v/>
      </c>
      <c r="J1616" s="80">
        <f>IFERROR(INDEX(打卡匯入!$C$3:$C$2002,MATCH($C1616&amp;"|"&amp;DAY($A1616),打卡匯入!$E$3:$E$2002,0)),"")</f>
        <v/>
      </c>
      <c r="K1616" s="80">
        <f>IFERROR(INDEX(打卡匯入!$D$3:$D$2002,MATCH($C1616&amp;"|"&amp;DAY($A1616),打卡匯入!$E$3:$E$2002,0)),"")</f>
        <v/>
      </c>
      <c r="L1616" s="81">
        <f>IF(OR($J1616="",$K1616=""),"",IFERROR(INDEX(設定!$F$6:$F$18,MATCH($G1616,設定!$B$6:$B$18,0)),0))</f>
        <v/>
      </c>
      <c r="M1616" s="82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1">
        <f>IF(OR($C1616="",$H1616="",$J1616=""),0,IF(ROUND(($J1616-$H1616)*1440,0)&gt;設定!$C$42,ROUND(($J1616-$H1616)*1440,0),0))</f>
        <v/>
      </c>
      <c r="P1616" s="81">
        <f>IF(OR($C1616="",$I1616="",$K1616=""),0,IF(ROUND(($I1616-$K1616)*1440,0)&gt;設定!$C$42,ROUND(($I1616-$K1616)*1440,0),0))</f>
        <v/>
      </c>
      <c r="Q1616" s="82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79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0">
        <f>IF($G1617="","",IFERROR(INDEX(設定!$D$6:$D$18,MATCH($G1617,設定!$B$6:$B$18,0)),""))</f>
        <v/>
      </c>
      <c r="I1617" s="80">
        <f>IF($G1617="","",IFERROR(INDEX(設定!$E$6:$E$18,MATCH($G1617,設定!$B$6:$B$18,0)),""))</f>
        <v/>
      </c>
      <c r="J1617" s="80">
        <f>IFERROR(INDEX(打卡匯入!$C$3:$C$2002,MATCH($C1617&amp;"|"&amp;DAY($A1617),打卡匯入!$E$3:$E$2002,0)),"")</f>
        <v/>
      </c>
      <c r="K1617" s="80">
        <f>IFERROR(INDEX(打卡匯入!$D$3:$D$2002,MATCH($C1617&amp;"|"&amp;DAY($A1617),打卡匯入!$E$3:$E$2002,0)),"")</f>
        <v/>
      </c>
      <c r="L1617" s="81">
        <f>IF(OR($J1617="",$K1617=""),"",IFERROR(INDEX(設定!$F$6:$F$18,MATCH($G1617,設定!$B$6:$B$18,0)),0))</f>
        <v/>
      </c>
      <c r="M1617" s="82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1">
        <f>IF(OR($C1617="",$H1617="",$J1617=""),0,IF(ROUND(($J1617-$H1617)*1440,0)&gt;設定!$C$42,ROUND(($J1617-$H1617)*1440,0),0))</f>
        <v/>
      </c>
      <c r="P1617" s="81">
        <f>IF(OR($C1617="",$I1617="",$K1617=""),0,IF(ROUND(($I1617-$K1617)*1440,0)&gt;設定!$C$42,ROUND(($I1617-$K1617)*1440,0),0))</f>
        <v/>
      </c>
      <c r="Q1617" s="82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79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0">
        <f>IF($G1618="","",IFERROR(INDEX(設定!$D$6:$D$18,MATCH($G1618,設定!$B$6:$B$18,0)),""))</f>
        <v/>
      </c>
      <c r="I1618" s="80">
        <f>IF($G1618="","",IFERROR(INDEX(設定!$E$6:$E$18,MATCH($G1618,設定!$B$6:$B$18,0)),""))</f>
        <v/>
      </c>
      <c r="J1618" s="80">
        <f>IFERROR(INDEX(打卡匯入!$C$3:$C$2002,MATCH($C1618&amp;"|"&amp;DAY($A1618),打卡匯入!$E$3:$E$2002,0)),"")</f>
        <v/>
      </c>
      <c r="K1618" s="80">
        <f>IFERROR(INDEX(打卡匯入!$D$3:$D$2002,MATCH($C1618&amp;"|"&amp;DAY($A1618),打卡匯入!$E$3:$E$2002,0)),"")</f>
        <v/>
      </c>
      <c r="L1618" s="81">
        <f>IF(OR($J1618="",$K1618=""),"",IFERROR(INDEX(設定!$F$6:$F$18,MATCH($G1618,設定!$B$6:$B$18,0)),0))</f>
        <v/>
      </c>
      <c r="M1618" s="82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1">
        <f>IF(OR($C1618="",$H1618="",$J1618=""),0,IF(ROUND(($J1618-$H1618)*1440,0)&gt;設定!$C$42,ROUND(($J1618-$H1618)*1440,0),0))</f>
        <v/>
      </c>
      <c r="P1618" s="81">
        <f>IF(OR($C1618="",$I1618="",$K1618=""),0,IF(ROUND(($I1618-$K1618)*1440,0)&gt;設定!$C$42,ROUND(($I1618-$K1618)*1440,0),0))</f>
        <v/>
      </c>
      <c r="Q1618" s="82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79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0">
        <f>IF($G1619="","",IFERROR(INDEX(設定!$D$6:$D$18,MATCH($G1619,設定!$B$6:$B$18,0)),""))</f>
        <v/>
      </c>
      <c r="I1619" s="80">
        <f>IF($G1619="","",IFERROR(INDEX(設定!$E$6:$E$18,MATCH($G1619,設定!$B$6:$B$18,0)),""))</f>
        <v/>
      </c>
      <c r="J1619" s="80">
        <f>IFERROR(INDEX(打卡匯入!$C$3:$C$2002,MATCH($C1619&amp;"|"&amp;DAY($A1619),打卡匯入!$E$3:$E$2002,0)),"")</f>
        <v/>
      </c>
      <c r="K1619" s="80">
        <f>IFERROR(INDEX(打卡匯入!$D$3:$D$2002,MATCH($C1619&amp;"|"&amp;DAY($A1619),打卡匯入!$E$3:$E$2002,0)),"")</f>
        <v/>
      </c>
      <c r="L1619" s="81">
        <f>IF(OR($J1619="",$K1619=""),"",IFERROR(INDEX(設定!$F$6:$F$18,MATCH($G1619,設定!$B$6:$B$18,0)),0))</f>
        <v/>
      </c>
      <c r="M1619" s="82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1">
        <f>IF(OR($C1619="",$H1619="",$J1619=""),0,IF(ROUND(($J1619-$H1619)*1440,0)&gt;設定!$C$42,ROUND(($J1619-$H1619)*1440,0),0))</f>
        <v/>
      </c>
      <c r="P1619" s="81">
        <f>IF(OR($C1619="",$I1619="",$K1619=""),0,IF(ROUND(($I1619-$K1619)*1440,0)&gt;設定!$C$42,ROUND(($I1619-$K1619)*1440,0),0))</f>
        <v/>
      </c>
      <c r="Q1619" s="82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79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0">
        <f>IF($G1620="","",IFERROR(INDEX(設定!$D$6:$D$18,MATCH($G1620,設定!$B$6:$B$18,0)),""))</f>
        <v/>
      </c>
      <c r="I1620" s="80">
        <f>IF($G1620="","",IFERROR(INDEX(設定!$E$6:$E$18,MATCH($G1620,設定!$B$6:$B$18,0)),""))</f>
        <v/>
      </c>
      <c r="J1620" s="80">
        <f>IFERROR(INDEX(打卡匯入!$C$3:$C$2002,MATCH($C1620&amp;"|"&amp;DAY($A1620),打卡匯入!$E$3:$E$2002,0)),"")</f>
        <v/>
      </c>
      <c r="K1620" s="80">
        <f>IFERROR(INDEX(打卡匯入!$D$3:$D$2002,MATCH($C1620&amp;"|"&amp;DAY($A1620),打卡匯入!$E$3:$E$2002,0)),"")</f>
        <v/>
      </c>
      <c r="L1620" s="81">
        <f>IF(OR($J1620="",$K1620=""),"",IFERROR(INDEX(設定!$F$6:$F$18,MATCH($G1620,設定!$B$6:$B$18,0)),0))</f>
        <v/>
      </c>
      <c r="M1620" s="82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1">
        <f>IF(OR($C1620="",$H1620="",$J1620=""),0,IF(ROUND(($J1620-$H1620)*1440,0)&gt;設定!$C$42,ROUND(($J1620-$H1620)*1440,0),0))</f>
        <v/>
      </c>
      <c r="P1620" s="81">
        <f>IF(OR($C1620="",$I1620="",$K1620=""),0,IF(ROUND(($I1620-$K1620)*1440,0)&gt;設定!$C$42,ROUND(($I1620-$K1620)*1440,0),0))</f>
        <v/>
      </c>
      <c r="Q1620" s="82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79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0">
        <f>IF($G1621="","",IFERROR(INDEX(設定!$D$6:$D$18,MATCH($G1621,設定!$B$6:$B$18,0)),""))</f>
        <v/>
      </c>
      <c r="I1621" s="80">
        <f>IF($G1621="","",IFERROR(INDEX(設定!$E$6:$E$18,MATCH($G1621,設定!$B$6:$B$18,0)),""))</f>
        <v/>
      </c>
      <c r="J1621" s="80">
        <f>IFERROR(INDEX(打卡匯入!$C$3:$C$2002,MATCH($C1621&amp;"|"&amp;DAY($A1621),打卡匯入!$E$3:$E$2002,0)),"")</f>
        <v/>
      </c>
      <c r="K1621" s="80">
        <f>IFERROR(INDEX(打卡匯入!$D$3:$D$2002,MATCH($C1621&amp;"|"&amp;DAY($A1621),打卡匯入!$E$3:$E$2002,0)),"")</f>
        <v/>
      </c>
      <c r="L1621" s="81">
        <f>IF(OR($J1621="",$K1621=""),"",IFERROR(INDEX(設定!$F$6:$F$18,MATCH($G1621,設定!$B$6:$B$18,0)),0))</f>
        <v/>
      </c>
      <c r="M1621" s="82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1">
        <f>IF(OR($C1621="",$H1621="",$J1621=""),0,IF(ROUND(($J1621-$H1621)*1440,0)&gt;設定!$C$42,ROUND(($J1621-$H1621)*1440,0),0))</f>
        <v/>
      </c>
      <c r="P1621" s="81">
        <f>IF(OR($C1621="",$I1621="",$K1621=""),0,IF(ROUND(($I1621-$K1621)*1440,0)&gt;設定!$C$42,ROUND(($I1621-$K1621)*1440,0),0))</f>
        <v/>
      </c>
      <c r="Q1621" s="82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79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0">
        <f>IF($G1622="","",IFERROR(INDEX(設定!$D$6:$D$18,MATCH($G1622,設定!$B$6:$B$18,0)),""))</f>
        <v/>
      </c>
      <c r="I1622" s="80">
        <f>IF($G1622="","",IFERROR(INDEX(設定!$E$6:$E$18,MATCH($G1622,設定!$B$6:$B$18,0)),""))</f>
        <v/>
      </c>
      <c r="J1622" s="80">
        <f>IFERROR(INDEX(打卡匯入!$C$3:$C$2002,MATCH($C1622&amp;"|"&amp;DAY($A1622),打卡匯入!$E$3:$E$2002,0)),"")</f>
        <v/>
      </c>
      <c r="K1622" s="80">
        <f>IFERROR(INDEX(打卡匯入!$D$3:$D$2002,MATCH($C1622&amp;"|"&amp;DAY($A1622),打卡匯入!$E$3:$E$2002,0)),"")</f>
        <v/>
      </c>
      <c r="L1622" s="81">
        <f>IF(OR($J1622="",$K1622=""),"",IFERROR(INDEX(設定!$F$6:$F$18,MATCH($G1622,設定!$B$6:$B$18,0)),0))</f>
        <v/>
      </c>
      <c r="M1622" s="82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1">
        <f>IF(OR($C1622="",$H1622="",$J1622=""),0,IF(ROUND(($J1622-$H1622)*1440,0)&gt;設定!$C$42,ROUND(($J1622-$H1622)*1440,0),0))</f>
        <v/>
      </c>
      <c r="P1622" s="81">
        <f>IF(OR($C1622="",$I1622="",$K1622=""),0,IF(ROUND(($I1622-$K1622)*1440,0)&gt;設定!$C$42,ROUND(($I1622-$K1622)*1440,0),0))</f>
        <v/>
      </c>
      <c r="Q1622" s="82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79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0">
        <f>IF($G1623="","",IFERROR(INDEX(設定!$D$6:$D$18,MATCH($G1623,設定!$B$6:$B$18,0)),""))</f>
        <v/>
      </c>
      <c r="I1623" s="80">
        <f>IF($G1623="","",IFERROR(INDEX(設定!$E$6:$E$18,MATCH($G1623,設定!$B$6:$B$18,0)),""))</f>
        <v/>
      </c>
      <c r="J1623" s="80">
        <f>IFERROR(INDEX(打卡匯入!$C$3:$C$2002,MATCH($C1623&amp;"|"&amp;DAY($A1623),打卡匯入!$E$3:$E$2002,0)),"")</f>
        <v/>
      </c>
      <c r="K1623" s="80">
        <f>IFERROR(INDEX(打卡匯入!$D$3:$D$2002,MATCH($C1623&amp;"|"&amp;DAY($A1623),打卡匯入!$E$3:$E$2002,0)),"")</f>
        <v/>
      </c>
      <c r="L1623" s="81">
        <f>IF(OR($J1623="",$K1623=""),"",IFERROR(INDEX(設定!$F$6:$F$18,MATCH($G1623,設定!$B$6:$B$18,0)),0))</f>
        <v/>
      </c>
      <c r="M1623" s="82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1">
        <f>IF(OR($C1623="",$H1623="",$J1623=""),0,IF(ROUND(($J1623-$H1623)*1440,0)&gt;設定!$C$42,ROUND(($J1623-$H1623)*1440,0),0))</f>
        <v/>
      </c>
      <c r="P1623" s="81">
        <f>IF(OR($C1623="",$I1623="",$K1623=""),0,IF(ROUND(($I1623-$K1623)*1440,0)&gt;設定!$C$42,ROUND(($I1623-$K1623)*1440,0),0))</f>
        <v/>
      </c>
      <c r="Q1623" s="82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79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0">
        <f>IF($G1624="","",IFERROR(INDEX(設定!$D$6:$D$18,MATCH($G1624,設定!$B$6:$B$18,0)),""))</f>
        <v/>
      </c>
      <c r="I1624" s="80">
        <f>IF($G1624="","",IFERROR(INDEX(設定!$E$6:$E$18,MATCH($G1624,設定!$B$6:$B$18,0)),""))</f>
        <v/>
      </c>
      <c r="J1624" s="80">
        <f>IFERROR(INDEX(打卡匯入!$C$3:$C$2002,MATCH($C1624&amp;"|"&amp;DAY($A1624),打卡匯入!$E$3:$E$2002,0)),"")</f>
        <v/>
      </c>
      <c r="K1624" s="80">
        <f>IFERROR(INDEX(打卡匯入!$D$3:$D$2002,MATCH($C1624&amp;"|"&amp;DAY($A1624),打卡匯入!$E$3:$E$2002,0)),"")</f>
        <v/>
      </c>
      <c r="L1624" s="81">
        <f>IF(OR($J1624="",$K1624=""),"",IFERROR(INDEX(設定!$F$6:$F$18,MATCH($G1624,設定!$B$6:$B$18,0)),0))</f>
        <v/>
      </c>
      <c r="M1624" s="82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1">
        <f>IF(OR($C1624="",$H1624="",$J1624=""),0,IF(ROUND(($J1624-$H1624)*1440,0)&gt;設定!$C$42,ROUND(($J1624-$H1624)*1440,0),0))</f>
        <v/>
      </c>
      <c r="P1624" s="81">
        <f>IF(OR($C1624="",$I1624="",$K1624=""),0,IF(ROUND(($I1624-$K1624)*1440,0)&gt;設定!$C$42,ROUND(($I1624-$K1624)*1440,0),0))</f>
        <v/>
      </c>
      <c r="Q1624" s="82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79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0">
        <f>IF($G1625="","",IFERROR(INDEX(設定!$D$6:$D$18,MATCH($G1625,設定!$B$6:$B$18,0)),""))</f>
        <v/>
      </c>
      <c r="I1625" s="80">
        <f>IF($G1625="","",IFERROR(INDEX(設定!$E$6:$E$18,MATCH($G1625,設定!$B$6:$B$18,0)),""))</f>
        <v/>
      </c>
      <c r="J1625" s="80">
        <f>IFERROR(INDEX(打卡匯入!$C$3:$C$2002,MATCH($C1625&amp;"|"&amp;DAY($A1625),打卡匯入!$E$3:$E$2002,0)),"")</f>
        <v/>
      </c>
      <c r="K1625" s="80">
        <f>IFERROR(INDEX(打卡匯入!$D$3:$D$2002,MATCH($C1625&amp;"|"&amp;DAY($A1625),打卡匯入!$E$3:$E$2002,0)),"")</f>
        <v/>
      </c>
      <c r="L1625" s="81">
        <f>IF(OR($J1625="",$K1625=""),"",IFERROR(INDEX(設定!$F$6:$F$18,MATCH($G1625,設定!$B$6:$B$18,0)),0))</f>
        <v/>
      </c>
      <c r="M1625" s="82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1">
        <f>IF(OR($C1625="",$H1625="",$J1625=""),0,IF(ROUND(($J1625-$H1625)*1440,0)&gt;設定!$C$42,ROUND(($J1625-$H1625)*1440,0),0))</f>
        <v/>
      </c>
      <c r="P1625" s="81">
        <f>IF(OR($C1625="",$I1625="",$K1625=""),0,IF(ROUND(($I1625-$K1625)*1440,0)&gt;設定!$C$42,ROUND(($I1625-$K1625)*1440,0),0))</f>
        <v/>
      </c>
      <c r="Q1625" s="82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79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0">
        <f>IF($G1626="","",IFERROR(INDEX(設定!$D$6:$D$18,MATCH($G1626,設定!$B$6:$B$18,0)),""))</f>
        <v/>
      </c>
      <c r="I1626" s="80">
        <f>IF($G1626="","",IFERROR(INDEX(設定!$E$6:$E$18,MATCH($G1626,設定!$B$6:$B$18,0)),""))</f>
        <v/>
      </c>
      <c r="J1626" s="80">
        <f>IFERROR(INDEX(打卡匯入!$C$3:$C$2002,MATCH($C1626&amp;"|"&amp;DAY($A1626),打卡匯入!$E$3:$E$2002,0)),"")</f>
        <v/>
      </c>
      <c r="K1626" s="80">
        <f>IFERROR(INDEX(打卡匯入!$D$3:$D$2002,MATCH($C1626&amp;"|"&amp;DAY($A1626),打卡匯入!$E$3:$E$2002,0)),"")</f>
        <v/>
      </c>
      <c r="L1626" s="81">
        <f>IF(OR($J1626="",$K1626=""),"",IFERROR(INDEX(設定!$F$6:$F$18,MATCH($G1626,設定!$B$6:$B$18,0)),0))</f>
        <v/>
      </c>
      <c r="M1626" s="82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1">
        <f>IF(OR($C1626="",$H1626="",$J1626=""),0,IF(ROUND(($J1626-$H1626)*1440,0)&gt;設定!$C$42,ROUND(($J1626-$H1626)*1440,0),0))</f>
        <v/>
      </c>
      <c r="P1626" s="81">
        <f>IF(OR($C1626="",$I1626="",$K1626=""),0,IF(ROUND(($I1626-$K1626)*1440,0)&gt;設定!$C$42,ROUND(($I1626-$K1626)*1440,0),0))</f>
        <v/>
      </c>
      <c r="Q1626" s="82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79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0">
        <f>IF($G1627="","",IFERROR(INDEX(設定!$D$6:$D$18,MATCH($G1627,設定!$B$6:$B$18,0)),""))</f>
        <v/>
      </c>
      <c r="I1627" s="80">
        <f>IF($G1627="","",IFERROR(INDEX(設定!$E$6:$E$18,MATCH($G1627,設定!$B$6:$B$18,0)),""))</f>
        <v/>
      </c>
      <c r="J1627" s="80">
        <f>IFERROR(INDEX(打卡匯入!$C$3:$C$2002,MATCH($C1627&amp;"|"&amp;DAY($A1627),打卡匯入!$E$3:$E$2002,0)),"")</f>
        <v/>
      </c>
      <c r="K1627" s="80">
        <f>IFERROR(INDEX(打卡匯入!$D$3:$D$2002,MATCH($C1627&amp;"|"&amp;DAY($A1627),打卡匯入!$E$3:$E$2002,0)),"")</f>
        <v/>
      </c>
      <c r="L1627" s="81">
        <f>IF(OR($J1627="",$K1627=""),"",IFERROR(INDEX(設定!$F$6:$F$18,MATCH($G1627,設定!$B$6:$B$18,0)),0))</f>
        <v/>
      </c>
      <c r="M1627" s="82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1">
        <f>IF(OR($C1627="",$H1627="",$J1627=""),0,IF(ROUND(($J1627-$H1627)*1440,0)&gt;設定!$C$42,ROUND(($J1627-$H1627)*1440,0),0))</f>
        <v/>
      </c>
      <c r="P1627" s="81">
        <f>IF(OR($C1627="",$I1627="",$K1627=""),0,IF(ROUND(($I1627-$K1627)*1440,0)&gt;設定!$C$42,ROUND(($I1627-$K1627)*1440,0),0))</f>
        <v/>
      </c>
      <c r="Q1627" s="82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79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0">
        <f>IF($G1628="","",IFERROR(INDEX(設定!$D$6:$D$18,MATCH($G1628,設定!$B$6:$B$18,0)),""))</f>
        <v/>
      </c>
      <c r="I1628" s="80">
        <f>IF($G1628="","",IFERROR(INDEX(設定!$E$6:$E$18,MATCH($G1628,設定!$B$6:$B$18,0)),""))</f>
        <v/>
      </c>
      <c r="J1628" s="80">
        <f>IFERROR(INDEX(打卡匯入!$C$3:$C$2002,MATCH($C1628&amp;"|"&amp;DAY($A1628),打卡匯入!$E$3:$E$2002,0)),"")</f>
        <v/>
      </c>
      <c r="K1628" s="80">
        <f>IFERROR(INDEX(打卡匯入!$D$3:$D$2002,MATCH($C1628&amp;"|"&amp;DAY($A1628),打卡匯入!$E$3:$E$2002,0)),"")</f>
        <v/>
      </c>
      <c r="L1628" s="81">
        <f>IF(OR($J1628="",$K1628=""),"",IFERROR(INDEX(設定!$F$6:$F$18,MATCH($G1628,設定!$B$6:$B$18,0)),0))</f>
        <v/>
      </c>
      <c r="M1628" s="82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1">
        <f>IF(OR($C1628="",$H1628="",$J1628=""),0,IF(ROUND(($J1628-$H1628)*1440,0)&gt;設定!$C$42,ROUND(($J1628-$H1628)*1440,0),0))</f>
        <v/>
      </c>
      <c r="P1628" s="81">
        <f>IF(OR($C1628="",$I1628="",$K1628=""),0,IF(ROUND(($I1628-$K1628)*1440,0)&gt;設定!$C$42,ROUND(($I1628-$K1628)*1440,0),0))</f>
        <v/>
      </c>
      <c r="Q1628" s="82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79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0">
        <f>IF($G1629="","",IFERROR(INDEX(設定!$D$6:$D$18,MATCH($G1629,設定!$B$6:$B$18,0)),""))</f>
        <v/>
      </c>
      <c r="I1629" s="80">
        <f>IF($G1629="","",IFERROR(INDEX(設定!$E$6:$E$18,MATCH($G1629,設定!$B$6:$B$18,0)),""))</f>
        <v/>
      </c>
      <c r="J1629" s="80">
        <f>IFERROR(INDEX(打卡匯入!$C$3:$C$2002,MATCH($C1629&amp;"|"&amp;DAY($A1629),打卡匯入!$E$3:$E$2002,0)),"")</f>
        <v/>
      </c>
      <c r="K1629" s="80">
        <f>IFERROR(INDEX(打卡匯入!$D$3:$D$2002,MATCH($C1629&amp;"|"&amp;DAY($A1629),打卡匯入!$E$3:$E$2002,0)),"")</f>
        <v/>
      </c>
      <c r="L1629" s="81">
        <f>IF(OR($J1629="",$K1629=""),"",IFERROR(INDEX(設定!$F$6:$F$18,MATCH($G1629,設定!$B$6:$B$18,0)),0))</f>
        <v/>
      </c>
      <c r="M1629" s="82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1">
        <f>IF(OR($C1629="",$H1629="",$J1629=""),0,IF(ROUND(($J1629-$H1629)*1440,0)&gt;設定!$C$42,ROUND(($J1629-$H1629)*1440,0),0))</f>
        <v/>
      </c>
      <c r="P1629" s="81">
        <f>IF(OR($C1629="",$I1629="",$K1629=""),0,IF(ROUND(($I1629-$K1629)*1440,0)&gt;設定!$C$42,ROUND(($I1629-$K1629)*1440,0),0))</f>
        <v/>
      </c>
      <c r="Q1629" s="82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79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0">
        <f>IF($G1630="","",IFERROR(INDEX(設定!$D$6:$D$18,MATCH($G1630,設定!$B$6:$B$18,0)),""))</f>
        <v/>
      </c>
      <c r="I1630" s="80">
        <f>IF($G1630="","",IFERROR(INDEX(設定!$E$6:$E$18,MATCH($G1630,設定!$B$6:$B$18,0)),""))</f>
        <v/>
      </c>
      <c r="J1630" s="80">
        <f>IFERROR(INDEX(打卡匯入!$C$3:$C$2002,MATCH($C1630&amp;"|"&amp;DAY($A1630),打卡匯入!$E$3:$E$2002,0)),"")</f>
        <v/>
      </c>
      <c r="K1630" s="80">
        <f>IFERROR(INDEX(打卡匯入!$D$3:$D$2002,MATCH($C1630&amp;"|"&amp;DAY($A1630),打卡匯入!$E$3:$E$2002,0)),"")</f>
        <v/>
      </c>
      <c r="L1630" s="81">
        <f>IF(OR($J1630="",$K1630=""),"",IFERROR(INDEX(設定!$F$6:$F$18,MATCH($G1630,設定!$B$6:$B$18,0)),0))</f>
        <v/>
      </c>
      <c r="M1630" s="82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1">
        <f>IF(OR($C1630="",$H1630="",$J1630=""),0,IF(ROUND(($J1630-$H1630)*1440,0)&gt;設定!$C$42,ROUND(($J1630-$H1630)*1440,0),0))</f>
        <v/>
      </c>
      <c r="P1630" s="81">
        <f>IF(OR($C1630="",$I1630="",$K1630=""),0,IF(ROUND(($I1630-$K1630)*1440,0)&gt;設定!$C$42,ROUND(($I1630-$K1630)*1440,0),0))</f>
        <v/>
      </c>
      <c r="Q1630" s="82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79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0">
        <f>IF($G1631="","",IFERROR(INDEX(設定!$D$6:$D$18,MATCH($G1631,設定!$B$6:$B$18,0)),""))</f>
        <v/>
      </c>
      <c r="I1631" s="80">
        <f>IF($G1631="","",IFERROR(INDEX(設定!$E$6:$E$18,MATCH($G1631,設定!$B$6:$B$18,0)),""))</f>
        <v/>
      </c>
      <c r="J1631" s="80">
        <f>IFERROR(INDEX(打卡匯入!$C$3:$C$2002,MATCH($C1631&amp;"|"&amp;DAY($A1631),打卡匯入!$E$3:$E$2002,0)),"")</f>
        <v/>
      </c>
      <c r="K1631" s="80">
        <f>IFERROR(INDEX(打卡匯入!$D$3:$D$2002,MATCH($C1631&amp;"|"&amp;DAY($A1631),打卡匯入!$E$3:$E$2002,0)),"")</f>
        <v/>
      </c>
      <c r="L1631" s="81">
        <f>IF(OR($J1631="",$K1631=""),"",IFERROR(INDEX(設定!$F$6:$F$18,MATCH($G1631,設定!$B$6:$B$18,0)),0))</f>
        <v/>
      </c>
      <c r="M1631" s="82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1">
        <f>IF(OR($C1631="",$H1631="",$J1631=""),0,IF(ROUND(($J1631-$H1631)*1440,0)&gt;設定!$C$42,ROUND(($J1631-$H1631)*1440,0),0))</f>
        <v/>
      </c>
      <c r="P1631" s="81">
        <f>IF(OR($C1631="",$I1631="",$K1631=""),0,IF(ROUND(($I1631-$K1631)*1440,0)&gt;設定!$C$42,ROUND(($I1631-$K1631)*1440,0),0))</f>
        <v/>
      </c>
      <c r="Q1631" s="82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79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0">
        <f>IF($G1632="","",IFERROR(INDEX(設定!$D$6:$D$18,MATCH($G1632,設定!$B$6:$B$18,0)),""))</f>
        <v/>
      </c>
      <c r="I1632" s="80">
        <f>IF($G1632="","",IFERROR(INDEX(設定!$E$6:$E$18,MATCH($G1632,設定!$B$6:$B$18,0)),""))</f>
        <v/>
      </c>
      <c r="J1632" s="80">
        <f>IFERROR(INDEX(打卡匯入!$C$3:$C$2002,MATCH($C1632&amp;"|"&amp;DAY($A1632),打卡匯入!$E$3:$E$2002,0)),"")</f>
        <v/>
      </c>
      <c r="K1632" s="80">
        <f>IFERROR(INDEX(打卡匯入!$D$3:$D$2002,MATCH($C1632&amp;"|"&amp;DAY($A1632),打卡匯入!$E$3:$E$2002,0)),"")</f>
        <v/>
      </c>
      <c r="L1632" s="81">
        <f>IF(OR($J1632="",$K1632=""),"",IFERROR(INDEX(設定!$F$6:$F$18,MATCH($G1632,設定!$B$6:$B$18,0)),0))</f>
        <v/>
      </c>
      <c r="M1632" s="82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1">
        <f>IF(OR($C1632="",$H1632="",$J1632=""),0,IF(ROUND(($J1632-$H1632)*1440,0)&gt;設定!$C$42,ROUND(($J1632-$H1632)*1440,0),0))</f>
        <v/>
      </c>
      <c r="P1632" s="81">
        <f>IF(OR($C1632="",$I1632="",$K1632=""),0,IF(ROUND(($I1632-$K1632)*1440,0)&gt;設定!$C$42,ROUND(($I1632-$K1632)*1440,0),0))</f>
        <v/>
      </c>
      <c r="Q1632" s="82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79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0">
        <f>IF($G1633="","",IFERROR(INDEX(設定!$D$6:$D$18,MATCH($G1633,設定!$B$6:$B$18,0)),""))</f>
        <v/>
      </c>
      <c r="I1633" s="80">
        <f>IF($G1633="","",IFERROR(INDEX(設定!$E$6:$E$18,MATCH($G1633,設定!$B$6:$B$18,0)),""))</f>
        <v/>
      </c>
      <c r="J1633" s="80">
        <f>IFERROR(INDEX(打卡匯入!$C$3:$C$2002,MATCH($C1633&amp;"|"&amp;DAY($A1633),打卡匯入!$E$3:$E$2002,0)),"")</f>
        <v/>
      </c>
      <c r="K1633" s="80">
        <f>IFERROR(INDEX(打卡匯入!$D$3:$D$2002,MATCH($C1633&amp;"|"&amp;DAY($A1633),打卡匯入!$E$3:$E$2002,0)),"")</f>
        <v/>
      </c>
      <c r="L1633" s="81">
        <f>IF(OR($J1633="",$K1633=""),"",IFERROR(INDEX(設定!$F$6:$F$18,MATCH($G1633,設定!$B$6:$B$18,0)),0))</f>
        <v/>
      </c>
      <c r="M1633" s="82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1">
        <f>IF(OR($C1633="",$H1633="",$J1633=""),0,IF(ROUND(($J1633-$H1633)*1440,0)&gt;設定!$C$42,ROUND(($J1633-$H1633)*1440,0),0))</f>
        <v/>
      </c>
      <c r="P1633" s="81">
        <f>IF(OR($C1633="",$I1633="",$K1633=""),0,IF(ROUND(($I1633-$K1633)*1440,0)&gt;設定!$C$42,ROUND(($I1633-$K1633)*1440,0),0))</f>
        <v/>
      </c>
      <c r="Q1633" s="82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79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0">
        <f>IF($G1634="","",IFERROR(INDEX(設定!$D$6:$D$18,MATCH($G1634,設定!$B$6:$B$18,0)),""))</f>
        <v/>
      </c>
      <c r="I1634" s="80">
        <f>IF($G1634="","",IFERROR(INDEX(設定!$E$6:$E$18,MATCH($G1634,設定!$B$6:$B$18,0)),""))</f>
        <v/>
      </c>
      <c r="J1634" s="80">
        <f>IFERROR(INDEX(打卡匯入!$C$3:$C$2002,MATCH($C1634&amp;"|"&amp;DAY($A1634),打卡匯入!$E$3:$E$2002,0)),"")</f>
        <v/>
      </c>
      <c r="K1634" s="80">
        <f>IFERROR(INDEX(打卡匯入!$D$3:$D$2002,MATCH($C1634&amp;"|"&amp;DAY($A1634),打卡匯入!$E$3:$E$2002,0)),"")</f>
        <v/>
      </c>
      <c r="L1634" s="81">
        <f>IF(OR($J1634="",$K1634=""),"",IFERROR(INDEX(設定!$F$6:$F$18,MATCH($G1634,設定!$B$6:$B$18,0)),0))</f>
        <v/>
      </c>
      <c r="M1634" s="82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1">
        <f>IF(OR($C1634="",$H1634="",$J1634=""),0,IF(ROUND(($J1634-$H1634)*1440,0)&gt;設定!$C$42,ROUND(($J1634-$H1634)*1440,0),0))</f>
        <v/>
      </c>
      <c r="P1634" s="81">
        <f>IF(OR($C1634="",$I1634="",$K1634=""),0,IF(ROUND(($I1634-$K1634)*1440,0)&gt;設定!$C$42,ROUND(($I1634-$K1634)*1440,0),0))</f>
        <v/>
      </c>
      <c r="Q1634" s="82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79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0">
        <f>IF($G1635="","",IFERROR(INDEX(設定!$D$6:$D$18,MATCH($G1635,設定!$B$6:$B$18,0)),""))</f>
        <v/>
      </c>
      <c r="I1635" s="80">
        <f>IF($G1635="","",IFERROR(INDEX(設定!$E$6:$E$18,MATCH($G1635,設定!$B$6:$B$18,0)),""))</f>
        <v/>
      </c>
      <c r="J1635" s="80">
        <f>IFERROR(INDEX(打卡匯入!$C$3:$C$2002,MATCH($C1635&amp;"|"&amp;DAY($A1635),打卡匯入!$E$3:$E$2002,0)),"")</f>
        <v/>
      </c>
      <c r="K1635" s="80">
        <f>IFERROR(INDEX(打卡匯入!$D$3:$D$2002,MATCH($C1635&amp;"|"&amp;DAY($A1635),打卡匯入!$E$3:$E$2002,0)),"")</f>
        <v/>
      </c>
      <c r="L1635" s="81">
        <f>IF(OR($J1635="",$K1635=""),"",IFERROR(INDEX(設定!$F$6:$F$18,MATCH($G1635,設定!$B$6:$B$18,0)),0))</f>
        <v/>
      </c>
      <c r="M1635" s="82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1">
        <f>IF(OR($C1635="",$H1635="",$J1635=""),0,IF(ROUND(($J1635-$H1635)*1440,0)&gt;設定!$C$42,ROUND(($J1635-$H1635)*1440,0),0))</f>
        <v/>
      </c>
      <c r="P1635" s="81">
        <f>IF(OR($C1635="",$I1635="",$K1635=""),0,IF(ROUND(($I1635-$K1635)*1440,0)&gt;設定!$C$42,ROUND(($I1635-$K1635)*1440,0),0))</f>
        <v/>
      </c>
      <c r="Q1635" s="82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79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0">
        <f>IF($G1636="","",IFERROR(INDEX(設定!$D$6:$D$18,MATCH($G1636,設定!$B$6:$B$18,0)),""))</f>
        <v/>
      </c>
      <c r="I1636" s="80">
        <f>IF($G1636="","",IFERROR(INDEX(設定!$E$6:$E$18,MATCH($G1636,設定!$B$6:$B$18,0)),""))</f>
        <v/>
      </c>
      <c r="J1636" s="80">
        <f>IFERROR(INDEX(打卡匯入!$C$3:$C$2002,MATCH($C1636&amp;"|"&amp;DAY($A1636),打卡匯入!$E$3:$E$2002,0)),"")</f>
        <v/>
      </c>
      <c r="K1636" s="80">
        <f>IFERROR(INDEX(打卡匯入!$D$3:$D$2002,MATCH($C1636&amp;"|"&amp;DAY($A1636),打卡匯入!$E$3:$E$2002,0)),"")</f>
        <v/>
      </c>
      <c r="L1636" s="81">
        <f>IF(OR($J1636="",$K1636=""),"",IFERROR(INDEX(設定!$F$6:$F$18,MATCH($G1636,設定!$B$6:$B$18,0)),0))</f>
        <v/>
      </c>
      <c r="M1636" s="82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1">
        <f>IF(OR($C1636="",$H1636="",$J1636=""),0,IF(ROUND(($J1636-$H1636)*1440,0)&gt;設定!$C$42,ROUND(($J1636-$H1636)*1440,0),0))</f>
        <v/>
      </c>
      <c r="P1636" s="81">
        <f>IF(OR($C1636="",$I1636="",$K1636=""),0,IF(ROUND(($I1636-$K1636)*1440,0)&gt;設定!$C$42,ROUND(($I1636-$K1636)*1440,0),0))</f>
        <v/>
      </c>
      <c r="Q1636" s="82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79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0">
        <f>IF($G1637="","",IFERROR(INDEX(設定!$D$6:$D$18,MATCH($G1637,設定!$B$6:$B$18,0)),""))</f>
        <v/>
      </c>
      <c r="I1637" s="80">
        <f>IF($G1637="","",IFERROR(INDEX(設定!$E$6:$E$18,MATCH($G1637,設定!$B$6:$B$18,0)),""))</f>
        <v/>
      </c>
      <c r="J1637" s="80">
        <f>IFERROR(INDEX(打卡匯入!$C$3:$C$2002,MATCH($C1637&amp;"|"&amp;DAY($A1637),打卡匯入!$E$3:$E$2002,0)),"")</f>
        <v/>
      </c>
      <c r="K1637" s="80">
        <f>IFERROR(INDEX(打卡匯入!$D$3:$D$2002,MATCH($C1637&amp;"|"&amp;DAY($A1637),打卡匯入!$E$3:$E$2002,0)),"")</f>
        <v/>
      </c>
      <c r="L1637" s="81">
        <f>IF(OR($J1637="",$K1637=""),"",IFERROR(INDEX(設定!$F$6:$F$18,MATCH($G1637,設定!$B$6:$B$18,0)),0))</f>
        <v/>
      </c>
      <c r="M1637" s="82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1">
        <f>IF(OR($C1637="",$H1637="",$J1637=""),0,IF(ROUND(($J1637-$H1637)*1440,0)&gt;設定!$C$42,ROUND(($J1637-$H1637)*1440,0),0))</f>
        <v/>
      </c>
      <c r="P1637" s="81">
        <f>IF(OR($C1637="",$I1637="",$K1637=""),0,IF(ROUND(($I1637-$K1637)*1440,0)&gt;設定!$C$42,ROUND(($I1637-$K1637)*1440,0),0))</f>
        <v/>
      </c>
      <c r="Q1637" s="82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79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0">
        <f>IF($G1638="","",IFERROR(INDEX(設定!$D$6:$D$18,MATCH($G1638,設定!$B$6:$B$18,0)),""))</f>
        <v/>
      </c>
      <c r="I1638" s="80">
        <f>IF($G1638="","",IFERROR(INDEX(設定!$E$6:$E$18,MATCH($G1638,設定!$B$6:$B$18,0)),""))</f>
        <v/>
      </c>
      <c r="J1638" s="80">
        <f>IFERROR(INDEX(打卡匯入!$C$3:$C$2002,MATCH($C1638&amp;"|"&amp;DAY($A1638),打卡匯入!$E$3:$E$2002,0)),"")</f>
        <v/>
      </c>
      <c r="K1638" s="80">
        <f>IFERROR(INDEX(打卡匯入!$D$3:$D$2002,MATCH($C1638&amp;"|"&amp;DAY($A1638),打卡匯入!$E$3:$E$2002,0)),"")</f>
        <v/>
      </c>
      <c r="L1638" s="81">
        <f>IF(OR($J1638="",$K1638=""),"",IFERROR(INDEX(設定!$F$6:$F$18,MATCH($G1638,設定!$B$6:$B$18,0)),0))</f>
        <v/>
      </c>
      <c r="M1638" s="82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1">
        <f>IF(OR($C1638="",$H1638="",$J1638=""),0,IF(ROUND(($J1638-$H1638)*1440,0)&gt;設定!$C$42,ROUND(($J1638-$H1638)*1440,0),0))</f>
        <v/>
      </c>
      <c r="P1638" s="81">
        <f>IF(OR($C1638="",$I1638="",$K1638=""),0,IF(ROUND(($I1638-$K1638)*1440,0)&gt;設定!$C$42,ROUND(($I1638-$K1638)*1440,0),0))</f>
        <v/>
      </c>
      <c r="Q1638" s="82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79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0">
        <f>IF($G1639="","",IFERROR(INDEX(設定!$D$6:$D$18,MATCH($G1639,設定!$B$6:$B$18,0)),""))</f>
        <v/>
      </c>
      <c r="I1639" s="80">
        <f>IF($G1639="","",IFERROR(INDEX(設定!$E$6:$E$18,MATCH($G1639,設定!$B$6:$B$18,0)),""))</f>
        <v/>
      </c>
      <c r="J1639" s="80">
        <f>IFERROR(INDEX(打卡匯入!$C$3:$C$2002,MATCH($C1639&amp;"|"&amp;DAY($A1639),打卡匯入!$E$3:$E$2002,0)),"")</f>
        <v/>
      </c>
      <c r="K1639" s="80">
        <f>IFERROR(INDEX(打卡匯入!$D$3:$D$2002,MATCH($C1639&amp;"|"&amp;DAY($A1639),打卡匯入!$E$3:$E$2002,0)),"")</f>
        <v/>
      </c>
      <c r="L1639" s="81">
        <f>IF(OR($J1639="",$K1639=""),"",IFERROR(INDEX(設定!$F$6:$F$18,MATCH($G1639,設定!$B$6:$B$18,0)),0))</f>
        <v/>
      </c>
      <c r="M1639" s="82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1">
        <f>IF(OR($C1639="",$H1639="",$J1639=""),0,IF(ROUND(($J1639-$H1639)*1440,0)&gt;設定!$C$42,ROUND(($J1639-$H1639)*1440,0),0))</f>
        <v/>
      </c>
      <c r="P1639" s="81">
        <f>IF(OR($C1639="",$I1639="",$K1639=""),0,IF(ROUND(($I1639-$K1639)*1440,0)&gt;設定!$C$42,ROUND(($I1639-$K1639)*1440,0),0))</f>
        <v/>
      </c>
      <c r="Q1639" s="82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79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0">
        <f>IF($G1640="","",IFERROR(INDEX(設定!$D$6:$D$18,MATCH($G1640,設定!$B$6:$B$18,0)),""))</f>
        <v/>
      </c>
      <c r="I1640" s="80">
        <f>IF($G1640="","",IFERROR(INDEX(設定!$E$6:$E$18,MATCH($G1640,設定!$B$6:$B$18,0)),""))</f>
        <v/>
      </c>
      <c r="J1640" s="80">
        <f>IFERROR(INDEX(打卡匯入!$C$3:$C$2002,MATCH($C1640&amp;"|"&amp;DAY($A1640),打卡匯入!$E$3:$E$2002,0)),"")</f>
        <v/>
      </c>
      <c r="K1640" s="80">
        <f>IFERROR(INDEX(打卡匯入!$D$3:$D$2002,MATCH($C1640&amp;"|"&amp;DAY($A1640),打卡匯入!$E$3:$E$2002,0)),"")</f>
        <v/>
      </c>
      <c r="L1640" s="81">
        <f>IF(OR($J1640="",$K1640=""),"",IFERROR(INDEX(設定!$F$6:$F$18,MATCH($G1640,設定!$B$6:$B$18,0)),0))</f>
        <v/>
      </c>
      <c r="M1640" s="82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1">
        <f>IF(OR($C1640="",$H1640="",$J1640=""),0,IF(ROUND(($J1640-$H1640)*1440,0)&gt;設定!$C$42,ROUND(($J1640-$H1640)*1440,0),0))</f>
        <v/>
      </c>
      <c r="P1640" s="81">
        <f>IF(OR($C1640="",$I1640="",$K1640=""),0,IF(ROUND(($I1640-$K1640)*1440,0)&gt;設定!$C$42,ROUND(($I1640-$K1640)*1440,0),0))</f>
        <v/>
      </c>
      <c r="Q1640" s="82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79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0">
        <f>IF($G1641="","",IFERROR(INDEX(設定!$D$6:$D$18,MATCH($G1641,設定!$B$6:$B$18,0)),""))</f>
        <v/>
      </c>
      <c r="I1641" s="80">
        <f>IF($G1641="","",IFERROR(INDEX(設定!$E$6:$E$18,MATCH($G1641,設定!$B$6:$B$18,0)),""))</f>
        <v/>
      </c>
      <c r="J1641" s="80">
        <f>IFERROR(INDEX(打卡匯入!$C$3:$C$2002,MATCH($C1641&amp;"|"&amp;DAY($A1641),打卡匯入!$E$3:$E$2002,0)),"")</f>
        <v/>
      </c>
      <c r="K1641" s="80">
        <f>IFERROR(INDEX(打卡匯入!$D$3:$D$2002,MATCH($C1641&amp;"|"&amp;DAY($A1641),打卡匯入!$E$3:$E$2002,0)),"")</f>
        <v/>
      </c>
      <c r="L1641" s="81">
        <f>IF(OR($J1641="",$K1641=""),"",IFERROR(INDEX(設定!$F$6:$F$18,MATCH($G1641,設定!$B$6:$B$18,0)),0))</f>
        <v/>
      </c>
      <c r="M1641" s="82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1">
        <f>IF(OR($C1641="",$H1641="",$J1641=""),0,IF(ROUND(($J1641-$H1641)*1440,0)&gt;設定!$C$42,ROUND(($J1641-$H1641)*1440,0),0))</f>
        <v/>
      </c>
      <c r="P1641" s="81">
        <f>IF(OR($C1641="",$I1641="",$K1641=""),0,IF(ROUND(($I1641-$K1641)*1440,0)&gt;設定!$C$42,ROUND(($I1641-$K1641)*1440,0),0))</f>
        <v/>
      </c>
      <c r="Q1641" s="82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79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0">
        <f>IF($G1642="","",IFERROR(INDEX(設定!$D$6:$D$18,MATCH($G1642,設定!$B$6:$B$18,0)),""))</f>
        <v/>
      </c>
      <c r="I1642" s="80">
        <f>IF($G1642="","",IFERROR(INDEX(設定!$E$6:$E$18,MATCH($G1642,設定!$B$6:$B$18,0)),""))</f>
        <v/>
      </c>
      <c r="J1642" s="80">
        <f>IFERROR(INDEX(打卡匯入!$C$3:$C$2002,MATCH($C1642&amp;"|"&amp;DAY($A1642),打卡匯入!$E$3:$E$2002,0)),"")</f>
        <v/>
      </c>
      <c r="K1642" s="80">
        <f>IFERROR(INDEX(打卡匯入!$D$3:$D$2002,MATCH($C1642&amp;"|"&amp;DAY($A1642),打卡匯入!$E$3:$E$2002,0)),"")</f>
        <v/>
      </c>
      <c r="L1642" s="81">
        <f>IF(OR($J1642="",$K1642=""),"",IFERROR(INDEX(設定!$F$6:$F$18,MATCH($G1642,設定!$B$6:$B$18,0)),0))</f>
        <v/>
      </c>
      <c r="M1642" s="82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1">
        <f>IF(OR($C1642="",$H1642="",$J1642=""),0,IF(ROUND(($J1642-$H1642)*1440,0)&gt;設定!$C$42,ROUND(($J1642-$H1642)*1440,0),0))</f>
        <v/>
      </c>
      <c r="P1642" s="81">
        <f>IF(OR($C1642="",$I1642="",$K1642=""),0,IF(ROUND(($I1642-$K1642)*1440,0)&gt;設定!$C$42,ROUND(($I1642-$K1642)*1440,0),0))</f>
        <v/>
      </c>
      <c r="Q1642" s="82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79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0">
        <f>IF($G1643="","",IFERROR(INDEX(設定!$D$6:$D$18,MATCH($G1643,設定!$B$6:$B$18,0)),""))</f>
        <v/>
      </c>
      <c r="I1643" s="80">
        <f>IF($G1643="","",IFERROR(INDEX(設定!$E$6:$E$18,MATCH($G1643,設定!$B$6:$B$18,0)),""))</f>
        <v/>
      </c>
      <c r="J1643" s="80">
        <f>IFERROR(INDEX(打卡匯入!$C$3:$C$2002,MATCH($C1643&amp;"|"&amp;DAY($A1643),打卡匯入!$E$3:$E$2002,0)),"")</f>
        <v/>
      </c>
      <c r="K1643" s="80">
        <f>IFERROR(INDEX(打卡匯入!$D$3:$D$2002,MATCH($C1643&amp;"|"&amp;DAY($A1643),打卡匯入!$E$3:$E$2002,0)),"")</f>
        <v/>
      </c>
      <c r="L1643" s="81">
        <f>IF(OR($J1643="",$K1643=""),"",IFERROR(INDEX(設定!$F$6:$F$18,MATCH($G1643,設定!$B$6:$B$18,0)),0))</f>
        <v/>
      </c>
      <c r="M1643" s="82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1">
        <f>IF(OR($C1643="",$H1643="",$J1643=""),0,IF(ROUND(($J1643-$H1643)*1440,0)&gt;設定!$C$42,ROUND(($J1643-$H1643)*1440,0),0))</f>
        <v/>
      </c>
      <c r="P1643" s="81">
        <f>IF(OR($C1643="",$I1643="",$K1643=""),0,IF(ROUND(($I1643-$K1643)*1440,0)&gt;設定!$C$42,ROUND(($I1643-$K1643)*1440,0),0))</f>
        <v/>
      </c>
      <c r="Q1643" s="82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79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0">
        <f>IF($G1644="","",IFERROR(INDEX(設定!$D$6:$D$18,MATCH($G1644,設定!$B$6:$B$18,0)),""))</f>
        <v/>
      </c>
      <c r="I1644" s="80">
        <f>IF($G1644="","",IFERROR(INDEX(設定!$E$6:$E$18,MATCH($G1644,設定!$B$6:$B$18,0)),""))</f>
        <v/>
      </c>
      <c r="J1644" s="80">
        <f>IFERROR(INDEX(打卡匯入!$C$3:$C$2002,MATCH($C1644&amp;"|"&amp;DAY($A1644),打卡匯入!$E$3:$E$2002,0)),"")</f>
        <v/>
      </c>
      <c r="K1644" s="80">
        <f>IFERROR(INDEX(打卡匯入!$D$3:$D$2002,MATCH($C1644&amp;"|"&amp;DAY($A1644),打卡匯入!$E$3:$E$2002,0)),"")</f>
        <v/>
      </c>
      <c r="L1644" s="81">
        <f>IF(OR($J1644="",$K1644=""),"",IFERROR(INDEX(設定!$F$6:$F$18,MATCH($G1644,設定!$B$6:$B$18,0)),0))</f>
        <v/>
      </c>
      <c r="M1644" s="82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1">
        <f>IF(OR($C1644="",$H1644="",$J1644=""),0,IF(ROUND(($J1644-$H1644)*1440,0)&gt;設定!$C$42,ROUND(($J1644-$H1644)*1440,0),0))</f>
        <v/>
      </c>
      <c r="P1644" s="81">
        <f>IF(OR($C1644="",$I1644="",$K1644=""),0,IF(ROUND(($I1644-$K1644)*1440,0)&gt;設定!$C$42,ROUND(($I1644-$K1644)*1440,0),0))</f>
        <v/>
      </c>
      <c r="Q1644" s="82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79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0">
        <f>IF($G1645="","",IFERROR(INDEX(設定!$D$6:$D$18,MATCH($G1645,設定!$B$6:$B$18,0)),""))</f>
        <v/>
      </c>
      <c r="I1645" s="80">
        <f>IF($G1645="","",IFERROR(INDEX(設定!$E$6:$E$18,MATCH($G1645,設定!$B$6:$B$18,0)),""))</f>
        <v/>
      </c>
      <c r="J1645" s="80">
        <f>IFERROR(INDEX(打卡匯入!$C$3:$C$2002,MATCH($C1645&amp;"|"&amp;DAY($A1645),打卡匯入!$E$3:$E$2002,0)),"")</f>
        <v/>
      </c>
      <c r="K1645" s="80">
        <f>IFERROR(INDEX(打卡匯入!$D$3:$D$2002,MATCH($C1645&amp;"|"&amp;DAY($A1645),打卡匯入!$E$3:$E$2002,0)),"")</f>
        <v/>
      </c>
      <c r="L1645" s="81">
        <f>IF(OR($J1645="",$K1645=""),"",IFERROR(INDEX(設定!$F$6:$F$18,MATCH($G1645,設定!$B$6:$B$18,0)),0))</f>
        <v/>
      </c>
      <c r="M1645" s="82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1">
        <f>IF(OR($C1645="",$H1645="",$J1645=""),0,IF(ROUND(($J1645-$H1645)*1440,0)&gt;設定!$C$42,ROUND(($J1645-$H1645)*1440,0),0))</f>
        <v/>
      </c>
      <c r="P1645" s="81">
        <f>IF(OR($C1645="",$I1645="",$K1645=""),0,IF(ROUND(($I1645-$K1645)*1440,0)&gt;設定!$C$42,ROUND(($I1645-$K1645)*1440,0),0))</f>
        <v/>
      </c>
      <c r="Q1645" s="82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79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0">
        <f>IF($G1646="","",IFERROR(INDEX(設定!$D$6:$D$18,MATCH($G1646,設定!$B$6:$B$18,0)),""))</f>
        <v/>
      </c>
      <c r="I1646" s="80">
        <f>IF($G1646="","",IFERROR(INDEX(設定!$E$6:$E$18,MATCH($G1646,設定!$B$6:$B$18,0)),""))</f>
        <v/>
      </c>
      <c r="J1646" s="80">
        <f>IFERROR(INDEX(打卡匯入!$C$3:$C$2002,MATCH($C1646&amp;"|"&amp;DAY($A1646),打卡匯入!$E$3:$E$2002,0)),"")</f>
        <v/>
      </c>
      <c r="K1646" s="80">
        <f>IFERROR(INDEX(打卡匯入!$D$3:$D$2002,MATCH($C1646&amp;"|"&amp;DAY($A1646),打卡匯入!$E$3:$E$2002,0)),"")</f>
        <v/>
      </c>
      <c r="L1646" s="81">
        <f>IF(OR($J1646="",$K1646=""),"",IFERROR(INDEX(設定!$F$6:$F$18,MATCH($G1646,設定!$B$6:$B$18,0)),0))</f>
        <v/>
      </c>
      <c r="M1646" s="82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1">
        <f>IF(OR($C1646="",$H1646="",$J1646=""),0,IF(ROUND(($J1646-$H1646)*1440,0)&gt;設定!$C$42,ROUND(($J1646-$H1646)*1440,0),0))</f>
        <v/>
      </c>
      <c r="P1646" s="81">
        <f>IF(OR($C1646="",$I1646="",$K1646=""),0,IF(ROUND(($I1646-$K1646)*1440,0)&gt;設定!$C$42,ROUND(($I1646-$K1646)*1440,0),0))</f>
        <v/>
      </c>
      <c r="Q1646" s="82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79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0">
        <f>IF($G1647="","",IFERROR(INDEX(設定!$D$6:$D$18,MATCH($G1647,設定!$B$6:$B$18,0)),""))</f>
        <v/>
      </c>
      <c r="I1647" s="80">
        <f>IF($G1647="","",IFERROR(INDEX(設定!$E$6:$E$18,MATCH($G1647,設定!$B$6:$B$18,0)),""))</f>
        <v/>
      </c>
      <c r="J1647" s="80">
        <f>IFERROR(INDEX(打卡匯入!$C$3:$C$2002,MATCH($C1647&amp;"|"&amp;DAY($A1647),打卡匯入!$E$3:$E$2002,0)),"")</f>
        <v/>
      </c>
      <c r="K1647" s="80">
        <f>IFERROR(INDEX(打卡匯入!$D$3:$D$2002,MATCH($C1647&amp;"|"&amp;DAY($A1647),打卡匯入!$E$3:$E$2002,0)),"")</f>
        <v/>
      </c>
      <c r="L1647" s="81">
        <f>IF(OR($J1647="",$K1647=""),"",IFERROR(INDEX(設定!$F$6:$F$18,MATCH($G1647,設定!$B$6:$B$18,0)),0))</f>
        <v/>
      </c>
      <c r="M1647" s="82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1">
        <f>IF(OR($C1647="",$H1647="",$J1647=""),0,IF(ROUND(($J1647-$H1647)*1440,0)&gt;設定!$C$42,ROUND(($J1647-$H1647)*1440,0),0))</f>
        <v/>
      </c>
      <c r="P1647" s="81">
        <f>IF(OR($C1647="",$I1647="",$K1647=""),0,IF(ROUND(($I1647-$K1647)*1440,0)&gt;設定!$C$42,ROUND(($I1647-$K1647)*1440,0),0))</f>
        <v/>
      </c>
      <c r="Q1647" s="82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79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0">
        <f>IF($G1648="","",IFERROR(INDEX(設定!$D$6:$D$18,MATCH($G1648,設定!$B$6:$B$18,0)),""))</f>
        <v/>
      </c>
      <c r="I1648" s="80">
        <f>IF($G1648="","",IFERROR(INDEX(設定!$E$6:$E$18,MATCH($G1648,設定!$B$6:$B$18,0)),""))</f>
        <v/>
      </c>
      <c r="J1648" s="80">
        <f>IFERROR(INDEX(打卡匯入!$C$3:$C$2002,MATCH($C1648&amp;"|"&amp;DAY($A1648),打卡匯入!$E$3:$E$2002,0)),"")</f>
        <v/>
      </c>
      <c r="K1648" s="80">
        <f>IFERROR(INDEX(打卡匯入!$D$3:$D$2002,MATCH($C1648&amp;"|"&amp;DAY($A1648),打卡匯入!$E$3:$E$2002,0)),"")</f>
        <v/>
      </c>
      <c r="L1648" s="81">
        <f>IF(OR($J1648="",$K1648=""),"",IFERROR(INDEX(設定!$F$6:$F$18,MATCH($G1648,設定!$B$6:$B$18,0)),0))</f>
        <v/>
      </c>
      <c r="M1648" s="82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1">
        <f>IF(OR($C1648="",$H1648="",$J1648=""),0,IF(ROUND(($J1648-$H1648)*1440,0)&gt;設定!$C$42,ROUND(($J1648-$H1648)*1440,0),0))</f>
        <v/>
      </c>
      <c r="P1648" s="81">
        <f>IF(OR($C1648="",$I1648="",$K1648=""),0,IF(ROUND(($I1648-$K1648)*1440,0)&gt;設定!$C$42,ROUND(($I1648-$K1648)*1440,0),0))</f>
        <v/>
      </c>
      <c r="Q1648" s="82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79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0">
        <f>IF($G1649="","",IFERROR(INDEX(設定!$D$6:$D$18,MATCH($G1649,設定!$B$6:$B$18,0)),""))</f>
        <v/>
      </c>
      <c r="I1649" s="80">
        <f>IF($G1649="","",IFERROR(INDEX(設定!$E$6:$E$18,MATCH($G1649,設定!$B$6:$B$18,0)),""))</f>
        <v/>
      </c>
      <c r="J1649" s="80">
        <f>IFERROR(INDEX(打卡匯入!$C$3:$C$2002,MATCH($C1649&amp;"|"&amp;DAY($A1649),打卡匯入!$E$3:$E$2002,0)),"")</f>
        <v/>
      </c>
      <c r="K1649" s="80">
        <f>IFERROR(INDEX(打卡匯入!$D$3:$D$2002,MATCH($C1649&amp;"|"&amp;DAY($A1649),打卡匯入!$E$3:$E$2002,0)),"")</f>
        <v/>
      </c>
      <c r="L1649" s="81">
        <f>IF(OR($J1649="",$K1649=""),"",IFERROR(INDEX(設定!$F$6:$F$18,MATCH($G1649,設定!$B$6:$B$18,0)),0))</f>
        <v/>
      </c>
      <c r="M1649" s="82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1">
        <f>IF(OR($C1649="",$H1649="",$J1649=""),0,IF(ROUND(($J1649-$H1649)*1440,0)&gt;設定!$C$42,ROUND(($J1649-$H1649)*1440,0),0))</f>
        <v/>
      </c>
      <c r="P1649" s="81">
        <f>IF(OR($C1649="",$I1649="",$K1649=""),0,IF(ROUND(($I1649-$K1649)*1440,0)&gt;設定!$C$42,ROUND(($I1649-$K1649)*1440,0),0))</f>
        <v/>
      </c>
      <c r="Q1649" s="82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79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0">
        <f>IF($G1650="","",IFERROR(INDEX(設定!$D$6:$D$18,MATCH($G1650,設定!$B$6:$B$18,0)),""))</f>
        <v/>
      </c>
      <c r="I1650" s="80">
        <f>IF($G1650="","",IFERROR(INDEX(設定!$E$6:$E$18,MATCH($G1650,設定!$B$6:$B$18,0)),""))</f>
        <v/>
      </c>
      <c r="J1650" s="80">
        <f>IFERROR(INDEX(打卡匯入!$C$3:$C$2002,MATCH($C1650&amp;"|"&amp;DAY($A1650),打卡匯入!$E$3:$E$2002,0)),"")</f>
        <v/>
      </c>
      <c r="K1650" s="80">
        <f>IFERROR(INDEX(打卡匯入!$D$3:$D$2002,MATCH($C1650&amp;"|"&amp;DAY($A1650),打卡匯入!$E$3:$E$2002,0)),"")</f>
        <v/>
      </c>
      <c r="L1650" s="81">
        <f>IF(OR($J1650="",$K1650=""),"",IFERROR(INDEX(設定!$F$6:$F$18,MATCH($G1650,設定!$B$6:$B$18,0)),0))</f>
        <v/>
      </c>
      <c r="M1650" s="82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1">
        <f>IF(OR($C1650="",$H1650="",$J1650=""),0,IF(ROUND(($J1650-$H1650)*1440,0)&gt;設定!$C$42,ROUND(($J1650-$H1650)*1440,0),0))</f>
        <v/>
      </c>
      <c r="P1650" s="81">
        <f>IF(OR($C1650="",$I1650="",$K1650=""),0,IF(ROUND(($I1650-$K1650)*1440,0)&gt;設定!$C$42,ROUND(($I1650-$K1650)*1440,0),0))</f>
        <v/>
      </c>
      <c r="Q1650" s="82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79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0">
        <f>IF($G1651="","",IFERROR(INDEX(設定!$D$6:$D$18,MATCH($G1651,設定!$B$6:$B$18,0)),""))</f>
        <v/>
      </c>
      <c r="I1651" s="80">
        <f>IF($G1651="","",IFERROR(INDEX(設定!$E$6:$E$18,MATCH($G1651,設定!$B$6:$B$18,0)),""))</f>
        <v/>
      </c>
      <c r="J1651" s="80">
        <f>IFERROR(INDEX(打卡匯入!$C$3:$C$2002,MATCH($C1651&amp;"|"&amp;DAY($A1651),打卡匯入!$E$3:$E$2002,0)),"")</f>
        <v/>
      </c>
      <c r="K1651" s="80">
        <f>IFERROR(INDEX(打卡匯入!$D$3:$D$2002,MATCH($C1651&amp;"|"&amp;DAY($A1651),打卡匯入!$E$3:$E$2002,0)),"")</f>
        <v/>
      </c>
      <c r="L1651" s="81">
        <f>IF(OR($J1651="",$K1651=""),"",IFERROR(INDEX(設定!$F$6:$F$18,MATCH($G1651,設定!$B$6:$B$18,0)),0))</f>
        <v/>
      </c>
      <c r="M1651" s="82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1">
        <f>IF(OR($C1651="",$H1651="",$J1651=""),0,IF(ROUND(($J1651-$H1651)*1440,0)&gt;設定!$C$42,ROUND(($J1651-$H1651)*1440,0),0))</f>
        <v/>
      </c>
      <c r="P1651" s="81">
        <f>IF(OR($C1651="",$I1651="",$K1651=""),0,IF(ROUND(($I1651-$K1651)*1440,0)&gt;設定!$C$42,ROUND(($I1651-$K1651)*1440,0),0))</f>
        <v/>
      </c>
      <c r="Q1651" s="82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79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0">
        <f>IF($G1652="","",IFERROR(INDEX(設定!$D$6:$D$18,MATCH($G1652,設定!$B$6:$B$18,0)),""))</f>
        <v/>
      </c>
      <c r="I1652" s="80">
        <f>IF($G1652="","",IFERROR(INDEX(設定!$E$6:$E$18,MATCH($G1652,設定!$B$6:$B$18,0)),""))</f>
        <v/>
      </c>
      <c r="J1652" s="80">
        <f>IFERROR(INDEX(打卡匯入!$C$3:$C$2002,MATCH($C1652&amp;"|"&amp;DAY($A1652),打卡匯入!$E$3:$E$2002,0)),"")</f>
        <v/>
      </c>
      <c r="K1652" s="80">
        <f>IFERROR(INDEX(打卡匯入!$D$3:$D$2002,MATCH($C1652&amp;"|"&amp;DAY($A1652),打卡匯入!$E$3:$E$2002,0)),"")</f>
        <v/>
      </c>
      <c r="L1652" s="81">
        <f>IF(OR($J1652="",$K1652=""),"",IFERROR(INDEX(設定!$F$6:$F$18,MATCH($G1652,設定!$B$6:$B$18,0)),0))</f>
        <v/>
      </c>
      <c r="M1652" s="82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1">
        <f>IF(OR($C1652="",$H1652="",$J1652=""),0,IF(ROUND(($J1652-$H1652)*1440,0)&gt;設定!$C$42,ROUND(($J1652-$H1652)*1440,0),0))</f>
        <v/>
      </c>
      <c r="P1652" s="81">
        <f>IF(OR($C1652="",$I1652="",$K1652=""),0,IF(ROUND(($I1652-$K1652)*1440,0)&gt;設定!$C$42,ROUND(($I1652-$K1652)*1440,0),0))</f>
        <v/>
      </c>
      <c r="Q1652" s="82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79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0">
        <f>IF($G1653="","",IFERROR(INDEX(設定!$D$6:$D$18,MATCH($G1653,設定!$B$6:$B$18,0)),""))</f>
        <v/>
      </c>
      <c r="I1653" s="80">
        <f>IF($G1653="","",IFERROR(INDEX(設定!$E$6:$E$18,MATCH($G1653,設定!$B$6:$B$18,0)),""))</f>
        <v/>
      </c>
      <c r="J1653" s="80">
        <f>IFERROR(INDEX(打卡匯入!$C$3:$C$2002,MATCH($C1653&amp;"|"&amp;DAY($A1653),打卡匯入!$E$3:$E$2002,0)),"")</f>
        <v/>
      </c>
      <c r="K1653" s="80">
        <f>IFERROR(INDEX(打卡匯入!$D$3:$D$2002,MATCH($C1653&amp;"|"&amp;DAY($A1653),打卡匯入!$E$3:$E$2002,0)),"")</f>
        <v/>
      </c>
      <c r="L1653" s="81">
        <f>IF(OR($J1653="",$K1653=""),"",IFERROR(INDEX(設定!$F$6:$F$18,MATCH($G1653,設定!$B$6:$B$18,0)),0))</f>
        <v/>
      </c>
      <c r="M1653" s="82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1">
        <f>IF(OR($C1653="",$H1653="",$J1653=""),0,IF(ROUND(($J1653-$H1653)*1440,0)&gt;設定!$C$42,ROUND(($J1653-$H1653)*1440,0),0))</f>
        <v/>
      </c>
      <c r="P1653" s="81">
        <f>IF(OR($C1653="",$I1653="",$K1653=""),0,IF(ROUND(($I1653-$K1653)*1440,0)&gt;設定!$C$42,ROUND(($I1653-$K1653)*1440,0),0))</f>
        <v/>
      </c>
      <c r="Q1653" s="82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79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0">
        <f>IF($G1654="","",IFERROR(INDEX(設定!$D$6:$D$18,MATCH($G1654,設定!$B$6:$B$18,0)),""))</f>
        <v/>
      </c>
      <c r="I1654" s="80">
        <f>IF($G1654="","",IFERROR(INDEX(設定!$E$6:$E$18,MATCH($G1654,設定!$B$6:$B$18,0)),""))</f>
        <v/>
      </c>
      <c r="J1654" s="80">
        <f>IFERROR(INDEX(打卡匯入!$C$3:$C$2002,MATCH($C1654&amp;"|"&amp;DAY($A1654),打卡匯入!$E$3:$E$2002,0)),"")</f>
        <v/>
      </c>
      <c r="K1654" s="80">
        <f>IFERROR(INDEX(打卡匯入!$D$3:$D$2002,MATCH($C1654&amp;"|"&amp;DAY($A1654),打卡匯入!$E$3:$E$2002,0)),"")</f>
        <v/>
      </c>
      <c r="L1654" s="81">
        <f>IF(OR($J1654="",$K1654=""),"",IFERROR(INDEX(設定!$F$6:$F$18,MATCH($G1654,設定!$B$6:$B$18,0)),0))</f>
        <v/>
      </c>
      <c r="M1654" s="82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1">
        <f>IF(OR($C1654="",$H1654="",$J1654=""),0,IF(ROUND(($J1654-$H1654)*1440,0)&gt;設定!$C$42,ROUND(($J1654-$H1654)*1440,0),0))</f>
        <v/>
      </c>
      <c r="P1654" s="81">
        <f>IF(OR($C1654="",$I1654="",$K1654=""),0,IF(ROUND(($I1654-$K1654)*1440,0)&gt;設定!$C$42,ROUND(($I1654-$K1654)*1440,0),0))</f>
        <v/>
      </c>
      <c r="Q1654" s="82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79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0">
        <f>IF($G1655="","",IFERROR(INDEX(設定!$D$6:$D$18,MATCH($G1655,設定!$B$6:$B$18,0)),""))</f>
        <v/>
      </c>
      <c r="I1655" s="80">
        <f>IF($G1655="","",IFERROR(INDEX(設定!$E$6:$E$18,MATCH($G1655,設定!$B$6:$B$18,0)),""))</f>
        <v/>
      </c>
      <c r="J1655" s="80">
        <f>IFERROR(INDEX(打卡匯入!$C$3:$C$2002,MATCH($C1655&amp;"|"&amp;DAY($A1655),打卡匯入!$E$3:$E$2002,0)),"")</f>
        <v/>
      </c>
      <c r="K1655" s="80">
        <f>IFERROR(INDEX(打卡匯入!$D$3:$D$2002,MATCH($C1655&amp;"|"&amp;DAY($A1655),打卡匯入!$E$3:$E$2002,0)),"")</f>
        <v/>
      </c>
      <c r="L1655" s="81">
        <f>IF(OR($J1655="",$K1655=""),"",IFERROR(INDEX(設定!$F$6:$F$18,MATCH($G1655,設定!$B$6:$B$18,0)),0))</f>
        <v/>
      </c>
      <c r="M1655" s="82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1">
        <f>IF(OR($C1655="",$H1655="",$J1655=""),0,IF(ROUND(($J1655-$H1655)*1440,0)&gt;設定!$C$42,ROUND(($J1655-$H1655)*1440,0),0))</f>
        <v/>
      </c>
      <c r="P1655" s="81">
        <f>IF(OR($C1655="",$I1655="",$K1655=""),0,IF(ROUND(($I1655-$K1655)*1440,0)&gt;設定!$C$42,ROUND(($I1655-$K1655)*1440,0),0))</f>
        <v/>
      </c>
      <c r="Q1655" s="82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79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0">
        <f>IF($G1656="","",IFERROR(INDEX(設定!$D$6:$D$18,MATCH($G1656,設定!$B$6:$B$18,0)),""))</f>
        <v/>
      </c>
      <c r="I1656" s="80">
        <f>IF($G1656="","",IFERROR(INDEX(設定!$E$6:$E$18,MATCH($G1656,設定!$B$6:$B$18,0)),""))</f>
        <v/>
      </c>
      <c r="J1656" s="80">
        <f>IFERROR(INDEX(打卡匯入!$C$3:$C$2002,MATCH($C1656&amp;"|"&amp;DAY($A1656),打卡匯入!$E$3:$E$2002,0)),"")</f>
        <v/>
      </c>
      <c r="K1656" s="80">
        <f>IFERROR(INDEX(打卡匯入!$D$3:$D$2002,MATCH($C1656&amp;"|"&amp;DAY($A1656),打卡匯入!$E$3:$E$2002,0)),"")</f>
        <v/>
      </c>
      <c r="L1656" s="81">
        <f>IF(OR($J1656="",$K1656=""),"",IFERROR(INDEX(設定!$F$6:$F$18,MATCH($G1656,設定!$B$6:$B$18,0)),0))</f>
        <v/>
      </c>
      <c r="M1656" s="82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1">
        <f>IF(OR($C1656="",$H1656="",$J1656=""),0,IF(ROUND(($J1656-$H1656)*1440,0)&gt;設定!$C$42,ROUND(($J1656-$H1656)*1440,0),0))</f>
        <v/>
      </c>
      <c r="P1656" s="81">
        <f>IF(OR($C1656="",$I1656="",$K1656=""),0,IF(ROUND(($I1656-$K1656)*1440,0)&gt;設定!$C$42,ROUND(($I1656-$K1656)*1440,0),0))</f>
        <v/>
      </c>
      <c r="Q1656" s="82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79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0">
        <f>IF($G1657="","",IFERROR(INDEX(設定!$D$6:$D$18,MATCH($G1657,設定!$B$6:$B$18,0)),""))</f>
        <v/>
      </c>
      <c r="I1657" s="80">
        <f>IF($G1657="","",IFERROR(INDEX(設定!$E$6:$E$18,MATCH($G1657,設定!$B$6:$B$18,0)),""))</f>
        <v/>
      </c>
      <c r="J1657" s="80">
        <f>IFERROR(INDEX(打卡匯入!$C$3:$C$2002,MATCH($C1657&amp;"|"&amp;DAY($A1657),打卡匯入!$E$3:$E$2002,0)),"")</f>
        <v/>
      </c>
      <c r="K1657" s="80">
        <f>IFERROR(INDEX(打卡匯入!$D$3:$D$2002,MATCH($C1657&amp;"|"&amp;DAY($A1657),打卡匯入!$E$3:$E$2002,0)),"")</f>
        <v/>
      </c>
      <c r="L1657" s="81">
        <f>IF(OR($J1657="",$K1657=""),"",IFERROR(INDEX(設定!$F$6:$F$18,MATCH($G1657,設定!$B$6:$B$18,0)),0))</f>
        <v/>
      </c>
      <c r="M1657" s="82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1">
        <f>IF(OR($C1657="",$H1657="",$J1657=""),0,IF(ROUND(($J1657-$H1657)*1440,0)&gt;設定!$C$42,ROUND(($J1657-$H1657)*1440,0),0))</f>
        <v/>
      </c>
      <c r="P1657" s="81">
        <f>IF(OR($C1657="",$I1657="",$K1657=""),0,IF(ROUND(($I1657-$K1657)*1440,0)&gt;設定!$C$42,ROUND(($I1657-$K1657)*1440,0),0))</f>
        <v/>
      </c>
      <c r="Q1657" s="82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79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0">
        <f>IF($G1658="","",IFERROR(INDEX(設定!$D$6:$D$18,MATCH($G1658,設定!$B$6:$B$18,0)),""))</f>
        <v/>
      </c>
      <c r="I1658" s="80">
        <f>IF($G1658="","",IFERROR(INDEX(設定!$E$6:$E$18,MATCH($G1658,設定!$B$6:$B$18,0)),""))</f>
        <v/>
      </c>
      <c r="J1658" s="80">
        <f>IFERROR(INDEX(打卡匯入!$C$3:$C$2002,MATCH($C1658&amp;"|"&amp;DAY($A1658),打卡匯入!$E$3:$E$2002,0)),"")</f>
        <v/>
      </c>
      <c r="K1658" s="80">
        <f>IFERROR(INDEX(打卡匯入!$D$3:$D$2002,MATCH($C1658&amp;"|"&amp;DAY($A1658),打卡匯入!$E$3:$E$2002,0)),"")</f>
        <v/>
      </c>
      <c r="L1658" s="81">
        <f>IF(OR($J1658="",$K1658=""),"",IFERROR(INDEX(設定!$F$6:$F$18,MATCH($G1658,設定!$B$6:$B$18,0)),0))</f>
        <v/>
      </c>
      <c r="M1658" s="82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1">
        <f>IF(OR($C1658="",$H1658="",$J1658=""),0,IF(ROUND(($J1658-$H1658)*1440,0)&gt;設定!$C$42,ROUND(($J1658-$H1658)*1440,0),0))</f>
        <v/>
      </c>
      <c r="P1658" s="81">
        <f>IF(OR($C1658="",$I1658="",$K1658=""),0,IF(ROUND(($I1658-$K1658)*1440,0)&gt;設定!$C$42,ROUND(($I1658-$K1658)*1440,0),0))</f>
        <v/>
      </c>
      <c r="Q1658" s="82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79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0">
        <f>IF($G1659="","",IFERROR(INDEX(設定!$D$6:$D$18,MATCH($G1659,設定!$B$6:$B$18,0)),""))</f>
        <v/>
      </c>
      <c r="I1659" s="80">
        <f>IF($G1659="","",IFERROR(INDEX(設定!$E$6:$E$18,MATCH($G1659,設定!$B$6:$B$18,0)),""))</f>
        <v/>
      </c>
      <c r="J1659" s="80">
        <f>IFERROR(INDEX(打卡匯入!$C$3:$C$2002,MATCH($C1659&amp;"|"&amp;DAY($A1659),打卡匯入!$E$3:$E$2002,0)),"")</f>
        <v/>
      </c>
      <c r="K1659" s="80">
        <f>IFERROR(INDEX(打卡匯入!$D$3:$D$2002,MATCH($C1659&amp;"|"&amp;DAY($A1659),打卡匯入!$E$3:$E$2002,0)),"")</f>
        <v/>
      </c>
      <c r="L1659" s="81">
        <f>IF(OR($J1659="",$K1659=""),"",IFERROR(INDEX(設定!$F$6:$F$18,MATCH($G1659,設定!$B$6:$B$18,0)),0))</f>
        <v/>
      </c>
      <c r="M1659" s="82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1">
        <f>IF(OR($C1659="",$H1659="",$J1659=""),0,IF(ROUND(($J1659-$H1659)*1440,0)&gt;設定!$C$42,ROUND(($J1659-$H1659)*1440,0),0))</f>
        <v/>
      </c>
      <c r="P1659" s="81">
        <f>IF(OR($C1659="",$I1659="",$K1659=""),0,IF(ROUND(($I1659-$K1659)*1440,0)&gt;設定!$C$42,ROUND(($I1659-$K1659)*1440,0),0))</f>
        <v/>
      </c>
      <c r="Q1659" s="82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79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0">
        <f>IF($G1660="","",IFERROR(INDEX(設定!$D$6:$D$18,MATCH($G1660,設定!$B$6:$B$18,0)),""))</f>
        <v/>
      </c>
      <c r="I1660" s="80">
        <f>IF($G1660="","",IFERROR(INDEX(設定!$E$6:$E$18,MATCH($G1660,設定!$B$6:$B$18,0)),""))</f>
        <v/>
      </c>
      <c r="J1660" s="80">
        <f>IFERROR(INDEX(打卡匯入!$C$3:$C$2002,MATCH($C1660&amp;"|"&amp;DAY($A1660),打卡匯入!$E$3:$E$2002,0)),"")</f>
        <v/>
      </c>
      <c r="K1660" s="80">
        <f>IFERROR(INDEX(打卡匯入!$D$3:$D$2002,MATCH($C1660&amp;"|"&amp;DAY($A1660),打卡匯入!$E$3:$E$2002,0)),"")</f>
        <v/>
      </c>
      <c r="L1660" s="81">
        <f>IF(OR($J1660="",$K1660=""),"",IFERROR(INDEX(設定!$F$6:$F$18,MATCH($G1660,設定!$B$6:$B$18,0)),0))</f>
        <v/>
      </c>
      <c r="M1660" s="82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1">
        <f>IF(OR($C1660="",$H1660="",$J1660=""),0,IF(ROUND(($J1660-$H1660)*1440,0)&gt;設定!$C$42,ROUND(($J1660-$H1660)*1440,0),0))</f>
        <v/>
      </c>
      <c r="P1660" s="81">
        <f>IF(OR($C1660="",$I1660="",$K1660=""),0,IF(ROUND(($I1660-$K1660)*1440,0)&gt;設定!$C$42,ROUND(($I1660-$K1660)*1440,0),0))</f>
        <v/>
      </c>
      <c r="Q1660" s="82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79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0">
        <f>IF($G1661="","",IFERROR(INDEX(設定!$D$6:$D$18,MATCH($G1661,設定!$B$6:$B$18,0)),""))</f>
        <v/>
      </c>
      <c r="I1661" s="80">
        <f>IF($G1661="","",IFERROR(INDEX(設定!$E$6:$E$18,MATCH($G1661,設定!$B$6:$B$18,0)),""))</f>
        <v/>
      </c>
      <c r="J1661" s="80">
        <f>IFERROR(INDEX(打卡匯入!$C$3:$C$2002,MATCH($C1661&amp;"|"&amp;DAY($A1661),打卡匯入!$E$3:$E$2002,0)),"")</f>
        <v/>
      </c>
      <c r="K1661" s="80">
        <f>IFERROR(INDEX(打卡匯入!$D$3:$D$2002,MATCH($C1661&amp;"|"&amp;DAY($A1661),打卡匯入!$E$3:$E$2002,0)),"")</f>
        <v/>
      </c>
      <c r="L1661" s="81">
        <f>IF(OR($J1661="",$K1661=""),"",IFERROR(INDEX(設定!$F$6:$F$18,MATCH($G1661,設定!$B$6:$B$18,0)),0))</f>
        <v/>
      </c>
      <c r="M1661" s="82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1">
        <f>IF(OR($C1661="",$H1661="",$J1661=""),0,IF(ROUND(($J1661-$H1661)*1440,0)&gt;設定!$C$42,ROUND(($J1661-$H1661)*1440,0),0))</f>
        <v/>
      </c>
      <c r="P1661" s="81">
        <f>IF(OR($C1661="",$I1661="",$K1661=""),0,IF(ROUND(($I1661-$K1661)*1440,0)&gt;設定!$C$42,ROUND(($I1661-$K1661)*1440,0),0))</f>
        <v/>
      </c>
      <c r="Q1661" s="82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79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0">
        <f>IF($G1662="","",IFERROR(INDEX(設定!$D$6:$D$18,MATCH($G1662,設定!$B$6:$B$18,0)),""))</f>
        <v/>
      </c>
      <c r="I1662" s="80">
        <f>IF($G1662="","",IFERROR(INDEX(設定!$E$6:$E$18,MATCH($G1662,設定!$B$6:$B$18,0)),""))</f>
        <v/>
      </c>
      <c r="J1662" s="80">
        <f>IFERROR(INDEX(打卡匯入!$C$3:$C$2002,MATCH($C1662&amp;"|"&amp;DAY($A1662),打卡匯入!$E$3:$E$2002,0)),"")</f>
        <v/>
      </c>
      <c r="K1662" s="80">
        <f>IFERROR(INDEX(打卡匯入!$D$3:$D$2002,MATCH($C1662&amp;"|"&amp;DAY($A1662),打卡匯入!$E$3:$E$2002,0)),"")</f>
        <v/>
      </c>
      <c r="L1662" s="81">
        <f>IF(OR($J1662="",$K1662=""),"",IFERROR(INDEX(設定!$F$6:$F$18,MATCH($G1662,設定!$B$6:$B$18,0)),0))</f>
        <v/>
      </c>
      <c r="M1662" s="82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1">
        <f>IF(OR($C1662="",$H1662="",$J1662=""),0,IF(ROUND(($J1662-$H1662)*1440,0)&gt;設定!$C$42,ROUND(($J1662-$H1662)*1440,0),0))</f>
        <v/>
      </c>
      <c r="P1662" s="81">
        <f>IF(OR($C1662="",$I1662="",$K1662=""),0,IF(ROUND(($I1662-$K1662)*1440,0)&gt;設定!$C$42,ROUND(($I1662-$K1662)*1440,0),0))</f>
        <v/>
      </c>
      <c r="Q1662" s="82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79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0">
        <f>IF($G1663="","",IFERROR(INDEX(設定!$D$6:$D$18,MATCH($G1663,設定!$B$6:$B$18,0)),""))</f>
        <v/>
      </c>
      <c r="I1663" s="80">
        <f>IF($G1663="","",IFERROR(INDEX(設定!$E$6:$E$18,MATCH($G1663,設定!$B$6:$B$18,0)),""))</f>
        <v/>
      </c>
      <c r="J1663" s="80">
        <f>IFERROR(INDEX(打卡匯入!$C$3:$C$2002,MATCH($C1663&amp;"|"&amp;DAY($A1663),打卡匯入!$E$3:$E$2002,0)),"")</f>
        <v/>
      </c>
      <c r="K1663" s="80">
        <f>IFERROR(INDEX(打卡匯入!$D$3:$D$2002,MATCH($C1663&amp;"|"&amp;DAY($A1663),打卡匯入!$E$3:$E$2002,0)),"")</f>
        <v/>
      </c>
      <c r="L1663" s="81">
        <f>IF(OR($J1663="",$K1663=""),"",IFERROR(INDEX(設定!$F$6:$F$18,MATCH($G1663,設定!$B$6:$B$18,0)),0))</f>
        <v/>
      </c>
      <c r="M1663" s="82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1">
        <f>IF(OR($C1663="",$H1663="",$J1663=""),0,IF(ROUND(($J1663-$H1663)*1440,0)&gt;設定!$C$42,ROUND(($J1663-$H1663)*1440,0),0))</f>
        <v/>
      </c>
      <c r="P1663" s="81">
        <f>IF(OR($C1663="",$I1663="",$K1663=""),0,IF(ROUND(($I1663-$K1663)*1440,0)&gt;設定!$C$42,ROUND(($I1663-$K1663)*1440,0),0))</f>
        <v/>
      </c>
      <c r="Q1663" s="82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79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0">
        <f>IF($G1664="","",IFERROR(INDEX(設定!$D$6:$D$18,MATCH($G1664,設定!$B$6:$B$18,0)),""))</f>
        <v/>
      </c>
      <c r="I1664" s="80">
        <f>IF($G1664="","",IFERROR(INDEX(設定!$E$6:$E$18,MATCH($G1664,設定!$B$6:$B$18,0)),""))</f>
        <v/>
      </c>
      <c r="J1664" s="80">
        <f>IFERROR(INDEX(打卡匯入!$C$3:$C$2002,MATCH($C1664&amp;"|"&amp;DAY($A1664),打卡匯入!$E$3:$E$2002,0)),"")</f>
        <v/>
      </c>
      <c r="K1664" s="80">
        <f>IFERROR(INDEX(打卡匯入!$D$3:$D$2002,MATCH($C1664&amp;"|"&amp;DAY($A1664),打卡匯入!$E$3:$E$2002,0)),"")</f>
        <v/>
      </c>
      <c r="L1664" s="81">
        <f>IF(OR($J1664="",$K1664=""),"",IFERROR(INDEX(設定!$F$6:$F$18,MATCH($G1664,設定!$B$6:$B$18,0)),0))</f>
        <v/>
      </c>
      <c r="M1664" s="82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1">
        <f>IF(OR($C1664="",$H1664="",$J1664=""),0,IF(ROUND(($J1664-$H1664)*1440,0)&gt;設定!$C$42,ROUND(($J1664-$H1664)*1440,0),0))</f>
        <v/>
      </c>
      <c r="P1664" s="81">
        <f>IF(OR($C1664="",$I1664="",$K1664=""),0,IF(ROUND(($I1664-$K1664)*1440,0)&gt;設定!$C$42,ROUND(($I1664-$K1664)*1440,0),0))</f>
        <v/>
      </c>
      <c r="Q1664" s="82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79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0">
        <f>IF($G1665="","",IFERROR(INDEX(設定!$D$6:$D$18,MATCH($G1665,設定!$B$6:$B$18,0)),""))</f>
        <v/>
      </c>
      <c r="I1665" s="80">
        <f>IF($G1665="","",IFERROR(INDEX(設定!$E$6:$E$18,MATCH($G1665,設定!$B$6:$B$18,0)),""))</f>
        <v/>
      </c>
      <c r="J1665" s="80">
        <f>IFERROR(INDEX(打卡匯入!$C$3:$C$2002,MATCH($C1665&amp;"|"&amp;DAY($A1665),打卡匯入!$E$3:$E$2002,0)),"")</f>
        <v/>
      </c>
      <c r="K1665" s="80">
        <f>IFERROR(INDEX(打卡匯入!$D$3:$D$2002,MATCH($C1665&amp;"|"&amp;DAY($A1665),打卡匯入!$E$3:$E$2002,0)),"")</f>
        <v/>
      </c>
      <c r="L1665" s="81">
        <f>IF(OR($J1665="",$K1665=""),"",IFERROR(INDEX(設定!$F$6:$F$18,MATCH($G1665,設定!$B$6:$B$18,0)),0))</f>
        <v/>
      </c>
      <c r="M1665" s="82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1">
        <f>IF(OR($C1665="",$H1665="",$J1665=""),0,IF(ROUND(($J1665-$H1665)*1440,0)&gt;設定!$C$42,ROUND(($J1665-$H1665)*1440,0),0))</f>
        <v/>
      </c>
      <c r="P1665" s="81">
        <f>IF(OR($C1665="",$I1665="",$K1665=""),0,IF(ROUND(($I1665-$K1665)*1440,0)&gt;設定!$C$42,ROUND(($I1665-$K1665)*1440,0),0))</f>
        <v/>
      </c>
      <c r="Q1665" s="82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79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0">
        <f>IF($G1666="","",IFERROR(INDEX(設定!$D$6:$D$18,MATCH($G1666,設定!$B$6:$B$18,0)),""))</f>
        <v/>
      </c>
      <c r="I1666" s="80">
        <f>IF($G1666="","",IFERROR(INDEX(設定!$E$6:$E$18,MATCH($G1666,設定!$B$6:$B$18,0)),""))</f>
        <v/>
      </c>
      <c r="J1666" s="80">
        <f>IFERROR(INDEX(打卡匯入!$C$3:$C$2002,MATCH($C1666&amp;"|"&amp;DAY($A1666),打卡匯入!$E$3:$E$2002,0)),"")</f>
        <v/>
      </c>
      <c r="K1666" s="80">
        <f>IFERROR(INDEX(打卡匯入!$D$3:$D$2002,MATCH($C1666&amp;"|"&amp;DAY($A1666),打卡匯入!$E$3:$E$2002,0)),"")</f>
        <v/>
      </c>
      <c r="L1666" s="81">
        <f>IF(OR($J1666="",$K1666=""),"",IFERROR(INDEX(設定!$F$6:$F$18,MATCH($G1666,設定!$B$6:$B$18,0)),0))</f>
        <v/>
      </c>
      <c r="M1666" s="82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1">
        <f>IF(OR($C1666="",$H1666="",$J1666=""),0,IF(ROUND(($J1666-$H1666)*1440,0)&gt;設定!$C$42,ROUND(($J1666-$H1666)*1440,0),0))</f>
        <v/>
      </c>
      <c r="P1666" s="81">
        <f>IF(OR($C1666="",$I1666="",$K1666=""),0,IF(ROUND(($I1666-$K1666)*1440,0)&gt;設定!$C$42,ROUND(($I1666-$K1666)*1440,0),0))</f>
        <v/>
      </c>
      <c r="Q1666" s="82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79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0">
        <f>IF($G1667="","",IFERROR(INDEX(設定!$D$6:$D$18,MATCH($G1667,設定!$B$6:$B$18,0)),""))</f>
        <v/>
      </c>
      <c r="I1667" s="80">
        <f>IF($G1667="","",IFERROR(INDEX(設定!$E$6:$E$18,MATCH($G1667,設定!$B$6:$B$18,0)),""))</f>
        <v/>
      </c>
      <c r="J1667" s="80">
        <f>IFERROR(INDEX(打卡匯入!$C$3:$C$2002,MATCH($C1667&amp;"|"&amp;DAY($A1667),打卡匯入!$E$3:$E$2002,0)),"")</f>
        <v/>
      </c>
      <c r="K1667" s="80">
        <f>IFERROR(INDEX(打卡匯入!$D$3:$D$2002,MATCH($C1667&amp;"|"&amp;DAY($A1667),打卡匯入!$E$3:$E$2002,0)),"")</f>
        <v/>
      </c>
      <c r="L1667" s="81">
        <f>IF(OR($J1667="",$K1667=""),"",IFERROR(INDEX(設定!$F$6:$F$18,MATCH($G1667,設定!$B$6:$B$18,0)),0))</f>
        <v/>
      </c>
      <c r="M1667" s="82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1">
        <f>IF(OR($C1667="",$H1667="",$J1667=""),0,IF(ROUND(($J1667-$H1667)*1440,0)&gt;設定!$C$42,ROUND(($J1667-$H1667)*1440,0),0))</f>
        <v/>
      </c>
      <c r="P1667" s="81">
        <f>IF(OR($C1667="",$I1667="",$K1667=""),0,IF(ROUND(($I1667-$K1667)*1440,0)&gt;設定!$C$42,ROUND(($I1667-$K1667)*1440,0),0))</f>
        <v/>
      </c>
      <c r="Q1667" s="82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79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0">
        <f>IF($G1668="","",IFERROR(INDEX(設定!$D$6:$D$18,MATCH($G1668,設定!$B$6:$B$18,0)),""))</f>
        <v/>
      </c>
      <c r="I1668" s="80">
        <f>IF($G1668="","",IFERROR(INDEX(設定!$E$6:$E$18,MATCH($G1668,設定!$B$6:$B$18,0)),""))</f>
        <v/>
      </c>
      <c r="J1668" s="80">
        <f>IFERROR(INDEX(打卡匯入!$C$3:$C$2002,MATCH($C1668&amp;"|"&amp;DAY($A1668),打卡匯入!$E$3:$E$2002,0)),"")</f>
        <v/>
      </c>
      <c r="K1668" s="80">
        <f>IFERROR(INDEX(打卡匯入!$D$3:$D$2002,MATCH($C1668&amp;"|"&amp;DAY($A1668),打卡匯入!$E$3:$E$2002,0)),"")</f>
        <v/>
      </c>
      <c r="L1668" s="81">
        <f>IF(OR($J1668="",$K1668=""),"",IFERROR(INDEX(設定!$F$6:$F$18,MATCH($G1668,設定!$B$6:$B$18,0)),0))</f>
        <v/>
      </c>
      <c r="M1668" s="82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1">
        <f>IF(OR($C1668="",$H1668="",$J1668=""),0,IF(ROUND(($J1668-$H1668)*1440,0)&gt;設定!$C$42,ROUND(($J1668-$H1668)*1440,0),0))</f>
        <v/>
      </c>
      <c r="P1668" s="81">
        <f>IF(OR($C1668="",$I1668="",$K1668=""),0,IF(ROUND(($I1668-$K1668)*1440,0)&gt;設定!$C$42,ROUND(($I1668-$K1668)*1440,0),0))</f>
        <v/>
      </c>
      <c r="Q1668" s="82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79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0">
        <f>IF($G1669="","",IFERROR(INDEX(設定!$D$6:$D$18,MATCH($G1669,設定!$B$6:$B$18,0)),""))</f>
        <v/>
      </c>
      <c r="I1669" s="80">
        <f>IF($G1669="","",IFERROR(INDEX(設定!$E$6:$E$18,MATCH($G1669,設定!$B$6:$B$18,0)),""))</f>
        <v/>
      </c>
      <c r="J1669" s="80">
        <f>IFERROR(INDEX(打卡匯入!$C$3:$C$2002,MATCH($C1669&amp;"|"&amp;DAY($A1669),打卡匯入!$E$3:$E$2002,0)),"")</f>
        <v/>
      </c>
      <c r="K1669" s="80">
        <f>IFERROR(INDEX(打卡匯入!$D$3:$D$2002,MATCH($C1669&amp;"|"&amp;DAY($A1669),打卡匯入!$E$3:$E$2002,0)),"")</f>
        <v/>
      </c>
      <c r="L1669" s="81">
        <f>IF(OR($J1669="",$K1669=""),"",IFERROR(INDEX(設定!$F$6:$F$18,MATCH($G1669,設定!$B$6:$B$18,0)),0))</f>
        <v/>
      </c>
      <c r="M1669" s="82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1">
        <f>IF(OR($C1669="",$H1669="",$J1669=""),0,IF(ROUND(($J1669-$H1669)*1440,0)&gt;設定!$C$42,ROUND(($J1669-$H1669)*1440,0),0))</f>
        <v/>
      </c>
      <c r="P1669" s="81">
        <f>IF(OR($C1669="",$I1669="",$K1669=""),0,IF(ROUND(($I1669-$K1669)*1440,0)&gt;設定!$C$42,ROUND(($I1669-$K1669)*1440,0),0))</f>
        <v/>
      </c>
      <c r="Q1669" s="82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79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0">
        <f>IF($G1670="","",IFERROR(INDEX(設定!$D$6:$D$18,MATCH($G1670,設定!$B$6:$B$18,0)),""))</f>
        <v/>
      </c>
      <c r="I1670" s="80">
        <f>IF($G1670="","",IFERROR(INDEX(設定!$E$6:$E$18,MATCH($G1670,設定!$B$6:$B$18,0)),""))</f>
        <v/>
      </c>
      <c r="J1670" s="80">
        <f>IFERROR(INDEX(打卡匯入!$C$3:$C$2002,MATCH($C1670&amp;"|"&amp;DAY($A1670),打卡匯入!$E$3:$E$2002,0)),"")</f>
        <v/>
      </c>
      <c r="K1670" s="80">
        <f>IFERROR(INDEX(打卡匯入!$D$3:$D$2002,MATCH($C1670&amp;"|"&amp;DAY($A1670),打卡匯入!$E$3:$E$2002,0)),"")</f>
        <v/>
      </c>
      <c r="L1670" s="81">
        <f>IF(OR($J1670="",$K1670=""),"",IFERROR(INDEX(設定!$F$6:$F$18,MATCH($G1670,設定!$B$6:$B$18,0)),0))</f>
        <v/>
      </c>
      <c r="M1670" s="82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1">
        <f>IF(OR($C1670="",$H1670="",$J1670=""),0,IF(ROUND(($J1670-$H1670)*1440,0)&gt;設定!$C$42,ROUND(($J1670-$H1670)*1440,0),0))</f>
        <v/>
      </c>
      <c r="P1670" s="81">
        <f>IF(OR($C1670="",$I1670="",$K1670=""),0,IF(ROUND(($I1670-$K1670)*1440,0)&gt;設定!$C$42,ROUND(($I1670-$K1670)*1440,0),0))</f>
        <v/>
      </c>
      <c r="Q1670" s="82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79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0">
        <f>IF($G1671="","",IFERROR(INDEX(設定!$D$6:$D$18,MATCH($G1671,設定!$B$6:$B$18,0)),""))</f>
        <v/>
      </c>
      <c r="I1671" s="80">
        <f>IF($G1671="","",IFERROR(INDEX(設定!$E$6:$E$18,MATCH($G1671,設定!$B$6:$B$18,0)),""))</f>
        <v/>
      </c>
      <c r="J1671" s="80">
        <f>IFERROR(INDEX(打卡匯入!$C$3:$C$2002,MATCH($C1671&amp;"|"&amp;DAY($A1671),打卡匯入!$E$3:$E$2002,0)),"")</f>
        <v/>
      </c>
      <c r="K1671" s="80">
        <f>IFERROR(INDEX(打卡匯入!$D$3:$D$2002,MATCH($C1671&amp;"|"&amp;DAY($A1671),打卡匯入!$E$3:$E$2002,0)),"")</f>
        <v/>
      </c>
      <c r="L1671" s="81">
        <f>IF(OR($J1671="",$K1671=""),"",IFERROR(INDEX(設定!$F$6:$F$18,MATCH($G1671,設定!$B$6:$B$18,0)),0))</f>
        <v/>
      </c>
      <c r="M1671" s="82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1">
        <f>IF(OR($C1671="",$H1671="",$J1671=""),0,IF(ROUND(($J1671-$H1671)*1440,0)&gt;設定!$C$42,ROUND(($J1671-$H1671)*1440,0),0))</f>
        <v/>
      </c>
      <c r="P1671" s="81">
        <f>IF(OR($C1671="",$I1671="",$K1671=""),0,IF(ROUND(($I1671-$K1671)*1440,0)&gt;設定!$C$42,ROUND(($I1671-$K1671)*1440,0),0))</f>
        <v/>
      </c>
      <c r="Q1671" s="82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79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0">
        <f>IF($G1672="","",IFERROR(INDEX(設定!$D$6:$D$18,MATCH($G1672,設定!$B$6:$B$18,0)),""))</f>
        <v/>
      </c>
      <c r="I1672" s="80">
        <f>IF($G1672="","",IFERROR(INDEX(設定!$E$6:$E$18,MATCH($G1672,設定!$B$6:$B$18,0)),""))</f>
        <v/>
      </c>
      <c r="J1672" s="80">
        <f>IFERROR(INDEX(打卡匯入!$C$3:$C$2002,MATCH($C1672&amp;"|"&amp;DAY($A1672),打卡匯入!$E$3:$E$2002,0)),"")</f>
        <v/>
      </c>
      <c r="K1672" s="80">
        <f>IFERROR(INDEX(打卡匯入!$D$3:$D$2002,MATCH($C1672&amp;"|"&amp;DAY($A1672),打卡匯入!$E$3:$E$2002,0)),"")</f>
        <v/>
      </c>
      <c r="L1672" s="81">
        <f>IF(OR($J1672="",$K1672=""),"",IFERROR(INDEX(設定!$F$6:$F$18,MATCH($G1672,設定!$B$6:$B$18,0)),0))</f>
        <v/>
      </c>
      <c r="M1672" s="82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1">
        <f>IF(OR($C1672="",$H1672="",$J1672=""),0,IF(ROUND(($J1672-$H1672)*1440,0)&gt;設定!$C$42,ROUND(($J1672-$H1672)*1440,0),0))</f>
        <v/>
      </c>
      <c r="P1672" s="81">
        <f>IF(OR($C1672="",$I1672="",$K1672=""),0,IF(ROUND(($I1672-$K1672)*1440,0)&gt;設定!$C$42,ROUND(($I1672-$K1672)*1440,0),0))</f>
        <v/>
      </c>
      <c r="Q1672" s="82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79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0">
        <f>IF($G1673="","",IFERROR(INDEX(設定!$D$6:$D$18,MATCH($G1673,設定!$B$6:$B$18,0)),""))</f>
        <v/>
      </c>
      <c r="I1673" s="80">
        <f>IF($G1673="","",IFERROR(INDEX(設定!$E$6:$E$18,MATCH($G1673,設定!$B$6:$B$18,0)),""))</f>
        <v/>
      </c>
      <c r="J1673" s="80">
        <f>IFERROR(INDEX(打卡匯入!$C$3:$C$2002,MATCH($C1673&amp;"|"&amp;DAY($A1673),打卡匯入!$E$3:$E$2002,0)),"")</f>
        <v/>
      </c>
      <c r="K1673" s="80">
        <f>IFERROR(INDEX(打卡匯入!$D$3:$D$2002,MATCH($C1673&amp;"|"&amp;DAY($A1673),打卡匯入!$E$3:$E$2002,0)),"")</f>
        <v/>
      </c>
      <c r="L1673" s="81">
        <f>IF(OR($J1673="",$K1673=""),"",IFERROR(INDEX(設定!$F$6:$F$18,MATCH($G1673,設定!$B$6:$B$18,0)),0))</f>
        <v/>
      </c>
      <c r="M1673" s="82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1">
        <f>IF(OR($C1673="",$H1673="",$J1673=""),0,IF(ROUND(($J1673-$H1673)*1440,0)&gt;設定!$C$42,ROUND(($J1673-$H1673)*1440,0),0))</f>
        <v/>
      </c>
      <c r="P1673" s="81">
        <f>IF(OR($C1673="",$I1673="",$K1673=""),0,IF(ROUND(($I1673-$K1673)*1440,0)&gt;設定!$C$42,ROUND(($I1673-$K1673)*1440,0),0))</f>
        <v/>
      </c>
      <c r="Q1673" s="82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79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0">
        <f>IF($G1674="","",IFERROR(INDEX(設定!$D$6:$D$18,MATCH($G1674,設定!$B$6:$B$18,0)),""))</f>
        <v/>
      </c>
      <c r="I1674" s="80">
        <f>IF($G1674="","",IFERROR(INDEX(設定!$E$6:$E$18,MATCH($G1674,設定!$B$6:$B$18,0)),""))</f>
        <v/>
      </c>
      <c r="J1674" s="80">
        <f>IFERROR(INDEX(打卡匯入!$C$3:$C$2002,MATCH($C1674&amp;"|"&amp;DAY($A1674),打卡匯入!$E$3:$E$2002,0)),"")</f>
        <v/>
      </c>
      <c r="K1674" s="80">
        <f>IFERROR(INDEX(打卡匯入!$D$3:$D$2002,MATCH($C1674&amp;"|"&amp;DAY($A1674),打卡匯入!$E$3:$E$2002,0)),"")</f>
        <v/>
      </c>
      <c r="L1674" s="81">
        <f>IF(OR($J1674="",$K1674=""),"",IFERROR(INDEX(設定!$F$6:$F$18,MATCH($G1674,設定!$B$6:$B$18,0)),0))</f>
        <v/>
      </c>
      <c r="M1674" s="82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1">
        <f>IF(OR($C1674="",$H1674="",$J1674=""),0,IF(ROUND(($J1674-$H1674)*1440,0)&gt;設定!$C$42,ROUND(($J1674-$H1674)*1440,0),0))</f>
        <v/>
      </c>
      <c r="P1674" s="81">
        <f>IF(OR($C1674="",$I1674="",$K1674=""),0,IF(ROUND(($I1674-$K1674)*1440,0)&gt;設定!$C$42,ROUND(($I1674-$K1674)*1440,0),0))</f>
        <v/>
      </c>
      <c r="Q1674" s="82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79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0">
        <f>IF($G1675="","",IFERROR(INDEX(設定!$D$6:$D$18,MATCH($G1675,設定!$B$6:$B$18,0)),""))</f>
        <v/>
      </c>
      <c r="I1675" s="80">
        <f>IF($G1675="","",IFERROR(INDEX(設定!$E$6:$E$18,MATCH($G1675,設定!$B$6:$B$18,0)),""))</f>
        <v/>
      </c>
      <c r="J1675" s="80">
        <f>IFERROR(INDEX(打卡匯入!$C$3:$C$2002,MATCH($C1675&amp;"|"&amp;DAY($A1675),打卡匯入!$E$3:$E$2002,0)),"")</f>
        <v/>
      </c>
      <c r="K1675" s="80">
        <f>IFERROR(INDEX(打卡匯入!$D$3:$D$2002,MATCH($C1675&amp;"|"&amp;DAY($A1675),打卡匯入!$E$3:$E$2002,0)),"")</f>
        <v/>
      </c>
      <c r="L1675" s="81">
        <f>IF(OR($J1675="",$K1675=""),"",IFERROR(INDEX(設定!$F$6:$F$18,MATCH($G1675,設定!$B$6:$B$18,0)),0))</f>
        <v/>
      </c>
      <c r="M1675" s="82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1">
        <f>IF(OR($C1675="",$H1675="",$J1675=""),0,IF(ROUND(($J1675-$H1675)*1440,0)&gt;設定!$C$42,ROUND(($J1675-$H1675)*1440,0),0))</f>
        <v/>
      </c>
      <c r="P1675" s="81">
        <f>IF(OR($C1675="",$I1675="",$K1675=""),0,IF(ROUND(($I1675-$K1675)*1440,0)&gt;設定!$C$42,ROUND(($I1675-$K1675)*1440,0),0))</f>
        <v/>
      </c>
      <c r="Q1675" s="82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79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0">
        <f>IF($G1676="","",IFERROR(INDEX(設定!$D$6:$D$18,MATCH($G1676,設定!$B$6:$B$18,0)),""))</f>
        <v/>
      </c>
      <c r="I1676" s="80">
        <f>IF($G1676="","",IFERROR(INDEX(設定!$E$6:$E$18,MATCH($G1676,設定!$B$6:$B$18,0)),""))</f>
        <v/>
      </c>
      <c r="J1676" s="80">
        <f>IFERROR(INDEX(打卡匯入!$C$3:$C$2002,MATCH($C1676&amp;"|"&amp;DAY($A1676),打卡匯入!$E$3:$E$2002,0)),"")</f>
        <v/>
      </c>
      <c r="K1676" s="80">
        <f>IFERROR(INDEX(打卡匯入!$D$3:$D$2002,MATCH($C1676&amp;"|"&amp;DAY($A1676),打卡匯入!$E$3:$E$2002,0)),"")</f>
        <v/>
      </c>
      <c r="L1676" s="81">
        <f>IF(OR($J1676="",$K1676=""),"",IFERROR(INDEX(設定!$F$6:$F$18,MATCH($G1676,設定!$B$6:$B$18,0)),0))</f>
        <v/>
      </c>
      <c r="M1676" s="82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1">
        <f>IF(OR($C1676="",$H1676="",$J1676=""),0,IF(ROUND(($J1676-$H1676)*1440,0)&gt;設定!$C$42,ROUND(($J1676-$H1676)*1440,0),0))</f>
        <v/>
      </c>
      <c r="P1676" s="81">
        <f>IF(OR($C1676="",$I1676="",$K1676=""),0,IF(ROUND(($I1676-$K1676)*1440,0)&gt;設定!$C$42,ROUND(($I1676-$K1676)*1440,0),0))</f>
        <v/>
      </c>
      <c r="Q1676" s="82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79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0">
        <f>IF($G1677="","",IFERROR(INDEX(設定!$D$6:$D$18,MATCH($G1677,設定!$B$6:$B$18,0)),""))</f>
        <v/>
      </c>
      <c r="I1677" s="80">
        <f>IF($G1677="","",IFERROR(INDEX(設定!$E$6:$E$18,MATCH($G1677,設定!$B$6:$B$18,0)),""))</f>
        <v/>
      </c>
      <c r="J1677" s="80">
        <f>IFERROR(INDEX(打卡匯入!$C$3:$C$2002,MATCH($C1677&amp;"|"&amp;DAY($A1677),打卡匯入!$E$3:$E$2002,0)),"")</f>
        <v/>
      </c>
      <c r="K1677" s="80">
        <f>IFERROR(INDEX(打卡匯入!$D$3:$D$2002,MATCH($C1677&amp;"|"&amp;DAY($A1677),打卡匯入!$E$3:$E$2002,0)),"")</f>
        <v/>
      </c>
      <c r="L1677" s="81">
        <f>IF(OR($J1677="",$K1677=""),"",IFERROR(INDEX(設定!$F$6:$F$18,MATCH($G1677,設定!$B$6:$B$18,0)),0))</f>
        <v/>
      </c>
      <c r="M1677" s="82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1">
        <f>IF(OR($C1677="",$H1677="",$J1677=""),0,IF(ROUND(($J1677-$H1677)*1440,0)&gt;設定!$C$42,ROUND(($J1677-$H1677)*1440,0),0))</f>
        <v/>
      </c>
      <c r="P1677" s="81">
        <f>IF(OR($C1677="",$I1677="",$K1677=""),0,IF(ROUND(($I1677-$K1677)*1440,0)&gt;設定!$C$42,ROUND(($I1677-$K1677)*1440,0),0))</f>
        <v/>
      </c>
      <c r="Q1677" s="82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79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0">
        <f>IF($G1678="","",IFERROR(INDEX(設定!$D$6:$D$18,MATCH($G1678,設定!$B$6:$B$18,0)),""))</f>
        <v/>
      </c>
      <c r="I1678" s="80">
        <f>IF($G1678="","",IFERROR(INDEX(設定!$E$6:$E$18,MATCH($G1678,設定!$B$6:$B$18,0)),""))</f>
        <v/>
      </c>
      <c r="J1678" s="80">
        <f>IFERROR(INDEX(打卡匯入!$C$3:$C$2002,MATCH($C1678&amp;"|"&amp;DAY($A1678),打卡匯入!$E$3:$E$2002,0)),"")</f>
        <v/>
      </c>
      <c r="K1678" s="80">
        <f>IFERROR(INDEX(打卡匯入!$D$3:$D$2002,MATCH($C1678&amp;"|"&amp;DAY($A1678),打卡匯入!$E$3:$E$2002,0)),"")</f>
        <v/>
      </c>
      <c r="L1678" s="81">
        <f>IF(OR($J1678="",$K1678=""),"",IFERROR(INDEX(設定!$F$6:$F$18,MATCH($G1678,設定!$B$6:$B$18,0)),0))</f>
        <v/>
      </c>
      <c r="M1678" s="82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1">
        <f>IF(OR($C1678="",$H1678="",$J1678=""),0,IF(ROUND(($J1678-$H1678)*1440,0)&gt;設定!$C$42,ROUND(($J1678-$H1678)*1440,0),0))</f>
        <v/>
      </c>
      <c r="P1678" s="81">
        <f>IF(OR($C1678="",$I1678="",$K1678=""),0,IF(ROUND(($I1678-$K1678)*1440,0)&gt;設定!$C$42,ROUND(($I1678-$K1678)*1440,0),0))</f>
        <v/>
      </c>
      <c r="Q1678" s="82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79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0">
        <f>IF($G1679="","",IFERROR(INDEX(設定!$D$6:$D$18,MATCH($G1679,設定!$B$6:$B$18,0)),""))</f>
        <v/>
      </c>
      <c r="I1679" s="80">
        <f>IF($G1679="","",IFERROR(INDEX(設定!$E$6:$E$18,MATCH($G1679,設定!$B$6:$B$18,0)),""))</f>
        <v/>
      </c>
      <c r="J1679" s="80">
        <f>IFERROR(INDEX(打卡匯入!$C$3:$C$2002,MATCH($C1679&amp;"|"&amp;DAY($A1679),打卡匯入!$E$3:$E$2002,0)),"")</f>
        <v/>
      </c>
      <c r="K1679" s="80">
        <f>IFERROR(INDEX(打卡匯入!$D$3:$D$2002,MATCH($C1679&amp;"|"&amp;DAY($A1679),打卡匯入!$E$3:$E$2002,0)),"")</f>
        <v/>
      </c>
      <c r="L1679" s="81">
        <f>IF(OR($J1679="",$K1679=""),"",IFERROR(INDEX(設定!$F$6:$F$18,MATCH($G1679,設定!$B$6:$B$18,0)),0))</f>
        <v/>
      </c>
      <c r="M1679" s="82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1">
        <f>IF(OR($C1679="",$H1679="",$J1679=""),0,IF(ROUND(($J1679-$H1679)*1440,0)&gt;設定!$C$42,ROUND(($J1679-$H1679)*1440,0),0))</f>
        <v/>
      </c>
      <c r="P1679" s="81">
        <f>IF(OR($C1679="",$I1679="",$K1679=""),0,IF(ROUND(($I1679-$K1679)*1440,0)&gt;設定!$C$42,ROUND(($I1679-$K1679)*1440,0),0))</f>
        <v/>
      </c>
      <c r="Q1679" s="82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79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0">
        <f>IF($G1680="","",IFERROR(INDEX(設定!$D$6:$D$18,MATCH($G1680,設定!$B$6:$B$18,0)),""))</f>
        <v/>
      </c>
      <c r="I1680" s="80">
        <f>IF($G1680="","",IFERROR(INDEX(設定!$E$6:$E$18,MATCH($G1680,設定!$B$6:$B$18,0)),""))</f>
        <v/>
      </c>
      <c r="J1680" s="80">
        <f>IFERROR(INDEX(打卡匯入!$C$3:$C$2002,MATCH($C1680&amp;"|"&amp;DAY($A1680),打卡匯入!$E$3:$E$2002,0)),"")</f>
        <v/>
      </c>
      <c r="K1680" s="80">
        <f>IFERROR(INDEX(打卡匯入!$D$3:$D$2002,MATCH($C1680&amp;"|"&amp;DAY($A1680),打卡匯入!$E$3:$E$2002,0)),"")</f>
        <v/>
      </c>
      <c r="L1680" s="81">
        <f>IF(OR($J1680="",$K1680=""),"",IFERROR(INDEX(設定!$F$6:$F$18,MATCH($G1680,設定!$B$6:$B$18,0)),0))</f>
        <v/>
      </c>
      <c r="M1680" s="82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1">
        <f>IF(OR($C1680="",$H1680="",$J1680=""),0,IF(ROUND(($J1680-$H1680)*1440,0)&gt;設定!$C$42,ROUND(($J1680-$H1680)*1440,0),0))</f>
        <v/>
      </c>
      <c r="P1680" s="81">
        <f>IF(OR($C1680="",$I1680="",$K1680=""),0,IF(ROUND(($I1680-$K1680)*1440,0)&gt;設定!$C$42,ROUND(($I1680-$K1680)*1440,0),0))</f>
        <v/>
      </c>
      <c r="Q1680" s="82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79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0">
        <f>IF($G1681="","",IFERROR(INDEX(設定!$D$6:$D$18,MATCH($G1681,設定!$B$6:$B$18,0)),""))</f>
        <v/>
      </c>
      <c r="I1681" s="80">
        <f>IF($G1681="","",IFERROR(INDEX(設定!$E$6:$E$18,MATCH($G1681,設定!$B$6:$B$18,0)),""))</f>
        <v/>
      </c>
      <c r="J1681" s="80">
        <f>IFERROR(INDEX(打卡匯入!$C$3:$C$2002,MATCH($C1681&amp;"|"&amp;DAY($A1681),打卡匯入!$E$3:$E$2002,0)),"")</f>
        <v/>
      </c>
      <c r="K1681" s="80">
        <f>IFERROR(INDEX(打卡匯入!$D$3:$D$2002,MATCH($C1681&amp;"|"&amp;DAY($A1681),打卡匯入!$E$3:$E$2002,0)),"")</f>
        <v/>
      </c>
      <c r="L1681" s="81">
        <f>IF(OR($J1681="",$K1681=""),"",IFERROR(INDEX(設定!$F$6:$F$18,MATCH($G1681,設定!$B$6:$B$18,0)),0))</f>
        <v/>
      </c>
      <c r="M1681" s="82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1">
        <f>IF(OR($C1681="",$H1681="",$J1681=""),0,IF(ROUND(($J1681-$H1681)*1440,0)&gt;設定!$C$42,ROUND(($J1681-$H1681)*1440,0),0))</f>
        <v/>
      </c>
      <c r="P1681" s="81">
        <f>IF(OR($C1681="",$I1681="",$K1681=""),0,IF(ROUND(($I1681-$K1681)*1440,0)&gt;設定!$C$42,ROUND(($I1681-$K1681)*1440,0),0))</f>
        <v/>
      </c>
      <c r="Q1681" s="82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79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0">
        <f>IF($G1682="","",IFERROR(INDEX(設定!$D$6:$D$18,MATCH($G1682,設定!$B$6:$B$18,0)),""))</f>
        <v/>
      </c>
      <c r="I1682" s="80">
        <f>IF($G1682="","",IFERROR(INDEX(設定!$E$6:$E$18,MATCH($G1682,設定!$B$6:$B$18,0)),""))</f>
        <v/>
      </c>
      <c r="J1682" s="80">
        <f>IFERROR(INDEX(打卡匯入!$C$3:$C$2002,MATCH($C1682&amp;"|"&amp;DAY($A1682),打卡匯入!$E$3:$E$2002,0)),"")</f>
        <v/>
      </c>
      <c r="K1682" s="80">
        <f>IFERROR(INDEX(打卡匯入!$D$3:$D$2002,MATCH($C1682&amp;"|"&amp;DAY($A1682),打卡匯入!$E$3:$E$2002,0)),"")</f>
        <v/>
      </c>
      <c r="L1682" s="81">
        <f>IF(OR($J1682="",$K1682=""),"",IFERROR(INDEX(設定!$F$6:$F$18,MATCH($G1682,設定!$B$6:$B$18,0)),0))</f>
        <v/>
      </c>
      <c r="M1682" s="82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1">
        <f>IF(OR($C1682="",$H1682="",$J1682=""),0,IF(ROUND(($J1682-$H1682)*1440,0)&gt;設定!$C$42,ROUND(($J1682-$H1682)*1440,0),0))</f>
        <v/>
      </c>
      <c r="P1682" s="81">
        <f>IF(OR($C1682="",$I1682="",$K1682=""),0,IF(ROUND(($I1682-$K1682)*1440,0)&gt;設定!$C$42,ROUND(($I1682-$K1682)*1440,0),0))</f>
        <v/>
      </c>
      <c r="Q1682" s="82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79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0">
        <f>IF($G1683="","",IFERROR(INDEX(設定!$D$6:$D$18,MATCH($G1683,設定!$B$6:$B$18,0)),""))</f>
        <v/>
      </c>
      <c r="I1683" s="80">
        <f>IF($G1683="","",IFERROR(INDEX(設定!$E$6:$E$18,MATCH($G1683,設定!$B$6:$B$18,0)),""))</f>
        <v/>
      </c>
      <c r="J1683" s="80">
        <f>IFERROR(INDEX(打卡匯入!$C$3:$C$2002,MATCH($C1683&amp;"|"&amp;DAY($A1683),打卡匯入!$E$3:$E$2002,0)),"")</f>
        <v/>
      </c>
      <c r="K1683" s="80">
        <f>IFERROR(INDEX(打卡匯入!$D$3:$D$2002,MATCH($C1683&amp;"|"&amp;DAY($A1683),打卡匯入!$E$3:$E$2002,0)),"")</f>
        <v/>
      </c>
      <c r="L1683" s="81">
        <f>IF(OR($J1683="",$K1683=""),"",IFERROR(INDEX(設定!$F$6:$F$18,MATCH($G1683,設定!$B$6:$B$18,0)),0))</f>
        <v/>
      </c>
      <c r="M1683" s="82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1">
        <f>IF(OR($C1683="",$H1683="",$J1683=""),0,IF(ROUND(($J1683-$H1683)*1440,0)&gt;設定!$C$42,ROUND(($J1683-$H1683)*1440,0),0))</f>
        <v/>
      </c>
      <c r="P1683" s="81">
        <f>IF(OR($C1683="",$I1683="",$K1683=""),0,IF(ROUND(($I1683-$K1683)*1440,0)&gt;設定!$C$42,ROUND(($I1683-$K1683)*1440,0),0))</f>
        <v/>
      </c>
      <c r="Q1683" s="82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79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0">
        <f>IF($G1684="","",IFERROR(INDEX(設定!$D$6:$D$18,MATCH($G1684,設定!$B$6:$B$18,0)),""))</f>
        <v/>
      </c>
      <c r="I1684" s="80">
        <f>IF($G1684="","",IFERROR(INDEX(設定!$E$6:$E$18,MATCH($G1684,設定!$B$6:$B$18,0)),""))</f>
        <v/>
      </c>
      <c r="J1684" s="80">
        <f>IFERROR(INDEX(打卡匯入!$C$3:$C$2002,MATCH($C1684&amp;"|"&amp;DAY($A1684),打卡匯入!$E$3:$E$2002,0)),"")</f>
        <v/>
      </c>
      <c r="K1684" s="80">
        <f>IFERROR(INDEX(打卡匯入!$D$3:$D$2002,MATCH($C1684&amp;"|"&amp;DAY($A1684),打卡匯入!$E$3:$E$2002,0)),"")</f>
        <v/>
      </c>
      <c r="L1684" s="81">
        <f>IF(OR($J1684="",$K1684=""),"",IFERROR(INDEX(設定!$F$6:$F$18,MATCH($G1684,設定!$B$6:$B$18,0)),0))</f>
        <v/>
      </c>
      <c r="M1684" s="82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1">
        <f>IF(OR($C1684="",$H1684="",$J1684=""),0,IF(ROUND(($J1684-$H1684)*1440,0)&gt;設定!$C$42,ROUND(($J1684-$H1684)*1440,0),0))</f>
        <v/>
      </c>
      <c r="P1684" s="81">
        <f>IF(OR($C1684="",$I1684="",$K1684=""),0,IF(ROUND(($I1684-$K1684)*1440,0)&gt;設定!$C$42,ROUND(($I1684-$K1684)*1440,0),0))</f>
        <v/>
      </c>
      <c r="Q1684" s="82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79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0">
        <f>IF($G1685="","",IFERROR(INDEX(設定!$D$6:$D$18,MATCH($G1685,設定!$B$6:$B$18,0)),""))</f>
        <v/>
      </c>
      <c r="I1685" s="80">
        <f>IF($G1685="","",IFERROR(INDEX(設定!$E$6:$E$18,MATCH($G1685,設定!$B$6:$B$18,0)),""))</f>
        <v/>
      </c>
      <c r="J1685" s="80">
        <f>IFERROR(INDEX(打卡匯入!$C$3:$C$2002,MATCH($C1685&amp;"|"&amp;DAY($A1685),打卡匯入!$E$3:$E$2002,0)),"")</f>
        <v/>
      </c>
      <c r="K1685" s="80">
        <f>IFERROR(INDEX(打卡匯入!$D$3:$D$2002,MATCH($C1685&amp;"|"&amp;DAY($A1685),打卡匯入!$E$3:$E$2002,0)),"")</f>
        <v/>
      </c>
      <c r="L1685" s="81">
        <f>IF(OR($J1685="",$K1685=""),"",IFERROR(INDEX(設定!$F$6:$F$18,MATCH($G1685,設定!$B$6:$B$18,0)),0))</f>
        <v/>
      </c>
      <c r="M1685" s="82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1">
        <f>IF(OR($C1685="",$H1685="",$J1685=""),0,IF(ROUND(($J1685-$H1685)*1440,0)&gt;設定!$C$42,ROUND(($J1685-$H1685)*1440,0),0))</f>
        <v/>
      </c>
      <c r="P1685" s="81">
        <f>IF(OR($C1685="",$I1685="",$K1685=""),0,IF(ROUND(($I1685-$K1685)*1440,0)&gt;設定!$C$42,ROUND(($I1685-$K1685)*1440,0),0))</f>
        <v/>
      </c>
      <c r="Q1685" s="82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79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0">
        <f>IF($G1686="","",IFERROR(INDEX(設定!$D$6:$D$18,MATCH($G1686,設定!$B$6:$B$18,0)),""))</f>
        <v/>
      </c>
      <c r="I1686" s="80">
        <f>IF($G1686="","",IFERROR(INDEX(設定!$E$6:$E$18,MATCH($G1686,設定!$B$6:$B$18,0)),""))</f>
        <v/>
      </c>
      <c r="J1686" s="80">
        <f>IFERROR(INDEX(打卡匯入!$C$3:$C$2002,MATCH($C1686&amp;"|"&amp;DAY($A1686),打卡匯入!$E$3:$E$2002,0)),"")</f>
        <v/>
      </c>
      <c r="K1686" s="80">
        <f>IFERROR(INDEX(打卡匯入!$D$3:$D$2002,MATCH($C1686&amp;"|"&amp;DAY($A1686),打卡匯入!$E$3:$E$2002,0)),"")</f>
        <v/>
      </c>
      <c r="L1686" s="81">
        <f>IF(OR($J1686="",$K1686=""),"",IFERROR(INDEX(設定!$F$6:$F$18,MATCH($G1686,設定!$B$6:$B$18,0)),0))</f>
        <v/>
      </c>
      <c r="M1686" s="82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1">
        <f>IF(OR($C1686="",$H1686="",$J1686=""),0,IF(ROUND(($J1686-$H1686)*1440,0)&gt;設定!$C$42,ROUND(($J1686-$H1686)*1440,0),0))</f>
        <v/>
      </c>
      <c r="P1686" s="81">
        <f>IF(OR($C1686="",$I1686="",$K1686=""),0,IF(ROUND(($I1686-$K1686)*1440,0)&gt;設定!$C$42,ROUND(($I1686-$K1686)*1440,0),0))</f>
        <v/>
      </c>
      <c r="Q1686" s="82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79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0">
        <f>IF($G1687="","",IFERROR(INDEX(設定!$D$6:$D$18,MATCH($G1687,設定!$B$6:$B$18,0)),""))</f>
        <v/>
      </c>
      <c r="I1687" s="80">
        <f>IF($G1687="","",IFERROR(INDEX(設定!$E$6:$E$18,MATCH($G1687,設定!$B$6:$B$18,0)),""))</f>
        <v/>
      </c>
      <c r="J1687" s="80">
        <f>IFERROR(INDEX(打卡匯入!$C$3:$C$2002,MATCH($C1687&amp;"|"&amp;DAY($A1687),打卡匯入!$E$3:$E$2002,0)),"")</f>
        <v/>
      </c>
      <c r="K1687" s="80">
        <f>IFERROR(INDEX(打卡匯入!$D$3:$D$2002,MATCH($C1687&amp;"|"&amp;DAY($A1687),打卡匯入!$E$3:$E$2002,0)),"")</f>
        <v/>
      </c>
      <c r="L1687" s="81">
        <f>IF(OR($J1687="",$K1687=""),"",IFERROR(INDEX(設定!$F$6:$F$18,MATCH($G1687,設定!$B$6:$B$18,0)),0))</f>
        <v/>
      </c>
      <c r="M1687" s="82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1">
        <f>IF(OR($C1687="",$H1687="",$J1687=""),0,IF(ROUND(($J1687-$H1687)*1440,0)&gt;設定!$C$42,ROUND(($J1687-$H1687)*1440,0),0))</f>
        <v/>
      </c>
      <c r="P1687" s="81">
        <f>IF(OR($C1687="",$I1687="",$K1687=""),0,IF(ROUND(($I1687-$K1687)*1440,0)&gt;設定!$C$42,ROUND(($I1687-$K1687)*1440,0),0))</f>
        <v/>
      </c>
      <c r="Q1687" s="82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79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0">
        <f>IF($G1688="","",IFERROR(INDEX(設定!$D$6:$D$18,MATCH($G1688,設定!$B$6:$B$18,0)),""))</f>
        <v/>
      </c>
      <c r="I1688" s="80">
        <f>IF($G1688="","",IFERROR(INDEX(設定!$E$6:$E$18,MATCH($G1688,設定!$B$6:$B$18,0)),""))</f>
        <v/>
      </c>
      <c r="J1688" s="80">
        <f>IFERROR(INDEX(打卡匯入!$C$3:$C$2002,MATCH($C1688&amp;"|"&amp;DAY($A1688),打卡匯入!$E$3:$E$2002,0)),"")</f>
        <v/>
      </c>
      <c r="K1688" s="80">
        <f>IFERROR(INDEX(打卡匯入!$D$3:$D$2002,MATCH($C1688&amp;"|"&amp;DAY($A1688),打卡匯入!$E$3:$E$2002,0)),"")</f>
        <v/>
      </c>
      <c r="L1688" s="81">
        <f>IF(OR($J1688="",$K1688=""),"",IFERROR(INDEX(設定!$F$6:$F$18,MATCH($G1688,設定!$B$6:$B$18,0)),0))</f>
        <v/>
      </c>
      <c r="M1688" s="82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1">
        <f>IF(OR($C1688="",$H1688="",$J1688=""),0,IF(ROUND(($J1688-$H1688)*1440,0)&gt;設定!$C$42,ROUND(($J1688-$H1688)*1440,0),0))</f>
        <v/>
      </c>
      <c r="P1688" s="81">
        <f>IF(OR($C1688="",$I1688="",$K1688=""),0,IF(ROUND(($I1688-$K1688)*1440,0)&gt;設定!$C$42,ROUND(($I1688-$K1688)*1440,0),0))</f>
        <v/>
      </c>
      <c r="Q1688" s="82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79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0">
        <f>IF($G1689="","",IFERROR(INDEX(設定!$D$6:$D$18,MATCH($G1689,設定!$B$6:$B$18,0)),""))</f>
        <v/>
      </c>
      <c r="I1689" s="80">
        <f>IF($G1689="","",IFERROR(INDEX(設定!$E$6:$E$18,MATCH($G1689,設定!$B$6:$B$18,0)),""))</f>
        <v/>
      </c>
      <c r="J1689" s="80">
        <f>IFERROR(INDEX(打卡匯入!$C$3:$C$2002,MATCH($C1689&amp;"|"&amp;DAY($A1689),打卡匯入!$E$3:$E$2002,0)),"")</f>
        <v/>
      </c>
      <c r="K1689" s="80">
        <f>IFERROR(INDEX(打卡匯入!$D$3:$D$2002,MATCH($C1689&amp;"|"&amp;DAY($A1689),打卡匯入!$E$3:$E$2002,0)),"")</f>
        <v/>
      </c>
      <c r="L1689" s="81">
        <f>IF(OR($J1689="",$K1689=""),"",IFERROR(INDEX(設定!$F$6:$F$18,MATCH($G1689,設定!$B$6:$B$18,0)),0))</f>
        <v/>
      </c>
      <c r="M1689" s="82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1">
        <f>IF(OR($C1689="",$H1689="",$J1689=""),0,IF(ROUND(($J1689-$H1689)*1440,0)&gt;設定!$C$42,ROUND(($J1689-$H1689)*1440,0),0))</f>
        <v/>
      </c>
      <c r="P1689" s="81">
        <f>IF(OR($C1689="",$I1689="",$K1689=""),0,IF(ROUND(($I1689-$K1689)*1440,0)&gt;設定!$C$42,ROUND(($I1689-$K1689)*1440,0),0))</f>
        <v/>
      </c>
      <c r="Q1689" s="82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79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0">
        <f>IF($G1690="","",IFERROR(INDEX(設定!$D$6:$D$18,MATCH($G1690,設定!$B$6:$B$18,0)),""))</f>
        <v/>
      </c>
      <c r="I1690" s="80">
        <f>IF($G1690="","",IFERROR(INDEX(設定!$E$6:$E$18,MATCH($G1690,設定!$B$6:$B$18,0)),""))</f>
        <v/>
      </c>
      <c r="J1690" s="80">
        <f>IFERROR(INDEX(打卡匯入!$C$3:$C$2002,MATCH($C1690&amp;"|"&amp;DAY($A1690),打卡匯入!$E$3:$E$2002,0)),"")</f>
        <v/>
      </c>
      <c r="K1690" s="80">
        <f>IFERROR(INDEX(打卡匯入!$D$3:$D$2002,MATCH($C1690&amp;"|"&amp;DAY($A1690),打卡匯入!$E$3:$E$2002,0)),"")</f>
        <v/>
      </c>
      <c r="L1690" s="81">
        <f>IF(OR($J1690="",$K1690=""),"",IFERROR(INDEX(設定!$F$6:$F$18,MATCH($G1690,設定!$B$6:$B$18,0)),0))</f>
        <v/>
      </c>
      <c r="M1690" s="82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1">
        <f>IF(OR($C1690="",$H1690="",$J1690=""),0,IF(ROUND(($J1690-$H1690)*1440,0)&gt;設定!$C$42,ROUND(($J1690-$H1690)*1440,0),0))</f>
        <v/>
      </c>
      <c r="P1690" s="81">
        <f>IF(OR($C1690="",$I1690="",$K1690=""),0,IF(ROUND(($I1690-$K1690)*1440,0)&gt;設定!$C$42,ROUND(($I1690-$K1690)*1440,0),0))</f>
        <v/>
      </c>
      <c r="Q1690" s="82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79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0">
        <f>IF($G1691="","",IFERROR(INDEX(設定!$D$6:$D$18,MATCH($G1691,設定!$B$6:$B$18,0)),""))</f>
        <v/>
      </c>
      <c r="I1691" s="80">
        <f>IF($G1691="","",IFERROR(INDEX(設定!$E$6:$E$18,MATCH($G1691,設定!$B$6:$B$18,0)),""))</f>
        <v/>
      </c>
      <c r="J1691" s="80">
        <f>IFERROR(INDEX(打卡匯入!$C$3:$C$2002,MATCH($C1691&amp;"|"&amp;DAY($A1691),打卡匯入!$E$3:$E$2002,0)),"")</f>
        <v/>
      </c>
      <c r="K1691" s="80">
        <f>IFERROR(INDEX(打卡匯入!$D$3:$D$2002,MATCH($C1691&amp;"|"&amp;DAY($A1691),打卡匯入!$E$3:$E$2002,0)),"")</f>
        <v/>
      </c>
      <c r="L1691" s="81">
        <f>IF(OR($J1691="",$K1691=""),"",IFERROR(INDEX(設定!$F$6:$F$18,MATCH($G1691,設定!$B$6:$B$18,0)),0))</f>
        <v/>
      </c>
      <c r="M1691" s="82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1">
        <f>IF(OR($C1691="",$H1691="",$J1691=""),0,IF(ROUND(($J1691-$H1691)*1440,0)&gt;設定!$C$42,ROUND(($J1691-$H1691)*1440,0),0))</f>
        <v/>
      </c>
      <c r="P1691" s="81">
        <f>IF(OR($C1691="",$I1691="",$K1691=""),0,IF(ROUND(($I1691-$K1691)*1440,0)&gt;設定!$C$42,ROUND(($I1691-$K1691)*1440,0),0))</f>
        <v/>
      </c>
      <c r="Q1691" s="82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79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0">
        <f>IF($G1692="","",IFERROR(INDEX(設定!$D$6:$D$18,MATCH($G1692,設定!$B$6:$B$18,0)),""))</f>
        <v/>
      </c>
      <c r="I1692" s="80">
        <f>IF($G1692="","",IFERROR(INDEX(設定!$E$6:$E$18,MATCH($G1692,設定!$B$6:$B$18,0)),""))</f>
        <v/>
      </c>
      <c r="J1692" s="80">
        <f>IFERROR(INDEX(打卡匯入!$C$3:$C$2002,MATCH($C1692&amp;"|"&amp;DAY($A1692),打卡匯入!$E$3:$E$2002,0)),"")</f>
        <v/>
      </c>
      <c r="K1692" s="80">
        <f>IFERROR(INDEX(打卡匯入!$D$3:$D$2002,MATCH($C1692&amp;"|"&amp;DAY($A1692),打卡匯入!$E$3:$E$2002,0)),"")</f>
        <v/>
      </c>
      <c r="L1692" s="81">
        <f>IF(OR($J1692="",$K1692=""),"",IFERROR(INDEX(設定!$F$6:$F$18,MATCH($G1692,設定!$B$6:$B$18,0)),0))</f>
        <v/>
      </c>
      <c r="M1692" s="82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1">
        <f>IF(OR($C1692="",$H1692="",$J1692=""),0,IF(ROUND(($J1692-$H1692)*1440,0)&gt;設定!$C$42,ROUND(($J1692-$H1692)*1440,0),0))</f>
        <v/>
      </c>
      <c r="P1692" s="81">
        <f>IF(OR($C1692="",$I1692="",$K1692=""),0,IF(ROUND(($I1692-$K1692)*1440,0)&gt;設定!$C$42,ROUND(($I1692-$K1692)*1440,0),0))</f>
        <v/>
      </c>
      <c r="Q1692" s="82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79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0">
        <f>IF($G1693="","",IFERROR(INDEX(設定!$D$6:$D$18,MATCH($G1693,設定!$B$6:$B$18,0)),""))</f>
        <v/>
      </c>
      <c r="I1693" s="80">
        <f>IF($G1693="","",IFERROR(INDEX(設定!$E$6:$E$18,MATCH($G1693,設定!$B$6:$B$18,0)),""))</f>
        <v/>
      </c>
      <c r="J1693" s="80">
        <f>IFERROR(INDEX(打卡匯入!$C$3:$C$2002,MATCH($C1693&amp;"|"&amp;DAY($A1693),打卡匯入!$E$3:$E$2002,0)),"")</f>
        <v/>
      </c>
      <c r="K1693" s="80">
        <f>IFERROR(INDEX(打卡匯入!$D$3:$D$2002,MATCH($C1693&amp;"|"&amp;DAY($A1693),打卡匯入!$E$3:$E$2002,0)),"")</f>
        <v/>
      </c>
      <c r="L1693" s="81">
        <f>IF(OR($J1693="",$K1693=""),"",IFERROR(INDEX(設定!$F$6:$F$18,MATCH($G1693,設定!$B$6:$B$18,0)),0))</f>
        <v/>
      </c>
      <c r="M1693" s="82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1">
        <f>IF(OR($C1693="",$H1693="",$J1693=""),0,IF(ROUND(($J1693-$H1693)*1440,0)&gt;設定!$C$42,ROUND(($J1693-$H1693)*1440,0),0))</f>
        <v/>
      </c>
      <c r="P1693" s="81">
        <f>IF(OR($C1693="",$I1693="",$K1693=""),0,IF(ROUND(($I1693-$K1693)*1440,0)&gt;設定!$C$42,ROUND(($I1693-$K1693)*1440,0),0))</f>
        <v/>
      </c>
      <c r="Q1693" s="82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79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0">
        <f>IF($G1694="","",IFERROR(INDEX(設定!$D$6:$D$18,MATCH($G1694,設定!$B$6:$B$18,0)),""))</f>
        <v/>
      </c>
      <c r="I1694" s="80">
        <f>IF($G1694="","",IFERROR(INDEX(設定!$E$6:$E$18,MATCH($G1694,設定!$B$6:$B$18,0)),""))</f>
        <v/>
      </c>
      <c r="J1694" s="80">
        <f>IFERROR(INDEX(打卡匯入!$C$3:$C$2002,MATCH($C1694&amp;"|"&amp;DAY($A1694),打卡匯入!$E$3:$E$2002,0)),"")</f>
        <v/>
      </c>
      <c r="K1694" s="80">
        <f>IFERROR(INDEX(打卡匯入!$D$3:$D$2002,MATCH($C1694&amp;"|"&amp;DAY($A1694),打卡匯入!$E$3:$E$2002,0)),"")</f>
        <v/>
      </c>
      <c r="L1694" s="81">
        <f>IF(OR($J1694="",$K1694=""),"",IFERROR(INDEX(設定!$F$6:$F$18,MATCH($G1694,設定!$B$6:$B$18,0)),0))</f>
        <v/>
      </c>
      <c r="M1694" s="82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1">
        <f>IF(OR($C1694="",$H1694="",$J1694=""),0,IF(ROUND(($J1694-$H1694)*1440,0)&gt;設定!$C$42,ROUND(($J1694-$H1694)*1440,0),0))</f>
        <v/>
      </c>
      <c r="P1694" s="81">
        <f>IF(OR($C1694="",$I1694="",$K1694=""),0,IF(ROUND(($I1694-$K1694)*1440,0)&gt;設定!$C$42,ROUND(($I1694-$K1694)*1440,0),0))</f>
        <v/>
      </c>
      <c r="Q1694" s="82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79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0">
        <f>IF($G1695="","",IFERROR(INDEX(設定!$D$6:$D$18,MATCH($G1695,設定!$B$6:$B$18,0)),""))</f>
        <v/>
      </c>
      <c r="I1695" s="80">
        <f>IF($G1695="","",IFERROR(INDEX(設定!$E$6:$E$18,MATCH($G1695,設定!$B$6:$B$18,0)),""))</f>
        <v/>
      </c>
      <c r="J1695" s="80">
        <f>IFERROR(INDEX(打卡匯入!$C$3:$C$2002,MATCH($C1695&amp;"|"&amp;DAY($A1695),打卡匯入!$E$3:$E$2002,0)),"")</f>
        <v/>
      </c>
      <c r="K1695" s="80">
        <f>IFERROR(INDEX(打卡匯入!$D$3:$D$2002,MATCH($C1695&amp;"|"&amp;DAY($A1695),打卡匯入!$E$3:$E$2002,0)),"")</f>
        <v/>
      </c>
      <c r="L1695" s="81">
        <f>IF(OR($J1695="",$K1695=""),"",IFERROR(INDEX(設定!$F$6:$F$18,MATCH($G1695,設定!$B$6:$B$18,0)),0))</f>
        <v/>
      </c>
      <c r="M1695" s="82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1">
        <f>IF(OR($C1695="",$H1695="",$J1695=""),0,IF(ROUND(($J1695-$H1695)*1440,0)&gt;設定!$C$42,ROUND(($J1695-$H1695)*1440,0),0))</f>
        <v/>
      </c>
      <c r="P1695" s="81">
        <f>IF(OR($C1695="",$I1695="",$K1695=""),0,IF(ROUND(($I1695-$K1695)*1440,0)&gt;設定!$C$42,ROUND(($I1695-$K1695)*1440,0),0))</f>
        <v/>
      </c>
      <c r="Q1695" s="82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79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0">
        <f>IF($G1696="","",IFERROR(INDEX(設定!$D$6:$D$18,MATCH($G1696,設定!$B$6:$B$18,0)),""))</f>
        <v/>
      </c>
      <c r="I1696" s="80">
        <f>IF($G1696="","",IFERROR(INDEX(設定!$E$6:$E$18,MATCH($G1696,設定!$B$6:$B$18,0)),""))</f>
        <v/>
      </c>
      <c r="J1696" s="80">
        <f>IFERROR(INDEX(打卡匯入!$C$3:$C$2002,MATCH($C1696&amp;"|"&amp;DAY($A1696),打卡匯入!$E$3:$E$2002,0)),"")</f>
        <v/>
      </c>
      <c r="K1696" s="80">
        <f>IFERROR(INDEX(打卡匯入!$D$3:$D$2002,MATCH($C1696&amp;"|"&amp;DAY($A1696),打卡匯入!$E$3:$E$2002,0)),"")</f>
        <v/>
      </c>
      <c r="L1696" s="81">
        <f>IF(OR($J1696="",$K1696=""),"",IFERROR(INDEX(設定!$F$6:$F$18,MATCH($G1696,設定!$B$6:$B$18,0)),0))</f>
        <v/>
      </c>
      <c r="M1696" s="82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1">
        <f>IF(OR($C1696="",$H1696="",$J1696=""),0,IF(ROUND(($J1696-$H1696)*1440,0)&gt;設定!$C$42,ROUND(($J1696-$H1696)*1440,0),0))</f>
        <v/>
      </c>
      <c r="P1696" s="81">
        <f>IF(OR($C1696="",$I1696="",$K1696=""),0,IF(ROUND(($I1696-$K1696)*1440,0)&gt;設定!$C$42,ROUND(($I1696-$K1696)*1440,0),0))</f>
        <v/>
      </c>
      <c r="Q1696" s="82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79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0">
        <f>IF($G1697="","",IFERROR(INDEX(設定!$D$6:$D$18,MATCH($G1697,設定!$B$6:$B$18,0)),""))</f>
        <v/>
      </c>
      <c r="I1697" s="80">
        <f>IF($G1697="","",IFERROR(INDEX(設定!$E$6:$E$18,MATCH($G1697,設定!$B$6:$B$18,0)),""))</f>
        <v/>
      </c>
      <c r="J1697" s="80">
        <f>IFERROR(INDEX(打卡匯入!$C$3:$C$2002,MATCH($C1697&amp;"|"&amp;DAY($A1697),打卡匯入!$E$3:$E$2002,0)),"")</f>
        <v/>
      </c>
      <c r="K1697" s="80">
        <f>IFERROR(INDEX(打卡匯入!$D$3:$D$2002,MATCH($C1697&amp;"|"&amp;DAY($A1697),打卡匯入!$E$3:$E$2002,0)),"")</f>
        <v/>
      </c>
      <c r="L1697" s="81">
        <f>IF(OR($J1697="",$K1697=""),"",IFERROR(INDEX(設定!$F$6:$F$18,MATCH($G1697,設定!$B$6:$B$18,0)),0))</f>
        <v/>
      </c>
      <c r="M1697" s="82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1">
        <f>IF(OR($C1697="",$H1697="",$J1697=""),0,IF(ROUND(($J1697-$H1697)*1440,0)&gt;設定!$C$42,ROUND(($J1697-$H1697)*1440,0),0))</f>
        <v/>
      </c>
      <c r="P1697" s="81">
        <f>IF(OR($C1697="",$I1697="",$K1697=""),0,IF(ROUND(($I1697-$K1697)*1440,0)&gt;設定!$C$42,ROUND(($I1697-$K1697)*1440,0),0))</f>
        <v/>
      </c>
      <c r="Q1697" s="82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79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0">
        <f>IF($G1698="","",IFERROR(INDEX(設定!$D$6:$D$18,MATCH($G1698,設定!$B$6:$B$18,0)),""))</f>
        <v/>
      </c>
      <c r="I1698" s="80">
        <f>IF($G1698="","",IFERROR(INDEX(設定!$E$6:$E$18,MATCH($G1698,設定!$B$6:$B$18,0)),""))</f>
        <v/>
      </c>
      <c r="J1698" s="80">
        <f>IFERROR(INDEX(打卡匯入!$C$3:$C$2002,MATCH($C1698&amp;"|"&amp;DAY($A1698),打卡匯入!$E$3:$E$2002,0)),"")</f>
        <v/>
      </c>
      <c r="K1698" s="80">
        <f>IFERROR(INDEX(打卡匯入!$D$3:$D$2002,MATCH($C1698&amp;"|"&amp;DAY($A1698),打卡匯入!$E$3:$E$2002,0)),"")</f>
        <v/>
      </c>
      <c r="L1698" s="81">
        <f>IF(OR($J1698="",$K1698=""),"",IFERROR(INDEX(設定!$F$6:$F$18,MATCH($G1698,設定!$B$6:$B$18,0)),0))</f>
        <v/>
      </c>
      <c r="M1698" s="82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1">
        <f>IF(OR($C1698="",$H1698="",$J1698=""),0,IF(ROUND(($J1698-$H1698)*1440,0)&gt;設定!$C$42,ROUND(($J1698-$H1698)*1440,0),0))</f>
        <v/>
      </c>
      <c r="P1698" s="81">
        <f>IF(OR($C1698="",$I1698="",$K1698=""),0,IF(ROUND(($I1698-$K1698)*1440,0)&gt;設定!$C$42,ROUND(($I1698-$K1698)*1440,0),0))</f>
        <v/>
      </c>
      <c r="Q1698" s="82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79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0">
        <f>IF($G1699="","",IFERROR(INDEX(設定!$D$6:$D$18,MATCH($G1699,設定!$B$6:$B$18,0)),""))</f>
        <v/>
      </c>
      <c r="I1699" s="80">
        <f>IF($G1699="","",IFERROR(INDEX(設定!$E$6:$E$18,MATCH($G1699,設定!$B$6:$B$18,0)),""))</f>
        <v/>
      </c>
      <c r="J1699" s="80">
        <f>IFERROR(INDEX(打卡匯入!$C$3:$C$2002,MATCH($C1699&amp;"|"&amp;DAY($A1699),打卡匯入!$E$3:$E$2002,0)),"")</f>
        <v/>
      </c>
      <c r="K1699" s="80">
        <f>IFERROR(INDEX(打卡匯入!$D$3:$D$2002,MATCH($C1699&amp;"|"&amp;DAY($A1699),打卡匯入!$E$3:$E$2002,0)),"")</f>
        <v/>
      </c>
      <c r="L1699" s="81">
        <f>IF(OR($J1699="",$K1699=""),"",IFERROR(INDEX(設定!$F$6:$F$18,MATCH($G1699,設定!$B$6:$B$18,0)),0))</f>
        <v/>
      </c>
      <c r="M1699" s="82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1">
        <f>IF(OR($C1699="",$H1699="",$J1699=""),0,IF(ROUND(($J1699-$H1699)*1440,0)&gt;設定!$C$42,ROUND(($J1699-$H1699)*1440,0),0))</f>
        <v/>
      </c>
      <c r="P1699" s="81">
        <f>IF(OR($C1699="",$I1699="",$K1699=""),0,IF(ROUND(($I1699-$K1699)*1440,0)&gt;設定!$C$42,ROUND(($I1699-$K1699)*1440,0),0))</f>
        <v/>
      </c>
      <c r="Q1699" s="82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79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0">
        <f>IF($G1700="","",IFERROR(INDEX(設定!$D$6:$D$18,MATCH($G1700,設定!$B$6:$B$18,0)),""))</f>
        <v/>
      </c>
      <c r="I1700" s="80">
        <f>IF($G1700="","",IFERROR(INDEX(設定!$E$6:$E$18,MATCH($G1700,設定!$B$6:$B$18,0)),""))</f>
        <v/>
      </c>
      <c r="J1700" s="80">
        <f>IFERROR(INDEX(打卡匯入!$C$3:$C$2002,MATCH($C1700&amp;"|"&amp;DAY($A1700),打卡匯入!$E$3:$E$2002,0)),"")</f>
        <v/>
      </c>
      <c r="K1700" s="80">
        <f>IFERROR(INDEX(打卡匯入!$D$3:$D$2002,MATCH($C1700&amp;"|"&amp;DAY($A1700),打卡匯入!$E$3:$E$2002,0)),"")</f>
        <v/>
      </c>
      <c r="L1700" s="81">
        <f>IF(OR($J1700="",$K1700=""),"",IFERROR(INDEX(設定!$F$6:$F$18,MATCH($G1700,設定!$B$6:$B$18,0)),0))</f>
        <v/>
      </c>
      <c r="M1700" s="82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1">
        <f>IF(OR($C1700="",$H1700="",$J1700=""),0,IF(ROUND(($J1700-$H1700)*1440,0)&gt;設定!$C$42,ROUND(($J1700-$H1700)*1440,0),0))</f>
        <v/>
      </c>
      <c r="P1700" s="81">
        <f>IF(OR($C1700="",$I1700="",$K1700=""),0,IF(ROUND(($I1700-$K1700)*1440,0)&gt;設定!$C$42,ROUND(($I1700-$K1700)*1440,0),0))</f>
        <v/>
      </c>
      <c r="Q1700" s="82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79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0">
        <f>IF($G1701="","",IFERROR(INDEX(設定!$D$6:$D$18,MATCH($G1701,設定!$B$6:$B$18,0)),""))</f>
        <v/>
      </c>
      <c r="I1701" s="80">
        <f>IF($G1701="","",IFERROR(INDEX(設定!$E$6:$E$18,MATCH($G1701,設定!$B$6:$B$18,0)),""))</f>
        <v/>
      </c>
      <c r="J1701" s="80">
        <f>IFERROR(INDEX(打卡匯入!$C$3:$C$2002,MATCH($C1701&amp;"|"&amp;DAY($A1701),打卡匯入!$E$3:$E$2002,0)),"")</f>
        <v/>
      </c>
      <c r="K1701" s="80">
        <f>IFERROR(INDEX(打卡匯入!$D$3:$D$2002,MATCH($C1701&amp;"|"&amp;DAY($A1701),打卡匯入!$E$3:$E$2002,0)),"")</f>
        <v/>
      </c>
      <c r="L1701" s="81">
        <f>IF(OR($J1701="",$K1701=""),"",IFERROR(INDEX(設定!$F$6:$F$18,MATCH($G1701,設定!$B$6:$B$18,0)),0))</f>
        <v/>
      </c>
      <c r="M1701" s="82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1">
        <f>IF(OR($C1701="",$H1701="",$J1701=""),0,IF(ROUND(($J1701-$H1701)*1440,0)&gt;設定!$C$42,ROUND(($J1701-$H1701)*1440,0),0))</f>
        <v/>
      </c>
      <c r="P1701" s="81">
        <f>IF(OR($C1701="",$I1701="",$K1701=""),0,IF(ROUND(($I1701-$K1701)*1440,0)&gt;設定!$C$42,ROUND(($I1701-$K1701)*1440,0),0))</f>
        <v/>
      </c>
      <c r="Q1701" s="82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79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0">
        <f>IF($G1702="","",IFERROR(INDEX(設定!$D$6:$D$18,MATCH($G1702,設定!$B$6:$B$18,0)),""))</f>
        <v/>
      </c>
      <c r="I1702" s="80">
        <f>IF($G1702="","",IFERROR(INDEX(設定!$E$6:$E$18,MATCH($G1702,設定!$B$6:$B$18,0)),""))</f>
        <v/>
      </c>
      <c r="J1702" s="80">
        <f>IFERROR(INDEX(打卡匯入!$C$3:$C$2002,MATCH($C1702&amp;"|"&amp;DAY($A1702),打卡匯入!$E$3:$E$2002,0)),"")</f>
        <v/>
      </c>
      <c r="K1702" s="80">
        <f>IFERROR(INDEX(打卡匯入!$D$3:$D$2002,MATCH($C1702&amp;"|"&amp;DAY($A1702),打卡匯入!$E$3:$E$2002,0)),"")</f>
        <v/>
      </c>
      <c r="L1702" s="81">
        <f>IF(OR($J1702="",$K1702=""),"",IFERROR(INDEX(設定!$F$6:$F$18,MATCH($G1702,設定!$B$6:$B$18,0)),0))</f>
        <v/>
      </c>
      <c r="M1702" s="82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1">
        <f>IF(OR($C1702="",$H1702="",$J1702=""),0,IF(ROUND(($J1702-$H1702)*1440,0)&gt;設定!$C$42,ROUND(($J1702-$H1702)*1440,0),0))</f>
        <v/>
      </c>
      <c r="P1702" s="81">
        <f>IF(OR($C1702="",$I1702="",$K1702=""),0,IF(ROUND(($I1702-$K1702)*1440,0)&gt;設定!$C$42,ROUND(($I1702-$K1702)*1440,0),0))</f>
        <v/>
      </c>
      <c r="Q1702" s="82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79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0">
        <f>IF($G1703="","",IFERROR(INDEX(設定!$D$6:$D$18,MATCH($G1703,設定!$B$6:$B$18,0)),""))</f>
        <v/>
      </c>
      <c r="I1703" s="80">
        <f>IF($G1703="","",IFERROR(INDEX(設定!$E$6:$E$18,MATCH($G1703,設定!$B$6:$B$18,0)),""))</f>
        <v/>
      </c>
      <c r="J1703" s="80">
        <f>IFERROR(INDEX(打卡匯入!$C$3:$C$2002,MATCH($C1703&amp;"|"&amp;DAY($A1703),打卡匯入!$E$3:$E$2002,0)),"")</f>
        <v/>
      </c>
      <c r="K1703" s="80">
        <f>IFERROR(INDEX(打卡匯入!$D$3:$D$2002,MATCH($C1703&amp;"|"&amp;DAY($A1703),打卡匯入!$E$3:$E$2002,0)),"")</f>
        <v/>
      </c>
      <c r="L1703" s="81">
        <f>IF(OR($J1703="",$K1703=""),"",IFERROR(INDEX(設定!$F$6:$F$18,MATCH($G1703,設定!$B$6:$B$18,0)),0))</f>
        <v/>
      </c>
      <c r="M1703" s="82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1">
        <f>IF(OR($C1703="",$H1703="",$J1703=""),0,IF(ROUND(($J1703-$H1703)*1440,0)&gt;設定!$C$42,ROUND(($J1703-$H1703)*1440,0),0))</f>
        <v/>
      </c>
      <c r="P1703" s="81">
        <f>IF(OR($C1703="",$I1703="",$K1703=""),0,IF(ROUND(($I1703-$K1703)*1440,0)&gt;設定!$C$42,ROUND(($I1703-$K1703)*1440,0),0))</f>
        <v/>
      </c>
      <c r="Q1703" s="82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79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0">
        <f>IF($G1704="","",IFERROR(INDEX(設定!$D$6:$D$18,MATCH($G1704,設定!$B$6:$B$18,0)),""))</f>
        <v/>
      </c>
      <c r="I1704" s="80">
        <f>IF($G1704="","",IFERROR(INDEX(設定!$E$6:$E$18,MATCH($G1704,設定!$B$6:$B$18,0)),""))</f>
        <v/>
      </c>
      <c r="J1704" s="80">
        <f>IFERROR(INDEX(打卡匯入!$C$3:$C$2002,MATCH($C1704&amp;"|"&amp;DAY($A1704),打卡匯入!$E$3:$E$2002,0)),"")</f>
        <v/>
      </c>
      <c r="K1704" s="80">
        <f>IFERROR(INDEX(打卡匯入!$D$3:$D$2002,MATCH($C1704&amp;"|"&amp;DAY($A1704),打卡匯入!$E$3:$E$2002,0)),"")</f>
        <v/>
      </c>
      <c r="L1704" s="81">
        <f>IF(OR($J1704="",$K1704=""),"",IFERROR(INDEX(設定!$F$6:$F$18,MATCH($G1704,設定!$B$6:$B$18,0)),0))</f>
        <v/>
      </c>
      <c r="M1704" s="82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1">
        <f>IF(OR($C1704="",$H1704="",$J1704=""),0,IF(ROUND(($J1704-$H1704)*1440,0)&gt;設定!$C$42,ROUND(($J1704-$H1704)*1440,0),0))</f>
        <v/>
      </c>
      <c r="P1704" s="81">
        <f>IF(OR($C1704="",$I1704="",$K1704=""),0,IF(ROUND(($I1704-$K1704)*1440,0)&gt;設定!$C$42,ROUND(($I1704-$K1704)*1440,0),0))</f>
        <v/>
      </c>
      <c r="Q1704" s="82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79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0">
        <f>IF($G1705="","",IFERROR(INDEX(設定!$D$6:$D$18,MATCH($G1705,設定!$B$6:$B$18,0)),""))</f>
        <v/>
      </c>
      <c r="I1705" s="80">
        <f>IF($G1705="","",IFERROR(INDEX(設定!$E$6:$E$18,MATCH($G1705,設定!$B$6:$B$18,0)),""))</f>
        <v/>
      </c>
      <c r="J1705" s="80">
        <f>IFERROR(INDEX(打卡匯入!$C$3:$C$2002,MATCH($C1705&amp;"|"&amp;DAY($A1705),打卡匯入!$E$3:$E$2002,0)),"")</f>
        <v/>
      </c>
      <c r="K1705" s="80">
        <f>IFERROR(INDEX(打卡匯入!$D$3:$D$2002,MATCH($C1705&amp;"|"&amp;DAY($A1705),打卡匯入!$E$3:$E$2002,0)),"")</f>
        <v/>
      </c>
      <c r="L1705" s="81">
        <f>IF(OR($J1705="",$K1705=""),"",IFERROR(INDEX(設定!$F$6:$F$18,MATCH($G1705,設定!$B$6:$B$18,0)),0))</f>
        <v/>
      </c>
      <c r="M1705" s="82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1">
        <f>IF(OR($C1705="",$H1705="",$J1705=""),0,IF(ROUND(($J1705-$H1705)*1440,0)&gt;設定!$C$42,ROUND(($J1705-$H1705)*1440,0),0))</f>
        <v/>
      </c>
      <c r="P1705" s="81">
        <f>IF(OR($C1705="",$I1705="",$K1705=""),0,IF(ROUND(($I1705-$K1705)*1440,0)&gt;設定!$C$42,ROUND(($I1705-$K1705)*1440,0),0))</f>
        <v/>
      </c>
      <c r="Q1705" s="82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79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0">
        <f>IF($G1706="","",IFERROR(INDEX(設定!$D$6:$D$18,MATCH($G1706,設定!$B$6:$B$18,0)),""))</f>
        <v/>
      </c>
      <c r="I1706" s="80">
        <f>IF($G1706="","",IFERROR(INDEX(設定!$E$6:$E$18,MATCH($G1706,設定!$B$6:$B$18,0)),""))</f>
        <v/>
      </c>
      <c r="J1706" s="80">
        <f>IFERROR(INDEX(打卡匯入!$C$3:$C$2002,MATCH($C1706&amp;"|"&amp;DAY($A1706),打卡匯入!$E$3:$E$2002,0)),"")</f>
        <v/>
      </c>
      <c r="K1706" s="80">
        <f>IFERROR(INDEX(打卡匯入!$D$3:$D$2002,MATCH($C1706&amp;"|"&amp;DAY($A1706),打卡匯入!$E$3:$E$2002,0)),"")</f>
        <v/>
      </c>
      <c r="L1706" s="81">
        <f>IF(OR($J1706="",$K1706=""),"",IFERROR(INDEX(設定!$F$6:$F$18,MATCH($G1706,設定!$B$6:$B$18,0)),0))</f>
        <v/>
      </c>
      <c r="M1706" s="82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1">
        <f>IF(OR($C1706="",$H1706="",$J1706=""),0,IF(ROUND(($J1706-$H1706)*1440,0)&gt;設定!$C$42,ROUND(($J1706-$H1706)*1440,0),0))</f>
        <v/>
      </c>
      <c r="P1706" s="81">
        <f>IF(OR($C1706="",$I1706="",$K1706=""),0,IF(ROUND(($I1706-$K1706)*1440,0)&gt;設定!$C$42,ROUND(($I1706-$K1706)*1440,0),0))</f>
        <v/>
      </c>
      <c r="Q1706" s="82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79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0">
        <f>IF($G1707="","",IFERROR(INDEX(設定!$D$6:$D$18,MATCH($G1707,設定!$B$6:$B$18,0)),""))</f>
        <v/>
      </c>
      <c r="I1707" s="80">
        <f>IF($G1707="","",IFERROR(INDEX(設定!$E$6:$E$18,MATCH($G1707,設定!$B$6:$B$18,0)),""))</f>
        <v/>
      </c>
      <c r="J1707" s="80">
        <f>IFERROR(INDEX(打卡匯入!$C$3:$C$2002,MATCH($C1707&amp;"|"&amp;DAY($A1707),打卡匯入!$E$3:$E$2002,0)),"")</f>
        <v/>
      </c>
      <c r="K1707" s="80">
        <f>IFERROR(INDEX(打卡匯入!$D$3:$D$2002,MATCH($C1707&amp;"|"&amp;DAY($A1707),打卡匯入!$E$3:$E$2002,0)),"")</f>
        <v/>
      </c>
      <c r="L1707" s="81">
        <f>IF(OR($J1707="",$K1707=""),"",IFERROR(INDEX(設定!$F$6:$F$18,MATCH($G1707,設定!$B$6:$B$18,0)),0))</f>
        <v/>
      </c>
      <c r="M1707" s="82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1">
        <f>IF(OR($C1707="",$H1707="",$J1707=""),0,IF(ROUND(($J1707-$H1707)*1440,0)&gt;設定!$C$42,ROUND(($J1707-$H1707)*1440,0),0))</f>
        <v/>
      </c>
      <c r="P1707" s="81">
        <f>IF(OR($C1707="",$I1707="",$K1707=""),0,IF(ROUND(($I1707-$K1707)*1440,0)&gt;設定!$C$42,ROUND(($I1707-$K1707)*1440,0),0))</f>
        <v/>
      </c>
      <c r="Q1707" s="82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79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0">
        <f>IF($G1708="","",IFERROR(INDEX(設定!$D$6:$D$18,MATCH($G1708,設定!$B$6:$B$18,0)),""))</f>
        <v/>
      </c>
      <c r="I1708" s="80">
        <f>IF($G1708="","",IFERROR(INDEX(設定!$E$6:$E$18,MATCH($G1708,設定!$B$6:$B$18,0)),""))</f>
        <v/>
      </c>
      <c r="J1708" s="80">
        <f>IFERROR(INDEX(打卡匯入!$C$3:$C$2002,MATCH($C1708&amp;"|"&amp;DAY($A1708),打卡匯入!$E$3:$E$2002,0)),"")</f>
        <v/>
      </c>
      <c r="K1708" s="80">
        <f>IFERROR(INDEX(打卡匯入!$D$3:$D$2002,MATCH($C1708&amp;"|"&amp;DAY($A1708),打卡匯入!$E$3:$E$2002,0)),"")</f>
        <v/>
      </c>
      <c r="L1708" s="81">
        <f>IF(OR($J1708="",$K1708=""),"",IFERROR(INDEX(設定!$F$6:$F$18,MATCH($G1708,設定!$B$6:$B$18,0)),0))</f>
        <v/>
      </c>
      <c r="M1708" s="82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1">
        <f>IF(OR($C1708="",$H1708="",$J1708=""),0,IF(ROUND(($J1708-$H1708)*1440,0)&gt;設定!$C$42,ROUND(($J1708-$H1708)*1440,0),0))</f>
        <v/>
      </c>
      <c r="P1708" s="81">
        <f>IF(OR($C1708="",$I1708="",$K1708=""),0,IF(ROUND(($I1708-$K1708)*1440,0)&gt;設定!$C$42,ROUND(($I1708-$K1708)*1440,0),0))</f>
        <v/>
      </c>
      <c r="Q1708" s="82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79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0">
        <f>IF($G1709="","",IFERROR(INDEX(設定!$D$6:$D$18,MATCH($G1709,設定!$B$6:$B$18,0)),""))</f>
        <v/>
      </c>
      <c r="I1709" s="80">
        <f>IF($G1709="","",IFERROR(INDEX(設定!$E$6:$E$18,MATCH($G1709,設定!$B$6:$B$18,0)),""))</f>
        <v/>
      </c>
      <c r="J1709" s="80">
        <f>IFERROR(INDEX(打卡匯入!$C$3:$C$2002,MATCH($C1709&amp;"|"&amp;DAY($A1709),打卡匯入!$E$3:$E$2002,0)),"")</f>
        <v/>
      </c>
      <c r="K1709" s="80">
        <f>IFERROR(INDEX(打卡匯入!$D$3:$D$2002,MATCH($C1709&amp;"|"&amp;DAY($A1709),打卡匯入!$E$3:$E$2002,0)),"")</f>
        <v/>
      </c>
      <c r="L1709" s="81">
        <f>IF(OR($J1709="",$K1709=""),"",IFERROR(INDEX(設定!$F$6:$F$18,MATCH($G1709,設定!$B$6:$B$18,0)),0))</f>
        <v/>
      </c>
      <c r="M1709" s="82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1">
        <f>IF(OR($C1709="",$H1709="",$J1709=""),0,IF(ROUND(($J1709-$H1709)*1440,0)&gt;設定!$C$42,ROUND(($J1709-$H1709)*1440,0),0))</f>
        <v/>
      </c>
      <c r="P1709" s="81">
        <f>IF(OR($C1709="",$I1709="",$K1709=""),0,IF(ROUND(($I1709-$K1709)*1440,0)&gt;設定!$C$42,ROUND(($I1709-$K1709)*1440,0),0))</f>
        <v/>
      </c>
      <c r="Q1709" s="82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79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0">
        <f>IF($G1710="","",IFERROR(INDEX(設定!$D$6:$D$18,MATCH($G1710,設定!$B$6:$B$18,0)),""))</f>
        <v/>
      </c>
      <c r="I1710" s="80">
        <f>IF($G1710="","",IFERROR(INDEX(設定!$E$6:$E$18,MATCH($G1710,設定!$B$6:$B$18,0)),""))</f>
        <v/>
      </c>
      <c r="J1710" s="80">
        <f>IFERROR(INDEX(打卡匯入!$C$3:$C$2002,MATCH($C1710&amp;"|"&amp;DAY($A1710),打卡匯入!$E$3:$E$2002,0)),"")</f>
        <v/>
      </c>
      <c r="K1710" s="80">
        <f>IFERROR(INDEX(打卡匯入!$D$3:$D$2002,MATCH($C1710&amp;"|"&amp;DAY($A1710),打卡匯入!$E$3:$E$2002,0)),"")</f>
        <v/>
      </c>
      <c r="L1710" s="81">
        <f>IF(OR($J1710="",$K1710=""),"",IFERROR(INDEX(設定!$F$6:$F$18,MATCH($G1710,設定!$B$6:$B$18,0)),0))</f>
        <v/>
      </c>
      <c r="M1710" s="82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1">
        <f>IF(OR($C1710="",$H1710="",$J1710=""),0,IF(ROUND(($J1710-$H1710)*1440,0)&gt;設定!$C$42,ROUND(($J1710-$H1710)*1440,0),0))</f>
        <v/>
      </c>
      <c r="P1710" s="81">
        <f>IF(OR($C1710="",$I1710="",$K1710=""),0,IF(ROUND(($I1710-$K1710)*1440,0)&gt;設定!$C$42,ROUND(($I1710-$K1710)*1440,0),0))</f>
        <v/>
      </c>
      <c r="Q1710" s="82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79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0">
        <f>IF($G1711="","",IFERROR(INDEX(設定!$D$6:$D$18,MATCH($G1711,設定!$B$6:$B$18,0)),""))</f>
        <v/>
      </c>
      <c r="I1711" s="80">
        <f>IF($G1711="","",IFERROR(INDEX(設定!$E$6:$E$18,MATCH($G1711,設定!$B$6:$B$18,0)),""))</f>
        <v/>
      </c>
      <c r="J1711" s="80">
        <f>IFERROR(INDEX(打卡匯入!$C$3:$C$2002,MATCH($C1711&amp;"|"&amp;DAY($A1711),打卡匯入!$E$3:$E$2002,0)),"")</f>
        <v/>
      </c>
      <c r="K1711" s="80">
        <f>IFERROR(INDEX(打卡匯入!$D$3:$D$2002,MATCH($C1711&amp;"|"&amp;DAY($A1711),打卡匯入!$E$3:$E$2002,0)),"")</f>
        <v/>
      </c>
      <c r="L1711" s="81">
        <f>IF(OR($J1711="",$K1711=""),"",IFERROR(INDEX(設定!$F$6:$F$18,MATCH($G1711,設定!$B$6:$B$18,0)),0))</f>
        <v/>
      </c>
      <c r="M1711" s="82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1">
        <f>IF(OR($C1711="",$H1711="",$J1711=""),0,IF(ROUND(($J1711-$H1711)*1440,0)&gt;設定!$C$42,ROUND(($J1711-$H1711)*1440,0),0))</f>
        <v/>
      </c>
      <c r="P1711" s="81">
        <f>IF(OR($C1711="",$I1711="",$K1711=""),0,IF(ROUND(($I1711-$K1711)*1440,0)&gt;設定!$C$42,ROUND(($I1711-$K1711)*1440,0),0))</f>
        <v/>
      </c>
      <c r="Q1711" s="82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79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0">
        <f>IF($G1712="","",IFERROR(INDEX(設定!$D$6:$D$18,MATCH($G1712,設定!$B$6:$B$18,0)),""))</f>
        <v/>
      </c>
      <c r="I1712" s="80">
        <f>IF($G1712="","",IFERROR(INDEX(設定!$E$6:$E$18,MATCH($G1712,設定!$B$6:$B$18,0)),""))</f>
        <v/>
      </c>
      <c r="J1712" s="80">
        <f>IFERROR(INDEX(打卡匯入!$C$3:$C$2002,MATCH($C1712&amp;"|"&amp;DAY($A1712),打卡匯入!$E$3:$E$2002,0)),"")</f>
        <v/>
      </c>
      <c r="K1712" s="80">
        <f>IFERROR(INDEX(打卡匯入!$D$3:$D$2002,MATCH($C1712&amp;"|"&amp;DAY($A1712),打卡匯入!$E$3:$E$2002,0)),"")</f>
        <v/>
      </c>
      <c r="L1712" s="81">
        <f>IF(OR($J1712="",$K1712=""),"",IFERROR(INDEX(設定!$F$6:$F$18,MATCH($G1712,設定!$B$6:$B$18,0)),0))</f>
        <v/>
      </c>
      <c r="M1712" s="82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1">
        <f>IF(OR($C1712="",$H1712="",$J1712=""),0,IF(ROUND(($J1712-$H1712)*1440,0)&gt;設定!$C$42,ROUND(($J1712-$H1712)*1440,0),0))</f>
        <v/>
      </c>
      <c r="P1712" s="81">
        <f>IF(OR($C1712="",$I1712="",$K1712=""),0,IF(ROUND(($I1712-$K1712)*1440,0)&gt;設定!$C$42,ROUND(($I1712-$K1712)*1440,0),0))</f>
        <v/>
      </c>
      <c r="Q1712" s="82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79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0">
        <f>IF($G1713="","",IFERROR(INDEX(設定!$D$6:$D$18,MATCH($G1713,設定!$B$6:$B$18,0)),""))</f>
        <v/>
      </c>
      <c r="I1713" s="80">
        <f>IF($G1713="","",IFERROR(INDEX(設定!$E$6:$E$18,MATCH($G1713,設定!$B$6:$B$18,0)),""))</f>
        <v/>
      </c>
      <c r="J1713" s="80">
        <f>IFERROR(INDEX(打卡匯入!$C$3:$C$2002,MATCH($C1713&amp;"|"&amp;DAY($A1713),打卡匯入!$E$3:$E$2002,0)),"")</f>
        <v/>
      </c>
      <c r="K1713" s="80">
        <f>IFERROR(INDEX(打卡匯入!$D$3:$D$2002,MATCH($C1713&amp;"|"&amp;DAY($A1713),打卡匯入!$E$3:$E$2002,0)),"")</f>
        <v/>
      </c>
      <c r="L1713" s="81">
        <f>IF(OR($J1713="",$K1713=""),"",IFERROR(INDEX(設定!$F$6:$F$18,MATCH($G1713,設定!$B$6:$B$18,0)),0))</f>
        <v/>
      </c>
      <c r="M1713" s="82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1">
        <f>IF(OR($C1713="",$H1713="",$J1713=""),0,IF(ROUND(($J1713-$H1713)*1440,0)&gt;設定!$C$42,ROUND(($J1713-$H1713)*1440,0),0))</f>
        <v/>
      </c>
      <c r="P1713" s="81">
        <f>IF(OR($C1713="",$I1713="",$K1713=""),0,IF(ROUND(($I1713-$K1713)*1440,0)&gt;設定!$C$42,ROUND(($I1713-$K1713)*1440,0),0))</f>
        <v/>
      </c>
      <c r="Q1713" s="82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79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0">
        <f>IF($G1714="","",IFERROR(INDEX(設定!$D$6:$D$18,MATCH($G1714,設定!$B$6:$B$18,0)),""))</f>
        <v/>
      </c>
      <c r="I1714" s="80">
        <f>IF($G1714="","",IFERROR(INDEX(設定!$E$6:$E$18,MATCH($G1714,設定!$B$6:$B$18,0)),""))</f>
        <v/>
      </c>
      <c r="J1714" s="80">
        <f>IFERROR(INDEX(打卡匯入!$C$3:$C$2002,MATCH($C1714&amp;"|"&amp;DAY($A1714),打卡匯入!$E$3:$E$2002,0)),"")</f>
        <v/>
      </c>
      <c r="K1714" s="80">
        <f>IFERROR(INDEX(打卡匯入!$D$3:$D$2002,MATCH($C1714&amp;"|"&amp;DAY($A1714),打卡匯入!$E$3:$E$2002,0)),"")</f>
        <v/>
      </c>
      <c r="L1714" s="81">
        <f>IF(OR($J1714="",$K1714=""),"",IFERROR(INDEX(設定!$F$6:$F$18,MATCH($G1714,設定!$B$6:$B$18,0)),0))</f>
        <v/>
      </c>
      <c r="M1714" s="82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1">
        <f>IF(OR($C1714="",$H1714="",$J1714=""),0,IF(ROUND(($J1714-$H1714)*1440,0)&gt;設定!$C$42,ROUND(($J1714-$H1714)*1440,0),0))</f>
        <v/>
      </c>
      <c r="P1714" s="81">
        <f>IF(OR($C1714="",$I1714="",$K1714=""),0,IF(ROUND(($I1714-$K1714)*1440,0)&gt;設定!$C$42,ROUND(($I1714-$K1714)*1440,0),0))</f>
        <v/>
      </c>
      <c r="Q1714" s="82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79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0">
        <f>IF($G1715="","",IFERROR(INDEX(設定!$D$6:$D$18,MATCH($G1715,設定!$B$6:$B$18,0)),""))</f>
        <v/>
      </c>
      <c r="I1715" s="80">
        <f>IF($G1715="","",IFERROR(INDEX(設定!$E$6:$E$18,MATCH($G1715,設定!$B$6:$B$18,0)),""))</f>
        <v/>
      </c>
      <c r="J1715" s="80">
        <f>IFERROR(INDEX(打卡匯入!$C$3:$C$2002,MATCH($C1715&amp;"|"&amp;DAY($A1715),打卡匯入!$E$3:$E$2002,0)),"")</f>
        <v/>
      </c>
      <c r="K1715" s="80">
        <f>IFERROR(INDEX(打卡匯入!$D$3:$D$2002,MATCH($C1715&amp;"|"&amp;DAY($A1715),打卡匯入!$E$3:$E$2002,0)),"")</f>
        <v/>
      </c>
      <c r="L1715" s="81">
        <f>IF(OR($J1715="",$K1715=""),"",IFERROR(INDEX(設定!$F$6:$F$18,MATCH($G1715,設定!$B$6:$B$18,0)),0))</f>
        <v/>
      </c>
      <c r="M1715" s="82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1">
        <f>IF(OR($C1715="",$H1715="",$J1715=""),0,IF(ROUND(($J1715-$H1715)*1440,0)&gt;設定!$C$42,ROUND(($J1715-$H1715)*1440,0),0))</f>
        <v/>
      </c>
      <c r="P1715" s="81">
        <f>IF(OR($C1715="",$I1715="",$K1715=""),0,IF(ROUND(($I1715-$K1715)*1440,0)&gt;設定!$C$42,ROUND(($I1715-$K1715)*1440,0),0))</f>
        <v/>
      </c>
      <c r="Q1715" s="82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79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0">
        <f>IF($G1716="","",IFERROR(INDEX(設定!$D$6:$D$18,MATCH($G1716,設定!$B$6:$B$18,0)),""))</f>
        <v/>
      </c>
      <c r="I1716" s="80">
        <f>IF($G1716="","",IFERROR(INDEX(設定!$E$6:$E$18,MATCH($G1716,設定!$B$6:$B$18,0)),""))</f>
        <v/>
      </c>
      <c r="J1716" s="80">
        <f>IFERROR(INDEX(打卡匯入!$C$3:$C$2002,MATCH($C1716&amp;"|"&amp;DAY($A1716),打卡匯入!$E$3:$E$2002,0)),"")</f>
        <v/>
      </c>
      <c r="K1716" s="80">
        <f>IFERROR(INDEX(打卡匯入!$D$3:$D$2002,MATCH($C1716&amp;"|"&amp;DAY($A1716),打卡匯入!$E$3:$E$2002,0)),"")</f>
        <v/>
      </c>
      <c r="L1716" s="81">
        <f>IF(OR($J1716="",$K1716=""),"",IFERROR(INDEX(設定!$F$6:$F$18,MATCH($G1716,設定!$B$6:$B$18,0)),0))</f>
        <v/>
      </c>
      <c r="M1716" s="82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1">
        <f>IF(OR($C1716="",$H1716="",$J1716=""),0,IF(ROUND(($J1716-$H1716)*1440,0)&gt;設定!$C$42,ROUND(($J1716-$H1716)*1440,0),0))</f>
        <v/>
      </c>
      <c r="P1716" s="81">
        <f>IF(OR($C1716="",$I1716="",$K1716=""),0,IF(ROUND(($I1716-$K1716)*1440,0)&gt;設定!$C$42,ROUND(($I1716-$K1716)*1440,0),0))</f>
        <v/>
      </c>
      <c r="Q1716" s="82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79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0">
        <f>IF($G1717="","",IFERROR(INDEX(設定!$D$6:$D$18,MATCH($G1717,設定!$B$6:$B$18,0)),""))</f>
        <v/>
      </c>
      <c r="I1717" s="80">
        <f>IF($G1717="","",IFERROR(INDEX(設定!$E$6:$E$18,MATCH($G1717,設定!$B$6:$B$18,0)),""))</f>
        <v/>
      </c>
      <c r="J1717" s="80">
        <f>IFERROR(INDEX(打卡匯入!$C$3:$C$2002,MATCH($C1717&amp;"|"&amp;DAY($A1717),打卡匯入!$E$3:$E$2002,0)),"")</f>
        <v/>
      </c>
      <c r="K1717" s="80">
        <f>IFERROR(INDEX(打卡匯入!$D$3:$D$2002,MATCH($C1717&amp;"|"&amp;DAY($A1717),打卡匯入!$E$3:$E$2002,0)),"")</f>
        <v/>
      </c>
      <c r="L1717" s="81">
        <f>IF(OR($J1717="",$K1717=""),"",IFERROR(INDEX(設定!$F$6:$F$18,MATCH($G1717,設定!$B$6:$B$18,0)),0))</f>
        <v/>
      </c>
      <c r="M1717" s="82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1">
        <f>IF(OR($C1717="",$H1717="",$J1717=""),0,IF(ROUND(($J1717-$H1717)*1440,0)&gt;設定!$C$42,ROUND(($J1717-$H1717)*1440,0),0))</f>
        <v/>
      </c>
      <c r="P1717" s="81">
        <f>IF(OR($C1717="",$I1717="",$K1717=""),0,IF(ROUND(($I1717-$K1717)*1440,0)&gt;設定!$C$42,ROUND(($I1717-$K1717)*1440,0),0))</f>
        <v/>
      </c>
      <c r="Q1717" s="82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79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0">
        <f>IF($G1718="","",IFERROR(INDEX(設定!$D$6:$D$18,MATCH($G1718,設定!$B$6:$B$18,0)),""))</f>
        <v/>
      </c>
      <c r="I1718" s="80">
        <f>IF($G1718="","",IFERROR(INDEX(設定!$E$6:$E$18,MATCH($G1718,設定!$B$6:$B$18,0)),""))</f>
        <v/>
      </c>
      <c r="J1718" s="80">
        <f>IFERROR(INDEX(打卡匯入!$C$3:$C$2002,MATCH($C1718&amp;"|"&amp;DAY($A1718),打卡匯入!$E$3:$E$2002,0)),"")</f>
        <v/>
      </c>
      <c r="K1718" s="80">
        <f>IFERROR(INDEX(打卡匯入!$D$3:$D$2002,MATCH($C1718&amp;"|"&amp;DAY($A1718),打卡匯入!$E$3:$E$2002,0)),"")</f>
        <v/>
      </c>
      <c r="L1718" s="81">
        <f>IF(OR($J1718="",$K1718=""),"",IFERROR(INDEX(設定!$F$6:$F$18,MATCH($G1718,設定!$B$6:$B$18,0)),0))</f>
        <v/>
      </c>
      <c r="M1718" s="82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1">
        <f>IF(OR($C1718="",$H1718="",$J1718=""),0,IF(ROUND(($J1718-$H1718)*1440,0)&gt;設定!$C$42,ROUND(($J1718-$H1718)*1440,0),0))</f>
        <v/>
      </c>
      <c r="P1718" s="81">
        <f>IF(OR($C1718="",$I1718="",$K1718=""),0,IF(ROUND(($I1718-$K1718)*1440,0)&gt;設定!$C$42,ROUND(($I1718-$K1718)*1440,0),0))</f>
        <v/>
      </c>
      <c r="Q1718" s="82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79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0">
        <f>IF($G1719="","",IFERROR(INDEX(設定!$D$6:$D$18,MATCH($G1719,設定!$B$6:$B$18,0)),""))</f>
        <v/>
      </c>
      <c r="I1719" s="80">
        <f>IF($G1719="","",IFERROR(INDEX(設定!$E$6:$E$18,MATCH($G1719,設定!$B$6:$B$18,0)),""))</f>
        <v/>
      </c>
      <c r="J1719" s="80">
        <f>IFERROR(INDEX(打卡匯入!$C$3:$C$2002,MATCH($C1719&amp;"|"&amp;DAY($A1719),打卡匯入!$E$3:$E$2002,0)),"")</f>
        <v/>
      </c>
      <c r="K1719" s="80">
        <f>IFERROR(INDEX(打卡匯入!$D$3:$D$2002,MATCH($C1719&amp;"|"&amp;DAY($A1719),打卡匯入!$E$3:$E$2002,0)),"")</f>
        <v/>
      </c>
      <c r="L1719" s="81">
        <f>IF(OR($J1719="",$K1719=""),"",IFERROR(INDEX(設定!$F$6:$F$18,MATCH($G1719,設定!$B$6:$B$18,0)),0))</f>
        <v/>
      </c>
      <c r="M1719" s="82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1">
        <f>IF(OR($C1719="",$H1719="",$J1719=""),0,IF(ROUND(($J1719-$H1719)*1440,0)&gt;設定!$C$42,ROUND(($J1719-$H1719)*1440,0),0))</f>
        <v/>
      </c>
      <c r="P1719" s="81">
        <f>IF(OR($C1719="",$I1719="",$K1719=""),0,IF(ROUND(($I1719-$K1719)*1440,0)&gt;設定!$C$42,ROUND(($I1719-$K1719)*1440,0),0))</f>
        <v/>
      </c>
      <c r="Q1719" s="82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79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0">
        <f>IF($G1720="","",IFERROR(INDEX(設定!$D$6:$D$18,MATCH($G1720,設定!$B$6:$B$18,0)),""))</f>
        <v/>
      </c>
      <c r="I1720" s="80">
        <f>IF($G1720="","",IFERROR(INDEX(設定!$E$6:$E$18,MATCH($G1720,設定!$B$6:$B$18,0)),""))</f>
        <v/>
      </c>
      <c r="J1720" s="80">
        <f>IFERROR(INDEX(打卡匯入!$C$3:$C$2002,MATCH($C1720&amp;"|"&amp;DAY($A1720),打卡匯入!$E$3:$E$2002,0)),"")</f>
        <v/>
      </c>
      <c r="K1720" s="80">
        <f>IFERROR(INDEX(打卡匯入!$D$3:$D$2002,MATCH($C1720&amp;"|"&amp;DAY($A1720),打卡匯入!$E$3:$E$2002,0)),"")</f>
        <v/>
      </c>
      <c r="L1720" s="81">
        <f>IF(OR($J1720="",$K1720=""),"",IFERROR(INDEX(設定!$F$6:$F$18,MATCH($G1720,設定!$B$6:$B$18,0)),0))</f>
        <v/>
      </c>
      <c r="M1720" s="82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1">
        <f>IF(OR($C1720="",$H1720="",$J1720=""),0,IF(ROUND(($J1720-$H1720)*1440,0)&gt;設定!$C$42,ROUND(($J1720-$H1720)*1440,0),0))</f>
        <v/>
      </c>
      <c r="P1720" s="81">
        <f>IF(OR($C1720="",$I1720="",$K1720=""),0,IF(ROUND(($I1720-$K1720)*1440,0)&gt;設定!$C$42,ROUND(($I1720-$K1720)*1440,0),0))</f>
        <v/>
      </c>
      <c r="Q1720" s="82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79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0">
        <f>IF($G1721="","",IFERROR(INDEX(設定!$D$6:$D$18,MATCH($G1721,設定!$B$6:$B$18,0)),""))</f>
        <v/>
      </c>
      <c r="I1721" s="80">
        <f>IF($G1721="","",IFERROR(INDEX(設定!$E$6:$E$18,MATCH($G1721,設定!$B$6:$B$18,0)),""))</f>
        <v/>
      </c>
      <c r="J1721" s="80">
        <f>IFERROR(INDEX(打卡匯入!$C$3:$C$2002,MATCH($C1721&amp;"|"&amp;DAY($A1721),打卡匯入!$E$3:$E$2002,0)),"")</f>
        <v/>
      </c>
      <c r="K1721" s="80">
        <f>IFERROR(INDEX(打卡匯入!$D$3:$D$2002,MATCH($C1721&amp;"|"&amp;DAY($A1721),打卡匯入!$E$3:$E$2002,0)),"")</f>
        <v/>
      </c>
      <c r="L1721" s="81">
        <f>IF(OR($J1721="",$K1721=""),"",IFERROR(INDEX(設定!$F$6:$F$18,MATCH($G1721,設定!$B$6:$B$18,0)),0))</f>
        <v/>
      </c>
      <c r="M1721" s="82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1">
        <f>IF(OR($C1721="",$H1721="",$J1721=""),0,IF(ROUND(($J1721-$H1721)*1440,0)&gt;設定!$C$42,ROUND(($J1721-$H1721)*1440,0),0))</f>
        <v/>
      </c>
      <c r="P1721" s="81">
        <f>IF(OR($C1721="",$I1721="",$K1721=""),0,IF(ROUND(($I1721-$K1721)*1440,0)&gt;設定!$C$42,ROUND(($I1721-$K1721)*1440,0),0))</f>
        <v/>
      </c>
      <c r="Q1721" s="82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79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0">
        <f>IF($G1722="","",IFERROR(INDEX(設定!$D$6:$D$18,MATCH($G1722,設定!$B$6:$B$18,0)),""))</f>
        <v/>
      </c>
      <c r="I1722" s="80">
        <f>IF($G1722="","",IFERROR(INDEX(設定!$E$6:$E$18,MATCH($G1722,設定!$B$6:$B$18,0)),""))</f>
        <v/>
      </c>
      <c r="J1722" s="80">
        <f>IFERROR(INDEX(打卡匯入!$C$3:$C$2002,MATCH($C1722&amp;"|"&amp;DAY($A1722),打卡匯入!$E$3:$E$2002,0)),"")</f>
        <v/>
      </c>
      <c r="K1722" s="80">
        <f>IFERROR(INDEX(打卡匯入!$D$3:$D$2002,MATCH($C1722&amp;"|"&amp;DAY($A1722),打卡匯入!$E$3:$E$2002,0)),"")</f>
        <v/>
      </c>
      <c r="L1722" s="81">
        <f>IF(OR($J1722="",$K1722=""),"",IFERROR(INDEX(設定!$F$6:$F$18,MATCH($G1722,設定!$B$6:$B$18,0)),0))</f>
        <v/>
      </c>
      <c r="M1722" s="82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1">
        <f>IF(OR($C1722="",$H1722="",$J1722=""),0,IF(ROUND(($J1722-$H1722)*1440,0)&gt;設定!$C$42,ROUND(($J1722-$H1722)*1440,0),0))</f>
        <v/>
      </c>
      <c r="P1722" s="81">
        <f>IF(OR($C1722="",$I1722="",$K1722=""),0,IF(ROUND(($I1722-$K1722)*1440,0)&gt;設定!$C$42,ROUND(($I1722-$K1722)*1440,0),0))</f>
        <v/>
      </c>
      <c r="Q1722" s="82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79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0">
        <f>IF($G1723="","",IFERROR(INDEX(設定!$D$6:$D$18,MATCH($G1723,設定!$B$6:$B$18,0)),""))</f>
        <v/>
      </c>
      <c r="I1723" s="80">
        <f>IF($G1723="","",IFERROR(INDEX(設定!$E$6:$E$18,MATCH($G1723,設定!$B$6:$B$18,0)),""))</f>
        <v/>
      </c>
      <c r="J1723" s="80">
        <f>IFERROR(INDEX(打卡匯入!$C$3:$C$2002,MATCH($C1723&amp;"|"&amp;DAY($A1723),打卡匯入!$E$3:$E$2002,0)),"")</f>
        <v/>
      </c>
      <c r="K1723" s="80">
        <f>IFERROR(INDEX(打卡匯入!$D$3:$D$2002,MATCH($C1723&amp;"|"&amp;DAY($A1723),打卡匯入!$E$3:$E$2002,0)),"")</f>
        <v/>
      </c>
      <c r="L1723" s="81">
        <f>IF(OR($J1723="",$K1723=""),"",IFERROR(INDEX(設定!$F$6:$F$18,MATCH($G1723,設定!$B$6:$B$18,0)),0))</f>
        <v/>
      </c>
      <c r="M1723" s="82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1">
        <f>IF(OR($C1723="",$H1723="",$J1723=""),0,IF(ROUND(($J1723-$H1723)*1440,0)&gt;設定!$C$42,ROUND(($J1723-$H1723)*1440,0),0))</f>
        <v/>
      </c>
      <c r="P1723" s="81">
        <f>IF(OR($C1723="",$I1723="",$K1723=""),0,IF(ROUND(($I1723-$K1723)*1440,0)&gt;設定!$C$42,ROUND(($I1723-$K1723)*1440,0),0))</f>
        <v/>
      </c>
      <c r="Q1723" s="82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79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0">
        <f>IF($G1724="","",IFERROR(INDEX(設定!$D$6:$D$18,MATCH($G1724,設定!$B$6:$B$18,0)),""))</f>
        <v/>
      </c>
      <c r="I1724" s="80">
        <f>IF($G1724="","",IFERROR(INDEX(設定!$E$6:$E$18,MATCH($G1724,設定!$B$6:$B$18,0)),""))</f>
        <v/>
      </c>
      <c r="J1724" s="80">
        <f>IFERROR(INDEX(打卡匯入!$C$3:$C$2002,MATCH($C1724&amp;"|"&amp;DAY($A1724),打卡匯入!$E$3:$E$2002,0)),"")</f>
        <v/>
      </c>
      <c r="K1724" s="80">
        <f>IFERROR(INDEX(打卡匯入!$D$3:$D$2002,MATCH($C1724&amp;"|"&amp;DAY($A1724),打卡匯入!$E$3:$E$2002,0)),"")</f>
        <v/>
      </c>
      <c r="L1724" s="81">
        <f>IF(OR($J1724="",$K1724=""),"",IFERROR(INDEX(設定!$F$6:$F$18,MATCH($G1724,設定!$B$6:$B$18,0)),0))</f>
        <v/>
      </c>
      <c r="M1724" s="82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1">
        <f>IF(OR($C1724="",$H1724="",$J1724=""),0,IF(ROUND(($J1724-$H1724)*1440,0)&gt;設定!$C$42,ROUND(($J1724-$H1724)*1440,0),0))</f>
        <v/>
      </c>
      <c r="P1724" s="81">
        <f>IF(OR($C1724="",$I1724="",$K1724=""),0,IF(ROUND(($I1724-$K1724)*1440,0)&gt;設定!$C$42,ROUND(($I1724-$K1724)*1440,0),0))</f>
        <v/>
      </c>
      <c r="Q1724" s="82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79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0">
        <f>IF($G1725="","",IFERROR(INDEX(設定!$D$6:$D$18,MATCH($G1725,設定!$B$6:$B$18,0)),""))</f>
        <v/>
      </c>
      <c r="I1725" s="80">
        <f>IF($G1725="","",IFERROR(INDEX(設定!$E$6:$E$18,MATCH($G1725,設定!$B$6:$B$18,0)),""))</f>
        <v/>
      </c>
      <c r="J1725" s="80">
        <f>IFERROR(INDEX(打卡匯入!$C$3:$C$2002,MATCH($C1725&amp;"|"&amp;DAY($A1725),打卡匯入!$E$3:$E$2002,0)),"")</f>
        <v/>
      </c>
      <c r="K1725" s="80">
        <f>IFERROR(INDEX(打卡匯入!$D$3:$D$2002,MATCH($C1725&amp;"|"&amp;DAY($A1725),打卡匯入!$E$3:$E$2002,0)),"")</f>
        <v/>
      </c>
      <c r="L1725" s="81">
        <f>IF(OR($J1725="",$K1725=""),"",IFERROR(INDEX(設定!$F$6:$F$18,MATCH($G1725,設定!$B$6:$B$18,0)),0))</f>
        <v/>
      </c>
      <c r="M1725" s="82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1">
        <f>IF(OR($C1725="",$H1725="",$J1725=""),0,IF(ROUND(($J1725-$H1725)*1440,0)&gt;設定!$C$42,ROUND(($J1725-$H1725)*1440,0),0))</f>
        <v/>
      </c>
      <c r="P1725" s="81">
        <f>IF(OR($C1725="",$I1725="",$K1725=""),0,IF(ROUND(($I1725-$K1725)*1440,0)&gt;設定!$C$42,ROUND(($I1725-$K1725)*1440,0),0))</f>
        <v/>
      </c>
      <c r="Q1725" s="82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79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0">
        <f>IF($G1726="","",IFERROR(INDEX(設定!$D$6:$D$18,MATCH($G1726,設定!$B$6:$B$18,0)),""))</f>
        <v/>
      </c>
      <c r="I1726" s="80">
        <f>IF($G1726="","",IFERROR(INDEX(設定!$E$6:$E$18,MATCH($G1726,設定!$B$6:$B$18,0)),""))</f>
        <v/>
      </c>
      <c r="J1726" s="80">
        <f>IFERROR(INDEX(打卡匯入!$C$3:$C$2002,MATCH($C1726&amp;"|"&amp;DAY($A1726),打卡匯入!$E$3:$E$2002,0)),"")</f>
        <v/>
      </c>
      <c r="K1726" s="80">
        <f>IFERROR(INDEX(打卡匯入!$D$3:$D$2002,MATCH($C1726&amp;"|"&amp;DAY($A1726),打卡匯入!$E$3:$E$2002,0)),"")</f>
        <v/>
      </c>
      <c r="L1726" s="81">
        <f>IF(OR($J1726="",$K1726=""),"",IFERROR(INDEX(設定!$F$6:$F$18,MATCH($G1726,設定!$B$6:$B$18,0)),0))</f>
        <v/>
      </c>
      <c r="M1726" s="82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1">
        <f>IF(OR($C1726="",$H1726="",$J1726=""),0,IF(ROUND(($J1726-$H1726)*1440,0)&gt;設定!$C$42,ROUND(($J1726-$H1726)*1440,0),0))</f>
        <v/>
      </c>
      <c r="P1726" s="81">
        <f>IF(OR($C1726="",$I1726="",$K1726=""),0,IF(ROUND(($I1726-$K1726)*1440,0)&gt;設定!$C$42,ROUND(($I1726-$K1726)*1440,0),0))</f>
        <v/>
      </c>
      <c r="Q1726" s="82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79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0">
        <f>IF($G1727="","",IFERROR(INDEX(設定!$D$6:$D$18,MATCH($G1727,設定!$B$6:$B$18,0)),""))</f>
        <v/>
      </c>
      <c r="I1727" s="80">
        <f>IF($G1727="","",IFERROR(INDEX(設定!$E$6:$E$18,MATCH($G1727,設定!$B$6:$B$18,0)),""))</f>
        <v/>
      </c>
      <c r="J1727" s="80">
        <f>IFERROR(INDEX(打卡匯入!$C$3:$C$2002,MATCH($C1727&amp;"|"&amp;DAY($A1727),打卡匯入!$E$3:$E$2002,0)),"")</f>
        <v/>
      </c>
      <c r="K1727" s="80">
        <f>IFERROR(INDEX(打卡匯入!$D$3:$D$2002,MATCH($C1727&amp;"|"&amp;DAY($A1727),打卡匯入!$E$3:$E$2002,0)),"")</f>
        <v/>
      </c>
      <c r="L1727" s="81">
        <f>IF(OR($J1727="",$K1727=""),"",IFERROR(INDEX(設定!$F$6:$F$18,MATCH($G1727,設定!$B$6:$B$18,0)),0))</f>
        <v/>
      </c>
      <c r="M1727" s="82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1">
        <f>IF(OR($C1727="",$H1727="",$J1727=""),0,IF(ROUND(($J1727-$H1727)*1440,0)&gt;設定!$C$42,ROUND(($J1727-$H1727)*1440,0),0))</f>
        <v/>
      </c>
      <c r="P1727" s="81">
        <f>IF(OR($C1727="",$I1727="",$K1727=""),0,IF(ROUND(($I1727-$K1727)*1440,0)&gt;設定!$C$42,ROUND(($I1727-$K1727)*1440,0),0))</f>
        <v/>
      </c>
      <c r="Q1727" s="82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79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0">
        <f>IF($G1728="","",IFERROR(INDEX(設定!$D$6:$D$18,MATCH($G1728,設定!$B$6:$B$18,0)),""))</f>
        <v/>
      </c>
      <c r="I1728" s="80">
        <f>IF($G1728="","",IFERROR(INDEX(設定!$E$6:$E$18,MATCH($G1728,設定!$B$6:$B$18,0)),""))</f>
        <v/>
      </c>
      <c r="J1728" s="80">
        <f>IFERROR(INDEX(打卡匯入!$C$3:$C$2002,MATCH($C1728&amp;"|"&amp;DAY($A1728),打卡匯入!$E$3:$E$2002,0)),"")</f>
        <v/>
      </c>
      <c r="K1728" s="80">
        <f>IFERROR(INDEX(打卡匯入!$D$3:$D$2002,MATCH($C1728&amp;"|"&amp;DAY($A1728),打卡匯入!$E$3:$E$2002,0)),"")</f>
        <v/>
      </c>
      <c r="L1728" s="81">
        <f>IF(OR($J1728="",$K1728=""),"",IFERROR(INDEX(設定!$F$6:$F$18,MATCH($G1728,設定!$B$6:$B$18,0)),0))</f>
        <v/>
      </c>
      <c r="M1728" s="82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1">
        <f>IF(OR($C1728="",$H1728="",$J1728=""),0,IF(ROUND(($J1728-$H1728)*1440,0)&gt;設定!$C$42,ROUND(($J1728-$H1728)*1440,0),0))</f>
        <v/>
      </c>
      <c r="P1728" s="81">
        <f>IF(OR($C1728="",$I1728="",$K1728=""),0,IF(ROUND(($I1728-$K1728)*1440,0)&gt;設定!$C$42,ROUND(($I1728-$K1728)*1440,0),0))</f>
        <v/>
      </c>
      <c r="Q1728" s="82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79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0">
        <f>IF($G1729="","",IFERROR(INDEX(設定!$D$6:$D$18,MATCH($G1729,設定!$B$6:$B$18,0)),""))</f>
        <v/>
      </c>
      <c r="I1729" s="80">
        <f>IF($G1729="","",IFERROR(INDEX(設定!$E$6:$E$18,MATCH($G1729,設定!$B$6:$B$18,0)),""))</f>
        <v/>
      </c>
      <c r="J1729" s="80">
        <f>IFERROR(INDEX(打卡匯入!$C$3:$C$2002,MATCH($C1729&amp;"|"&amp;DAY($A1729),打卡匯入!$E$3:$E$2002,0)),"")</f>
        <v/>
      </c>
      <c r="K1729" s="80">
        <f>IFERROR(INDEX(打卡匯入!$D$3:$D$2002,MATCH($C1729&amp;"|"&amp;DAY($A1729),打卡匯入!$E$3:$E$2002,0)),"")</f>
        <v/>
      </c>
      <c r="L1729" s="81">
        <f>IF(OR($J1729="",$K1729=""),"",IFERROR(INDEX(設定!$F$6:$F$18,MATCH($G1729,設定!$B$6:$B$18,0)),0))</f>
        <v/>
      </c>
      <c r="M1729" s="82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1">
        <f>IF(OR($C1729="",$H1729="",$J1729=""),0,IF(ROUND(($J1729-$H1729)*1440,0)&gt;設定!$C$42,ROUND(($J1729-$H1729)*1440,0),0))</f>
        <v/>
      </c>
      <c r="P1729" s="81">
        <f>IF(OR($C1729="",$I1729="",$K1729=""),0,IF(ROUND(($I1729-$K1729)*1440,0)&gt;設定!$C$42,ROUND(($I1729-$K1729)*1440,0),0))</f>
        <v/>
      </c>
      <c r="Q1729" s="82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79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0">
        <f>IF($G1730="","",IFERROR(INDEX(設定!$D$6:$D$18,MATCH($G1730,設定!$B$6:$B$18,0)),""))</f>
        <v/>
      </c>
      <c r="I1730" s="80">
        <f>IF($G1730="","",IFERROR(INDEX(設定!$E$6:$E$18,MATCH($G1730,設定!$B$6:$B$18,0)),""))</f>
        <v/>
      </c>
      <c r="J1730" s="80">
        <f>IFERROR(INDEX(打卡匯入!$C$3:$C$2002,MATCH($C1730&amp;"|"&amp;DAY($A1730),打卡匯入!$E$3:$E$2002,0)),"")</f>
        <v/>
      </c>
      <c r="K1730" s="80">
        <f>IFERROR(INDEX(打卡匯入!$D$3:$D$2002,MATCH($C1730&amp;"|"&amp;DAY($A1730),打卡匯入!$E$3:$E$2002,0)),"")</f>
        <v/>
      </c>
      <c r="L1730" s="81">
        <f>IF(OR($J1730="",$K1730=""),"",IFERROR(INDEX(設定!$F$6:$F$18,MATCH($G1730,設定!$B$6:$B$18,0)),0))</f>
        <v/>
      </c>
      <c r="M1730" s="82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1">
        <f>IF(OR($C1730="",$H1730="",$J1730=""),0,IF(ROUND(($J1730-$H1730)*1440,0)&gt;設定!$C$42,ROUND(($J1730-$H1730)*1440,0),0))</f>
        <v/>
      </c>
      <c r="P1730" s="81">
        <f>IF(OR($C1730="",$I1730="",$K1730=""),0,IF(ROUND(($I1730-$K1730)*1440,0)&gt;設定!$C$42,ROUND(($I1730-$K1730)*1440,0),0))</f>
        <v/>
      </c>
      <c r="Q1730" s="82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79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0">
        <f>IF($G1731="","",IFERROR(INDEX(設定!$D$6:$D$18,MATCH($G1731,設定!$B$6:$B$18,0)),""))</f>
        <v/>
      </c>
      <c r="I1731" s="80">
        <f>IF($G1731="","",IFERROR(INDEX(設定!$E$6:$E$18,MATCH($G1731,設定!$B$6:$B$18,0)),""))</f>
        <v/>
      </c>
      <c r="J1731" s="80">
        <f>IFERROR(INDEX(打卡匯入!$C$3:$C$2002,MATCH($C1731&amp;"|"&amp;DAY($A1731),打卡匯入!$E$3:$E$2002,0)),"")</f>
        <v/>
      </c>
      <c r="K1731" s="80">
        <f>IFERROR(INDEX(打卡匯入!$D$3:$D$2002,MATCH($C1731&amp;"|"&amp;DAY($A1731),打卡匯入!$E$3:$E$2002,0)),"")</f>
        <v/>
      </c>
      <c r="L1731" s="81">
        <f>IF(OR($J1731="",$K1731=""),"",IFERROR(INDEX(設定!$F$6:$F$18,MATCH($G1731,設定!$B$6:$B$18,0)),0))</f>
        <v/>
      </c>
      <c r="M1731" s="82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1">
        <f>IF(OR($C1731="",$H1731="",$J1731=""),0,IF(ROUND(($J1731-$H1731)*1440,0)&gt;設定!$C$42,ROUND(($J1731-$H1731)*1440,0),0))</f>
        <v/>
      </c>
      <c r="P1731" s="81">
        <f>IF(OR($C1731="",$I1731="",$K1731=""),0,IF(ROUND(($I1731-$K1731)*1440,0)&gt;設定!$C$42,ROUND(($I1731-$K1731)*1440,0),0))</f>
        <v/>
      </c>
      <c r="Q1731" s="82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79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0">
        <f>IF($G1732="","",IFERROR(INDEX(設定!$D$6:$D$18,MATCH($G1732,設定!$B$6:$B$18,0)),""))</f>
        <v/>
      </c>
      <c r="I1732" s="80">
        <f>IF($G1732="","",IFERROR(INDEX(設定!$E$6:$E$18,MATCH($G1732,設定!$B$6:$B$18,0)),""))</f>
        <v/>
      </c>
      <c r="J1732" s="80">
        <f>IFERROR(INDEX(打卡匯入!$C$3:$C$2002,MATCH($C1732&amp;"|"&amp;DAY($A1732),打卡匯入!$E$3:$E$2002,0)),"")</f>
        <v/>
      </c>
      <c r="K1732" s="80">
        <f>IFERROR(INDEX(打卡匯入!$D$3:$D$2002,MATCH($C1732&amp;"|"&amp;DAY($A1732),打卡匯入!$E$3:$E$2002,0)),"")</f>
        <v/>
      </c>
      <c r="L1732" s="81">
        <f>IF(OR($J1732="",$K1732=""),"",IFERROR(INDEX(設定!$F$6:$F$18,MATCH($G1732,設定!$B$6:$B$18,0)),0))</f>
        <v/>
      </c>
      <c r="M1732" s="82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1">
        <f>IF(OR($C1732="",$H1732="",$J1732=""),0,IF(ROUND(($J1732-$H1732)*1440,0)&gt;設定!$C$42,ROUND(($J1732-$H1732)*1440,0),0))</f>
        <v/>
      </c>
      <c r="P1732" s="81">
        <f>IF(OR($C1732="",$I1732="",$K1732=""),0,IF(ROUND(($I1732-$K1732)*1440,0)&gt;設定!$C$42,ROUND(($I1732-$K1732)*1440,0),0))</f>
        <v/>
      </c>
      <c r="Q1732" s="82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79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0">
        <f>IF($G1733="","",IFERROR(INDEX(設定!$D$6:$D$18,MATCH($G1733,設定!$B$6:$B$18,0)),""))</f>
        <v/>
      </c>
      <c r="I1733" s="80">
        <f>IF($G1733="","",IFERROR(INDEX(設定!$E$6:$E$18,MATCH($G1733,設定!$B$6:$B$18,0)),""))</f>
        <v/>
      </c>
      <c r="J1733" s="80">
        <f>IFERROR(INDEX(打卡匯入!$C$3:$C$2002,MATCH($C1733&amp;"|"&amp;DAY($A1733),打卡匯入!$E$3:$E$2002,0)),"")</f>
        <v/>
      </c>
      <c r="K1733" s="80">
        <f>IFERROR(INDEX(打卡匯入!$D$3:$D$2002,MATCH($C1733&amp;"|"&amp;DAY($A1733),打卡匯入!$E$3:$E$2002,0)),"")</f>
        <v/>
      </c>
      <c r="L1733" s="81">
        <f>IF(OR($J1733="",$K1733=""),"",IFERROR(INDEX(設定!$F$6:$F$18,MATCH($G1733,設定!$B$6:$B$18,0)),0))</f>
        <v/>
      </c>
      <c r="M1733" s="82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1">
        <f>IF(OR($C1733="",$H1733="",$J1733=""),0,IF(ROUND(($J1733-$H1733)*1440,0)&gt;設定!$C$42,ROUND(($J1733-$H1733)*1440,0),0))</f>
        <v/>
      </c>
      <c r="P1733" s="81">
        <f>IF(OR($C1733="",$I1733="",$K1733=""),0,IF(ROUND(($I1733-$K1733)*1440,0)&gt;設定!$C$42,ROUND(($I1733-$K1733)*1440,0),0))</f>
        <v/>
      </c>
      <c r="Q1733" s="82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79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0">
        <f>IF($G1734="","",IFERROR(INDEX(設定!$D$6:$D$18,MATCH($G1734,設定!$B$6:$B$18,0)),""))</f>
        <v/>
      </c>
      <c r="I1734" s="80">
        <f>IF($G1734="","",IFERROR(INDEX(設定!$E$6:$E$18,MATCH($G1734,設定!$B$6:$B$18,0)),""))</f>
        <v/>
      </c>
      <c r="J1734" s="80">
        <f>IFERROR(INDEX(打卡匯入!$C$3:$C$2002,MATCH($C1734&amp;"|"&amp;DAY($A1734),打卡匯入!$E$3:$E$2002,0)),"")</f>
        <v/>
      </c>
      <c r="K1734" s="80">
        <f>IFERROR(INDEX(打卡匯入!$D$3:$D$2002,MATCH($C1734&amp;"|"&amp;DAY($A1734),打卡匯入!$E$3:$E$2002,0)),"")</f>
        <v/>
      </c>
      <c r="L1734" s="81">
        <f>IF(OR($J1734="",$K1734=""),"",IFERROR(INDEX(設定!$F$6:$F$18,MATCH($G1734,設定!$B$6:$B$18,0)),0))</f>
        <v/>
      </c>
      <c r="M1734" s="82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1">
        <f>IF(OR($C1734="",$H1734="",$J1734=""),0,IF(ROUND(($J1734-$H1734)*1440,0)&gt;設定!$C$42,ROUND(($J1734-$H1734)*1440,0),0))</f>
        <v/>
      </c>
      <c r="P1734" s="81">
        <f>IF(OR($C1734="",$I1734="",$K1734=""),0,IF(ROUND(($I1734-$K1734)*1440,0)&gt;設定!$C$42,ROUND(($I1734-$K1734)*1440,0),0))</f>
        <v/>
      </c>
      <c r="Q1734" s="82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79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0">
        <f>IF($G1735="","",IFERROR(INDEX(設定!$D$6:$D$18,MATCH($G1735,設定!$B$6:$B$18,0)),""))</f>
        <v/>
      </c>
      <c r="I1735" s="80">
        <f>IF($G1735="","",IFERROR(INDEX(設定!$E$6:$E$18,MATCH($G1735,設定!$B$6:$B$18,0)),""))</f>
        <v/>
      </c>
      <c r="J1735" s="80">
        <f>IFERROR(INDEX(打卡匯入!$C$3:$C$2002,MATCH($C1735&amp;"|"&amp;DAY($A1735),打卡匯入!$E$3:$E$2002,0)),"")</f>
        <v/>
      </c>
      <c r="K1735" s="80">
        <f>IFERROR(INDEX(打卡匯入!$D$3:$D$2002,MATCH($C1735&amp;"|"&amp;DAY($A1735),打卡匯入!$E$3:$E$2002,0)),"")</f>
        <v/>
      </c>
      <c r="L1735" s="81">
        <f>IF(OR($J1735="",$K1735=""),"",IFERROR(INDEX(設定!$F$6:$F$18,MATCH($G1735,設定!$B$6:$B$18,0)),0))</f>
        <v/>
      </c>
      <c r="M1735" s="82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1">
        <f>IF(OR($C1735="",$H1735="",$J1735=""),0,IF(ROUND(($J1735-$H1735)*1440,0)&gt;設定!$C$42,ROUND(($J1735-$H1735)*1440,0),0))</f>
        <v/>
      </c>
      <c r="P1735" s="81">
        <f>IF(OR($C1735="",$I1735="",$K1735=""),0,IF(ROUND(($I1735-$K1735)*1440,0)&gt;設定!$C$42,ROUND(($I1735-$K1735)*1440,0),0))</f>
        <v/>
      </c>
      <c r="Q1735" s="82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79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0">
        <f>IF($G1736="","",IFERROR(INDEX(設定!$D$6:$D$18,MATCH($G1736,設定!$B$6:$B$18,0)),""))</f>
        <v/>
      </c>
      <c r="I1736" s="80">
        <f>IF($G1736="","",IFERROR(INDEX(設定!$E$6:$E$18,MATCH($G1736,設定!$B$6:$B$18,0)),""))</f>
        <v/>
      </c>
      <c r="J1736" s="80">
        <f>IFERROR(INDEX(打卡匯入!$C$3:$C$2002,MATCH($C1736&amp;"|"&amp;DAY($A1736),打卡匯入!$E$3:$E$2002,0)),"")</f>
        <v/>
      </c>
      <c r="K1736" s="80">
        <f>IFERROR(INDEX(打卡匯入!$D$3:$D$2002,MATCH($C1736&amp;"|"&amp;DAY($A1736),打卡匯入!$E$3:$E$2002,0)),"")</f>
        <v/>
      </c>
      <c r="L1736" s="81">
        <f>IF(OR($J1736="",$K1736=""),"",IFERROR(INDEX(設定!$F$6:$F$18,MATCH($G1736,設定!$B$6:$B$18,0)),0))</f>
        <v/>
      </c>
      <c r="M1736" s="82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1">
        <f>IF(OR($C1736="",$H1736="",$J1736=""),0,IF(ROUND(($J1736-$H1736)*1440,0)&gt;設定!$C$42,ROUND(($J1736-$H1736)*1440,0),0))</f>
        <v/>
      </c>
      <c r="P1736" s="81">
        <f>IF(OR($C1736="",$I1736="",$K1736=""),0,IF(ROUND(($I1736-$K1736)*1440,0)&gt;設定!$C$42,ROUND(($I1736-$K1736)*1440,0),0))</f>
        <v/>
      </c>
      <c r="Q1736" s="82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79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0">
        <f>IF($G1737="","",IFERROR(INDEX(設定!$D$6:$D$18,MATCH($G1737,設定!$B$6:$B$18,0)),""))</f>
        <v/>
      </c>
      <c r="I1737" s="80">
        <f>IF($G1737="","",IFERROR(INDEX(設定!$E$6:$E$18,MATCH($G1737,設定!$B$6:$B$18,0)),""))</f>
        <v/>
      </c>
      <c r="J1737" s="80">
        <f>IFERROR(INDEX(打卡匯入!$C$3:$C$2002,MATCH($C1737&amp;"|"&amp;DAY($A1737),打卡匯入!$E$3:$E$2002,0)),"")</f>
        <v/>
      </c>
      <c r="K1737" s="80">
        <f>IFERROR(INDEX(打卡匯入!$D$3:$D$2002,MATCH($C1737&amp;"|"&amp;DAY($A1737),打卡匯入!$E$3:$E$2002,0)),"")</f>
        <v/>
      </c>
      <c r="L1737" s="81">
        <f>IF(OR($J1737="",$K1737=""),"",IFERROR(INDEX(設定!$F$6:$F$18,MATCH($G1737,設定!$B$6:$B$18,0)),0))</f>
        <v/>
      </c>
      <c r="M1737" s="82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1">
        <f>IF(OR($C1737="",$H1737="",$J1737=""),0,IF(ROUND(($J1737-$H1737)*1440,0)&gt;設定!$C$42,ROUND(($J1737-$H1737)*1440,0),0))</f>
        <v/>
      </c>
      <c r="P1737" s="81">
        <f>IF(OR($C1737="",$I1737="",$K1737=""),0,IF(ROUND(($I1737-$K1737)*1440,0)&gt;設定!$C$42,ROUND(($I1737-$K1737)*1440,0),0))</f>
        <v/>
      </c>
      <c r="Q1737" s="82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79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0">
        <f>IF($G1738="","",IFERROR(INDEX(設定!$D$6:$D$18,MATCH($G1738,設定!$B$6:$B$18,0)),""))</f>
        <v/>
      </c>
      <c r="I1738" s="80">
        <f>IF($G1738="","",IFERROR(INDEX(設定!$E$6:$E$18,MATCH($G1738,設定!$B$6:$B$18,0)),""))</f>
        <v/>
      </c>
      <c r="J1738" s="80">
        <f>IFERROR(INDEX(打卡匯入!$C$3:$C$2002,MATCH($C1738&amp;"|"&amp;DAY($A1738),打卡匯入!$E$3:$E$2002,0)),"")</f>
        <v/>
      </c>
      <c r="K1738" s="80">
        <f>IFERROR(INDEX(打卡匯入!$D$3:$D$2002,MATCH($C1738&amp;"|"&amp;DAY($A1738),打卡匯入!$E$3:$E$2002,0)),"")</f>
        <v/>
      </c>
      <c r="L1738" s="81">
        <f>IF(OR($J1738="",$K1738=""),"",IFERROR(INDEX(設定!$F$6:$F$18,MATCH($G1738,設定!$B$6:$B$18,0)),0))</f>
        <v/>
      </c>
      <c r="M1738" s="82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1">
        <f>IF(OR($C1738="",$H1738="",$J1738=""),0,IF(ROUND(($J1738-$H1738)*1440,0)&gt;設定!$C$42,ROUND(($J1738-$H1738)*1440,0),0))</f>
        <v/>
      </c>
      <c r="P1738" s="81">
        <f>IF(OR($C1738="",$I1738="",$K1738=""),0,IF(ROUND(($I1738-$K1738)*1440,0)&gt;設定!$C$42,ROUND(($I1738-$K1738)*1440,0),0))</f>
        <v/>
      </c>
      <c r="Q1738" s="82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79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0">
        <f>IF($G1739="","",IFERROR(INDEX(設定!$D$6:$D$18,MATCH($G1739,設定!$B$6:$B$18,0)),""))</f>
        <v/>
      </c>
      <c r="I1739" s="80">
        <f>IF($G1739="","",IFERROR(INDEX(設定!$E$6:$E$18,MATCH($G1739,設定!$B$6:$B$18,0)),""))</f>
        <v/>
      </c>
      <c r="J1739" s="80">
        <f>IFERROR(INDEX(打卡匯入!$C$3:$C$2002,MATCH($C1739&amp;"|"&amp;DAY($A1739),打卡匯入!$E$3:$E$2002,0)),"")</f>
        <v/>
      </c>
      <c r="K1739" s="80">
        <f>IFERROR(INDEX(打卡匯入!$D$3:$D$2002,MATCH($C1739&amp;"|"&amp;DAY($A1739),打卡匯入!$E$3:$E$2002,0)),"")</f>
        <v/>
      </c>
      <c r="L1739" s="81">
        <f>IF(OR($J1739="",$K1739=""),"",IFERROR(INDEX(設定!$F$6:$F$18,MATCH($G1739,設定!$B$6:$B$18,0)),0))</f>
        <v/>
      </c>
      <c r="M1739" s="82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1">
        <f>IF(OR($C1739="",$H1739="",$J1739=""),0,IF(ROUND(($J1739-$H1739)*1440,0)&gt;設定!$C$42,ROUND(($J1739-$H1739)*1440,0),0))</f>
        <v/>
      </c>
      <c r="P1739" s="81">
        <f>IF(OR($C1739="",$I1739="",$K1739=""),0,IF(ROUND(($I1739-$K1739)*1440,0)&gt;設定!$C$42,ROUND(($I1739-$K1739)*1440,0),0))</f>
        <v/>
      </c>
      <c r="Q1739" s="82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79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0">
        <f>IF($G1740="","",IFERROR(INDEX(設定!$D$6:$D$18,MATCH($G1740,設定!$B$6:$B$18,0)),""))</f>
        <v/>
      </c>
      <c r="I1740" s="80">
        <f>IF($G1740="","",IFERROR(INDEX(設定!$E$6:$E$18,MATCH($G1740,設定!$B$6:$B$18,0)),""))</f>
        <v/>
      </c>
      <c r="J1740" s="80">
        <f>IFERROR(INDEX(打卡匯入!$C$3:$C$2002,MATCH($C1740&amp;"|"&amp;DAY($A1740),打卡匯入!$E$3:$E$2002,0)),"")</f>
        <v/>
      </c>
      <c r="K1740" s="80">
        <f>IFERROR(INDEX(打卡匯入!$D$3:$D$2002,MATCH($C1740&amp;"|"&amp;DAY($A1740),打卡匯入!$E$3:$E$2002,0)),"")</f>
        <v/>
      </c>
      <c r="L1740" s="81">
        <f>IF(OR($J1740="",$K1740=""),"",IFERROR(INDEX(設定!$F$6:$F$18,MATCH($G1740,設定!$B$6:$B$18,0)),0))</f>
        <v/>
      </c>
      <c r="M1740" s="82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1">
        <f>IF(OR($C1740="",$H1740="",$J1740=""),0,IF(ROUND(($J1740-$H1740)*1440,0)&gt;設定!$C$42,ROUND(($J1740-$H1740)*1440,0),0))</f>
        <v/>
      </c>
      <c r="P1740" s="81">
        <f>IF(OR($C1740="",$I1740="",$K1740=""),0,IF(ROUND(($I1740-$K1740)*1440,0)&gt;設定!$C$42,ROUND(($I1740-$K1740)*1440,0),0))</f>
        <v/>
      </c>
      <c r="Q1740" s="82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79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0">
        <f>IF($G1741="","",IFERROR(INDEX(設定!$D$6:$D$18,MATCH($G1741,設定!$B$6:$B$18,0)),""))</f>
        <v/>
      </c>
      <c r="I1741" s="80">
        <f>IF($G1741="","",IFERROR(INDEX(設定!$E$6:$E$18,MATCH($G1741,設定!$B$6:$B$18,0)),""))</f>
        <v/>
      </c>
      <c r="J1741" s="80">
        <f>IFERROR(INDEX(打卡匯入!$C$3:$C$2002,MATCH($C1741&amp;"|"&amp;DAY($A1741),打卡匯入!$E$3:$E$2002,0)),"")</f>
        <v/>
      </c>
      <c r="K1741" s="80">
        <f>IFERROR(INDEX(打卡匯入!$D$3:$D$2002,MATCH($C1741&amp;"|"&amp;DAY($A1741),打卡匯入!$E$3:$E$2002,0)),"")</f>
        <v/>
      </c>
      <c r="L1741" s="81">
        <f>IF(OR($J1741="",$K1741=""),"",IFERROR(INDEX(設定!$F$6:$F$18,MATCH($G1741,設定!$B$6:$B$18,0)),0))</f>
        <v/>
      </c>
      <c r="M1741" s="82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1">
        <f>IF(OR($C1741="",$H1741="",$J1741=""),0,IF(ROUND(($J1741-$H1741)*1440,0)&gt;設定!$C$42,ROUND(($J1741-$H1741)*1440,0),0))</f>
        <v/>
      </c>
      <c r="P1741" s="81">
        <f>IF(OR($C1741="",$I1741="",$K1741=""),0,IF(ROUND(($I1741-$K1741)*1440,0)&gt;設定!$C$42,ROUND(($I1741-$K1741)*1440,0),0))</f>
        <v/>
      </c>
      <c r="Q1741" s="82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79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0">
        <f>IF($G1742="","",IFERROR(INDEX(設定!$D$6:$D$18,MATCH($G1742,設定!$B$6:$B$18,0)),""))</f>
        <v/>
      </c>
      <c r="I1742" s="80">
        <f>IF($G1742="","",IFERROR(INDEX(設定!$E$6:$E$18,MATCH($G1742,設定!$B$6:$B$18,0)),""))</f>
        <v/>
      </c>
      <c r="J1742" s="80">
        <f>IFERROR(INDEX(打卡匯入!$C$3:$C$2002,MATCH($C1742&amp;"|"&amp;DAY($A1742),打卡匯入!$E$3:$E$2002,0)),"")</f>
        <v/>
      </c>
      <c r="K1742" s="80">
        <f>IFERROR(INDEX(打卡匯入!$D$3:$D$2002,MATCH($C1742&amp;"|"&amp;DAY($A1742),打卡匯入!$E$3:$E$2002,0)),"")</f>
        <v/>
      </c>
      <c r="L1742" s="81">
        <f>IF(OR($J1742="",$K1742=""),"",IFERROR(INDEX(設定!$F$6:$F$18,MATCH($G1742,設定!$B$6:$B$18,0)),0))</f>
        <v/>
      </c>
      <c r="M1742" s="82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1">
        <f>IF(OR($C1742="",$H1742="",$J1742=""),0,IF(ROUND(($J1742-$H1742)*1440,0)&gt;設定!$C$42,ROUND(($J1742-$H1742)*1440,0),0))</f>
        <v/>
      </c>
      <c r="P1742" s="81">
        <f>IF(OR($C1742="",$I1742="",$K1742=""),0,IF(ROUND(($I1742-$K1742)*1440,0)&gt;設定!$C$42,ROUND(($I1742-$K1742)*1440,0),0))</f>
        <v/>
      </c>
      <c r="Q1742" s="82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79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0">
        <f>IF($G1743="","",IFERROR(INDEX(設定!$D$6:$D$18,MATCH($G1743,設定!$B$6:$B$18,0)),""))</f>
        <v/>
      </c>
      <c r="I1743" s="80">
        <f>IF($G1743="","",IFERROR(INDEX(設定!$E$6:$E$18,MATCH($G1743,設定!$B$6:$B$18,0)),""))</f>
        <v/>
      </c>
      <c r="J1743" s="80">
        <f>IFERROR(INDEX(打卡匯入!$C$3:$C$2002,MATCH($C1743&amp;"|"&amp;DAY($A1743),打卡匯入!$E$3:$E$2002,0)),"")</f>
        <v/>
      </c>
      <c r="K1743" s="80">
        <f>IFERROR(INDEX(打卡匯入!$D$3:$D$2002,MATCH($C1743&amp;"|"&amp;DAY($A1743),打卡匯入!$E$3:$E$2002,0)),"")</f>
        <v/>
      </c>
      <c r="L1743" s="81">
        <f>IF(OR($J1743="",$K1743=""),"",IFERROR(INDEX(設定!$F$6:$F$18,MATCH($G1743,設定!$B$6:$B$18,0)),0))</f>
        <v/>
      </c>
      <c r="M1743" s="82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1">
        <f>IF(OR($C1743="",$H1743="",$J1743=""),0,IF(ROUND(($J1743-$H1743)*1440,0)&gt;設定!$C$42,ROUND(($J1743-$H1743)*1440,0),0))</f>
        <v/>
      </c>
      <c r="P1743" s="81">
        <f>IF(OR($C1743="",$I1743="",$K1743=""),0,IF(ROUND(($I1743-$K1743)*1440,0)&gt;設定!$C$42,ROUND(($I1743-$K1743)*1440,0),0))</f>
        <v/>
      </c>
      <c r="Q1743" s="82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79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0">
        <f>IF($G1744="","",IFERROR(INDEX(設定!$D$6:$D$18,MATCH($G1744,設定!$B$6:$B$18,0)),""))</f>
        <v/>
      </c>
      <c r="I1744" s="80">
        <f>IF($G1744="","",IFERROR(INDEX(設定!$E$6:$E$18,MATCH($G1744,設定!$B$6:$B$18,0)),""))</f>
        <v/>
      </c>
      <c r="J1744" s="80">
        <f>IFERROR(INDEX(打卡匯入!$C$3:$C$2002,MATCH($C1744&amp;"|"&amp;DAY($A1744),打卡匯入!$E$3:$E$2002,0)),"")</f>
        <v/>
      </c>
      <c r="K1744" s="80">
        <f>IFERROR(INDEX(打卡匯入!$D$3:$D$2002,MATCH($C1744&amp;"|"&amp;DAY($A1744),打卡匯入!$E$3:$E$2002,0)),"")</f>
        <v/>
      </c>
      <c r="L1744" s="81">
        <f>IF(OR($J1744="",$K1744=""),"",IFERROR(INDEX(設定!$F$6:$F$18,MATCH($G1744,設定!$B$6:$B$18,0)),0))</f>
        <v/>
      </c>
      <c r="M1744" s="82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1">
        <f>IF(OR($C1744="",$H1744="",$J1744=""),0,IF(ROUND(($J1744-$H1744)*1440,0)&gt;設定!$C$42,ROUND(($J1744-$H1744)*1440,0),0))</f>
        <v/>
      </c>
      <c r="P1744" s="81">
        <f>IF(OR($C1744="",$I1744="",$K1744=""),0,IF(ROUND(($I1744-$K1744)*1440,0)&gt;設定!$C$42,ROUND(($I1744-$K1744)*1440,0),0))</f>
        <v/>
      </c>
      <c r="Q1744" s="82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79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0">
        <f>IF($G1745="","",IFERROR(INDEX(設定!$D$6:$D$18,MATCH($G1745,設定!$B$6:$B$18,0)),""))</f>
        <v/>
      </c>
      <c r="I1745" s="80">
        <f>IF($G1745="","",IFERROR(INDEX(設定!$E$6:$E$18,MATCH($G1745,設定!$B$6:$B$18,0)),""))</f>
        <v/>
      </c>
      <c r="J1745" s="80">
        <f>IFERROR(INDEX(打卡匯入!$C$3:$C$2002,MATCH($C1745&amp;"|"&amp;DAY($A1745),打卡匯入!$E$3:$E$2002,0)),"")</f>
        <v/>
      </c>
      <c r="K1745" s="80">
        <f>IFERROR(INDEX(打卡匯入!$D$3:$D$2002,MATCH($C1745&amp;"|"&amp;DAY($A1745),打卡匯入!$E$3:$E$2002,0)),"")</f>
        <v/>
      </c>
      <c r="L1745" s="81">
        <f>IF(OR($J1745="",$K1745=""),"",IFERROR(INDEX(設定!$F$6:$F$18,MATCH($G1745,設定!$B$6:$B$18,0)),0))</f>
        <v/>
      </c>
      <c r="M1745" s="82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1">
        <f>IF(OR($C1745="",$H1745="",$J1745=""),0,IF(ROUND(($J1745-$H1745)*1440,0)&gt;設定!$C$42,ROUND(($J1745-$H1745)*1440,0),0))</f>
        <v/>
      </c>
      <c r="P1745" s="81">
        <f>IF(OR($C1745="",$I1745="",$K1745=""),0,IF(ROUND(($I1745-$K1745)*1440,0)&gt;設定!$C$42,ROUND(($I1745-$K1745)*1440,0),0))</f>
        <v/>
      </c>
      <c r="Q1745" s="82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79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0">
        <f>IF($G1746="","",IFERROR(INDEX(設定!$D$6:$D$18,MATCH($G1746,設定!$B$6:$B$18,0)),""))</f>
        <v/>
      </c>
      <c r="I1746" s="80">
        <f>IF($G1746="","",IFERROR(INDEX(設定!$E$6:$E$18,MATCH($G1746,設定!$B$6:$B$18,0)),""))</f>
        <v/>
      </c>
      <c r="J1746" s="80">
        <f>IFERROR(INDEX(打卡匯入!$C$3:$C$2002,MATCH($C1746&amp;"|"&amp;DAY($A1746),打卡匯入!$E$3:$E$2002,0)),"")</f>
        <v/>
      </c>
      <c r="K1746" s="80">
        <f>IFERROR(INDEX(打卡匯入!$D$3:$D$2002,MATCH($C1746&amp;"|"&amp;DAY($A1746),打卡匯入!$E$3:$E$2002,0)),"")</f>
        <v/>
      </c>
      <c r="L1746" s="81">
        <f>IF(OR($J1746="",$K1746=""),"",IFERROR(INDEX(設定!$F$6:$F$18,MATCH($G1746,設定!$B$6:$B$18,0)),0))</f>
        <v/>
      </c>
      <c r="M1746" s="82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1">
        <f>IF(OR($C1746="",$H1746="",$J1746=""),0,IF(ROUND(($J1746-$H1746)*1440,0)&gt;設定!$C$42,ROUND(($J1746-$H1746)*1440,0),0))</f>
        <v/>
      </c>
      <c r="P1746" s="81">
        <f>IF(OR($C1746="",$I1746="",$K1746=""),0,IF(ROUND(($I1746-$K1746)*1440,0)&gt;設定!$C$42,ROUND(($I1746-$K1746)*1440,0),0))</f>
        <v/>
      </c>
      <c r="Q1746" s="82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79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0">
        <f>IF($G1747="","",IFERROR(INDEX(設定!$D$6:$D$18,MATCH($G1747,設定!$B$6:$B$18,0)),""))</f>
        <v/>
      </c>
      <c r="I1747" s="80">
        <f>IF($G1747="","",IFERROR(INDEX(設定!$E$6:$E$18,MATCH($G1747,設定!$B$6:$B$18,0)),""))</f>
        <v/>
      </c>
      <c r="J1747" s="80">
        <f>IFERROR(INDEX(打卡匯入!$C$3:$C$2002,MATCH($C1747&amp;"|"&amp;DAY($A1747),打卡匯入!$E$3:$E$2002,0)),"")</f>
        <v/>
      </c>
      <c r="K1747" s="80">
        <f>IFERROR(INDEX(打卡匯入!$D$3:$D$2002,MATCH($C1747&amp;"|"&amp;DAY($A1747),打卡匯入!$E$3:$E$2002,0)),"")</f>
        <v/>
      </c>
      <c r="L1747" s="81">
        <f>IF(OR($J1747="",$K1747=""),"",IFERROR(INDEX(設定!$F$6:$F$18,MATCH($G1747,設定!$B$6:$B$18,0)),0))</f>
        <v/>
      </c>
      <c r="M1747" s="82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1">
        <f>IF(OR($C1747="",$H1747="",$J1747=""),0,IF(ROUND(($J1747-$H1747)*1440,0)&gt;設定!$C$42,ROUND(($J1747-$H1747)*1440,0),0))</f>
        <v/>
      </c>
      <c r="P1747" s="81">
        <f>IF(OR($C1747="",$I1747="",$K1747=""),0,IF(ROUND(($I1747-$K1747)*1440,0)&gt;設定!$C$42,ROUND(($I1747-$K1747)*1440,0),0))</f>
        <v/>
      </c>
      <c r="Q1747" s="82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79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0">
        <f>IF($G1748="","",IFERROR(INDEX(設定!$D$6:$D$18,MATCH($G1748,設定!$B$6:$B$18,0)),""))</f>
        <v/>
      </c>
      <c r="I1748" s="80">
        <f>IF($G1748="","",IFERROR(INDEX(設定!$E$6:$E$18,MATCH($G1748,設定!$B$6:$B$18,0)),""))</f>
        <v/>
      </c>
      <c r="J1748" s="80">
        <f>IFERROR(INDEX(打卡匯入!$C$3:$C$2002,MATCH($C1748&amp;"|"&amp;DAY($A1748),打卡匯入!$E$3:$E$2002,0)),"")</f>
        <v/>
      </c>
      <c r="K1748" s="80">
        <f>IFERROR(INDEX(打卡匯入!$D$3:$D$2002,MATCH($C1748&amp;"|"&amp;DAY($A1748),打卡匯入!$E$3:$E$2002,0)),"")</f>
        <v/>
      </c>
      <c r="L1748" s="81">
        <f>IF(OR($J1748="",$K1748=""),"",IFERROR(INDEX(設定!$F$6:$F$18,MATCH($G1748,設定!$B$6:$B$18,0)),0))</f>
        <v/>
      </c>
      <c r="M1748" s="82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1">
        <f>IF(OR($C1748="",$H1748="",$J1748=""),0,IF(ROUND(($J1748-$H1748)*1440,0)&gt;設定!$C$42,ROUND(($J1748-$H1748)*1440,0),0))</f>
        <v/>
      </c>
      <c r="P1748" s="81">
        <f>IF(OR($C1748="",$I1748="",$K1748=""),0,IF(ROUND(($I1748-$K1748)*1440,0)&gt;設定!$C$42,ROUND(($I1748-$K1748)*1440,0),0))</f>
        <v/>
      </c>
      <c r="Q1748" s="82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79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0">
        <f>IF($G1749="","",IFERROR(INDEX(設定!$D$6:$D$18,MATCH($G1749,設定!$B$6:$B$18,0)),""))</f>
        <v/>
      </c>
      <c r="I1749" s="80">
        <f>IF($G1749="","",IFERROR(INDEX(設定!$E$6:$E$18,MATCH($G1749,設定!$B$6:$B$18,0)),""))</f>
        <v/>
      </c>
      <c r="J1749" s="80">
        <f>IFERROR(INDEX(打卡匯入!$C$3:$C$2002,MATCH($C1749&amp;"|"&amp;DAY($A1749),打卡匯入!$E$3:$E$2002,0)),"")</f>
        <v/>
      </c>
      <c r="K1749" s="80">
        <f>IFERROR(INDEX(打卡匯入!$D$3:$D$2002,MATCH($C1749&amp;"|"&amp;DAY($A1749),打卡匯入!$E$3:$E$2002,0)),"")</f>
        <v/>
      </c>
      <c r="L1749" s="81">
        <f>IF(OR($J1749="",$K1749=""),"",IFERROR(INDEX(設定!$F$6:$F$18,MATCH($G1749,設定!$B$6:$B$18,0)),0))</f>
        <v/>
      </c>
      <c r="M1749" s="82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1">
        <f>IF(OR($C1749="",$H1749="",$J1749=""),0,IF(ROUND(($J1749-$H1749)*1440,0)&gt;設定!$C$42,ROUND(($J1749-$H1749)*1440,0),0))</f>
        <v/>
      </c>
      <c r="P1749" s="81">
        <f>IF(OR($C1749="",$I1749="",$K1749=""),0,IF(ROUND(($I1749-$K1749)*1440,0)&gt;設定!$C$42,ROUND(($I1749-$K1749)*1440,0),0))</f>
        <v/>
      </c>
      <c r="Q1749" s="82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79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0">
        <f>IF($G1750="","",IFERROR(INDEX(設定!$D$6:$D$18,MATCH($G1750,設定!$B$6:$B$18,0)),""))</f>
        <v/>
      </c>
      <c r="I1750" s="80">
        <f>IF($G1750="","",IFERROR(INDEX(設定!$E$6:$E$18,MATCH($G1750,設定!$B$6:$B$18,0)),""))</f>
        <v/>
      </c>
      <c r="J1750" s="80">
        <f>IFERROR(INDEX(打卡匯入!$C$3:$C$2002,MATCH($C1750&amp;"|"&amp;DAY($A1750),打卡匯入!$E$3:$E$2002,0)),"")</f>
        <v/>
      </c>
      <c r="K1750" s="80">
        <f>IFERROR(INDEX(打卡匯入!$D$3:$D$2002,MATCH($C1750&amp;"|"&amp;DAY($A1750),打卡匯入!$E$3:$E$2002,0)),"")</f>
        <v/>
      </c>
      <c r="L1750" s="81">
        <f>IF(OR($J1750="",$K1750=""),"",IFERROR(INDEX(設定!$F$6:$F$18,MATCH($G1750,設定!$B$6:$B$18,0)),0))</f>
        <v/>
      </c>
      <c r="M1750" s="82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1">
        <f>IF(OR($C1750="",$H1750="",$J1750=""),0,IF(ROUND(($J1750-$H1750)*1440,0)&gt;設定!$C$42,ROUND(($J1750-$H1750)*1440,0),0))</f>
        <v/>
      </c>
      <c r="P1750" s="81">
        <f>IF(OR($C1750="",$I1750="",$K1750=""),0,IF(ROUND(($I1750-$K1750)*1440,0)&gt;設定!$C$42,ROUND(($I1750-$K1750)*1440,0),0))</f>
        <v/>
      </c>
      <c r="Q1750" s="82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79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0">
        <f>IF($G1751="","",IFERROR(INDEX(設定!$D$6:$D$18,MATCH($G1751,設定!$B$6:$B$18,0)),""))</f>
        <v/>
      </c>
      <c r="I1751" s="80">
        <f>IF($G1751="","",IFERROR(INDEX(設定!$E$6:$E$18,MATCH($G1751,設定!$B$6:$B$18,0)),""))</f>
        <v/>
      </c>
      <c r="J1751" s="80">
        <f>IFERROR(INDEX(打卡匯入!$C$3:$C$2002,MATCH($C1751&amp;"|"&amp;DAY($A1751),打卡匯入!$E$3:$E$2002,0)),"")</f>
        <v/>
      </c>
      <c r="K1751" s="80">
        <f>IFERROR(INDEX(打卡匯入!$D$3:$D$2002,MATCH($C1751&amp;"|"&amp;DAY($A1751),打卡匯入!$E$3:$E$2002,0)),"")</f>
        <v/>
      </c>
      <c r="L1751" s="81">
        <f>IF(OR($J1751="",$K1751=""),"",IFERROR(INDEX(設定!$F$6:$F$18,MATCH($G1751,設定!$B$6:$B$18,0)),0))</f>
        <v/>
      </c>
      <c r="M1751" s="82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1">
        <f>IF(OR($C1751="",$H1751="",$J1751=""),0,IF(ROUND(($J1751-$H1751)*1440,0)&gt;設定!$C$42,ROUND(($J1751-$H1751)*1440,0),0))</f>
        <v/>
      </c>
      <c r="P1751" s="81">
        <f>IF(OR($C1751="",$I1751="",$K1751=""),0,IF(ROUND(($I1751-$K1751)*1440,0)&gt;設定!$C$42,ROUND(($I1751-$K1751)*1440,0),0))</f>
        <v/>
      </c>
      <c r="Q1751" s="82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79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0">
        <f>IF($G1752="","",IFERROR(INDEX(設定!$D$6:$D$18,MATCH($G1752,設定!$B$6:$B$18,0)),""))</f>
        <v/>
      </c>
      <c r="I1752" s="80">
        <f>IF($G1752="","",IFERROR(INDEX(設定!$E$6:$E$18,MATCH($G1752,設定!$B$6:$B$18,0)),""))</f>
        <v/>
      </c>
      <c r="J1752" s="80">
        <f>IFERROR(INDEX(打卡匯入!$C$3:$C$2002,MATCH($C1752&amp;"|"&amp;DAY($A1752),打卡匯入!$E$3:$E$2002,0)),"")</f>
        <v/>
      </c>
      <c r="K1752" s="80">
        <f>IFERROR(INDEX(打卡匯入!$D$3:$D$2002,MATCH($C1752&amp;"|"&amp;DAY($A1752),打卡匯入!$E$3:$E$2002,0)),"")</f>
        <v/>
      </c>
      <c r="L1752" s="81">
        <f>IF(OR($J1752="",$K1752=""),"",IFERROR(INDEX(設定!$F$6:$F$18,MATCH($G1752,設定!$B$6:$B$18,0)),0))</f>
        <v/>
      </c>
      <c r="M1752" s="82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1">
        <f>IF(OR($C1752="",$H1752="",$J1752=""),0,IF(ROUND(($J1752-$H1752)*1440,0)&gt;設定!$C$42,ROUND(($J1752-$H1752)*1440,0),0))</f>
        <v/>
      </c>
      <c r="P1752" s="81">
        <f>IF(OR($C1752="",$I1752="",$K1752=""),0,IF(ROUND(($I1752-$K1752)*1440,0)&gt;設定!$C$42,ROUND(($I1752-$K1752)*1440,0),0))</f>
        <v/>
      </c>
      <c r="Q1752" s="82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79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0">
        <f>IF($G1753="","",IFERROR(INDEX(設定!$D$6:$D$18,MATCH($G1753,設定!$B$6:$B$18,0)),""))</f>
        <v/>
      </c>
      <c r="I1753" s="80">
        <f>IF($G1753="","",IFERROR(INDEX(設定!$E$6:$E$18,MATCH($G1753,設定!$B$6:$B$18,0)),""))</f>
        <v/>
      </c>
      <c r="J1753" s="80">
        <f>IFERROR(INDEX(打卡匯入!$C$3:$C$2002,MATCH($C1753&amp;"|"&amp;DAY($A1753),打卡匯入!$E$3:$E$2002,0)),"")</f>
        <v/>
      </c>
      <c r="K1753" s="80">
        <f>IFERROR(INDEX(打卡匯入!$D$3:$D$2002,MATCH($C1753&amp;"|"&amp;DAY($A1753),打卡匯入!$E$3:$E$2002,0)),"")</f>
        <v/>
      </c>
      <c r="L1753" s="81">
        <f>IF(OR($J1753="",$K1753=""),"",IFERROR(INDEX(設定!$F$6:$F$18,MATCH($G1753,設定!$B$6:$B$18,0)),0))</f>
        <v/>
      </c>
      <c r="M1753" s="82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1">
        <f>IF(OR($C1753="",$H1753="",$J1753=""),0,IF(ROUND(($J1753-$H1753)*1440,0)&gt;設定!$C$42,ROUND(($J1753-$H1753)*1440,0),0))</f>
        <v/>
      </c>
      <c r="P1753" s="81">
        <f>IF(OR($C1753="",$I1753="",$K1753=""),0,IF(ROUND(($I1753-$K1753)*1440,0)&gt;設定!$C$42,ROUND(($I1753-$K1753)*1440,0),0))</f>
        <v/>
      </c>
      <c r="Q1753" s="82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79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0">
        <f>IF($G1754="","",IFERROR(INDEX(設定!$D$6:$D$18,MATCH($G1754,設定!$B$6:$B$18,0)),""))</f>
        <v/>
      </c>
      <c r="I1754" s="80">
        <f>IF($G1754="","",IFERROR(INDEX(設定!$E$6:$E$18,MATCH($G1754,設定!$B$6:$B$18,0)),""))</f>
        <v/>
      </c>
      <c r="J1754" s="80">
        <f>IFERROR(INDEX(打卡匯入!$C$3:$C$2002,MATCH($C1754&amp;"|"&amp;DAY($A1754),打卡匯入!$E$3:$E$2002,0)),"")</f>
        <v/>
      </c>
      <c r="K1754" s="80">
        <f>IFERROR(INDEX(打卡匯入!$D$3:$D$2002,MATCH($C1754&amp;"|"&amp;DAY($A1754),打卡匯入!$E$3:$E$2002,0)),"")</f>
        <v/>
      </c>
      <c r="L1754" s="81">
        <f>IF(OR($J1754="",$K1754=""),"",IFERROR(INDEX(設定!$F$6:$F$18,MATCH($G1754,設定!$B$6:$B$18,0)),0))</f>
        <v/>
      </c>
      <c r="M1754" s="82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1">
        <f>IF(OR($C1754="",$H1754="",$J1754=""),0,IF(ROUND(($J1754-$H1754)*1440,0)&gt;設定!$C$42,ROUND(($J1754-$H1754)*1440,0),0))</f>
        <v/>
      </c>
      <c r="P1754" s="81">
        <f>IF(OR($C1754="",$I1754="",$K1754=""),0,IF(ROUND(($I1754-$K1754)*1440,0)&gt;設定!$C$42,ROUND(($I1754-$K1754)*1440,0),0))</f>
        <v/>
      </c>
      <c r="Q1754" s="82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79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0">
        <f>IF($G1755="","",IFERROR(INDEX(設定!$D$6:$D$18,MATCH($G1755,設定!$B$6:$B$18,0)),""))</f>
        <v/>
      </c>
      <c r="I1755" s="80">
        <f>IF($G1755="","",IFERROR(INDEX(設定!$E$6:$E$18,MATCH($G1755,設定!$B$6:$B$18,0)),""))</f>
        <v/>
      </c>
      <c r="J1755" s="80">
        <f>IFERROR(INDEX(打卡匯入!$C$3:$C$2002,MATCH($C1755&amp;"|"&amp;DAY($A1755),打卡匯入!$E$3:$E$2002,0)),"")</f>
        <v/>
      </c>
      <c r="K1755" s="80">
        <f>IFERROR(INDEX(打卡匯入!$D$3:$D$2002,MATCH($C1755&amp;"|"&amp;DAY($A1755),打卡匯入!$E$3:$E$2002,0)),"")</f>
        <v/>
      </c>
      <c r="L1755" s="81">
        <f>IF(OR($J1755="",$K1755=""),"",IFERROR(INDEX(設定!$F$6:$F$18,MATCH($G1755,設定!$B$6:$B$18,0)),0))</f>
        <v/>
      </c>
      <c r="M1755" s="82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1">
        <f>IF(OR($C1755="",$H1755="",$J1755=""),0,IF(ROUND(($J1755-$H1755)*1440,0)&gt;設定!$C$42,ROUND(($J1755-$H1755)*1440,0),0))</f>
        <v/>
      </c>
      <c r="P1755" s="81">
        <f>IF(OR($C1755="",$I1755="",$K1755=""),0,IF(ROUND(($I1755-$K1755)*1440,0)&gt;設定!$C$42,ROUND(($I1755-$K1755)*1440,0),0))</f>
        <v/>
      </c>
      <c r="Q1755" s="82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79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0">
        <f>IF($G1756="","",IFERROR(INDEX(設定!$D$6:$D$18,MATCH($G1756,設定!$B$6:$B$18,0)),""))</f>
        <v/>
      </c>
      <c r="I1756" s="80">
        <f>IF($G1756="","",IFERROR(INDEX(設定!$E$6:$E$18,MATCH($G1756,設定!$B$6:$B$18,0)),""))</f>
        <v/>
      </c>
      <c r="J1756" s="80">
        <f>IFERROR(INDEX(打卡匯入!$C$3:$C$2002,MATCH($C1756&amp;"|"&amp;DAY($A1756),打卡匯入!$E$3:$E$2002,0)),"")</f>
        <v/>
      </c>
      <c r="K1756" s="80">
        <f>IFERROR(INDEX(打卡匯入!$D$3:$D$2002,MATCH($C1756&amp;"|"&amp;DAY($A1756),打卡匯入!$E$3:$E$2002,0)),"")</f>
        <v/>
      </c>
      <c r="L1756" s="81">
        <f>IF(OR($J1756="",$K1756=""),"",IFERROR(INDEX(設定!$F$6:$F$18,MATCH($G1756,設定!$B$6:$B$18,0)),0))</f>
        <v/>
      </c>
      <c r="M1756" s="82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1">
        <f>IF(OR($C1756="",$H1756="",$J1756=""),0,IF(ROUND(($J1756-$H1756)*1440,0)&gt;設定!$C$42,ROUND(($J1756-$H1756)*1440,0),0))</f>
        <v/>
      </c>
      <c r="P1756" s="81">
        <f>IF(OR($C1756="",$I1756="",$K1756=""),0,IF(ROUND(($I1756-$K1756)*1440,0)&gt;設定!$C$42,ROUND(($I1756-$K1756)*1440,0),0))</f>
        <v/>
      </c>
      <c r="Q1756" s="82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79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0">
        <f>IF($G1757="","",IFERROR(INDEX(設定!$D$6:$D$18,MATCH($G1757,設定!$B$6:$B$18,0)),""))</f>
        <v/>
      </c>
      <c r="I1757" s="80">
        <f>IF($G1757="","",IFERROR(INDEX(設定!$E$6:$E$18,MATCH($G1757,設定!$B$6:$B$18,0)),""))</f>
        <v/>
      </c>
      <c r="J1757" s="80">
        <f>IFERROR(INDEX(打卡匯入!$C$3:$C$2002,MATCH($C1757&amp;"|"&amp;DAY($A1757),打卡匯入!$E$3:$E$2002,0)),"")</f>
        <v/>
      </c>
      <c r="K1757" s="80">
        <f>IFERROR(INDEX(打卡匯入!$D$3:$D$2002,MATCH($C1757&amp;"|"&amp;DAY($A1757),打卡匯入!$E$3:$E$2002,0)),"")</f>
        <v/>
      </c>
      <c r="L1757" s="81">
        <f>IF(OR($J1757="",$K1757=""),"",IFERROR(INDEX(設定!$F$6:$F$18,MATCH($G1757,設定!$B$6:$B$18,0)),0))</f>
        <v/>
      </c>
      <c r="M1757" s="82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1">
        <f>IF(OR($C1757="",$H1757="",$J1757=""),0,IF(ROUND(($J1757-$H1757)*1440,0)&gt;設定!$C$42,ROUND(($J1757-$H1757)*1440,0),0))</f>
        <v/>
      </c>
      <c r="P1757" s="81">
        <f>IF(OR($C1757="",$I1757="",$K1757=""),0,IF(ROUND(($I1757-$K1757)*1440,0)&gt;設定!$C$42,ROUND(($I1757-$K1757)*1440,0),0))</f>
        <v/>
      </c>
      <c r="Q1757" s="82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79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0">
        <f>IF($G1758="","",IFERROR(INDEX(設定!$D$6:$D$18,MATCH($G1758,設定!$B$6:$B$18,0)),""))</f>
        <v/>
      </c>
      <c r="I1758" s="80">
        <f>IF($G1758="","",IFERROR(INDEX(設定!$E$6:$E$18,MATCH($G1758,設定!$B$6:$B$18,0)),""))</f>
        <v/>
      </c>
      <c r="J1758" s="80">
        <f>IFERROR(INDEX(打卡匯入!$C$3:$C$2002,MATCH($C1758&amp;"|"&amp;DAY($A1758),打卡匯入!$E$3:$E$2002,0)),"")</f>
        <v/>
      </c>
      <c r="K1758" s="80">
        <f>IFERROR(INDEX(打卡匯入!$D$3:$D$2002,MATCH($C1758&amp;"|"&amp;DAY($A1758),打卡匯入!$E$3:$E$2002,0)),"")</f>
        <v/>
      </c>
      <c r="L1758" s="81">
        <f>IF(OR($J1758="",$K1758=""),"",IFERROR(INDEX(設定!$F$6:$F$18,MATCH($G1758,設定!$B$6:$B$18,0)),0))</f>
        <v/>
      </c>
      <c r="M1758" s="82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1">
        <f>IF(OR($C1758="",$H1758="",$J1758=""),0,IF(ROUND(($J1758-$H1758)*1440,0)&gt;設定!$C$42,ROUND(($J1758-$H1758)*1440,0),0))</f>
        <v/>
      </c>
      <c r="P1758" s="81">
        <f>IF(OR($C1758="",$I1758="",$K1758=""),0,IF(ROUND(($I1758-$K1758)*1440,0)&gt;設定!$C$42,ROUND(($I1758-$K1758)*1440,0),0))</f>
        <v/>
      </c>
      <c r="Q1758" s="82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79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0">
        <f>IF($G1759="","",IFERROR(INDEX(設定!$D$6:$D$18,MATCH($G1759,設定!$B$6:$B$18,0)),""))</f>
        <v/>
      </c>
      <c r="I1759" s="80">
        <f>IF($G1759="","",IFERROR(INDEX(設定!$E$6:$E$18,MATCH($G1759,設定!$B$6:$B$18,0)),""))</f>
        <v/>
      </c>
      <c r="J1759" s="80">
        <f>IFERROR(INDEX(打卡匯入!$C$3:$C$2002,MATCH($C1759&amp;"|"&amp;DAY($A1759),打卡匯入!$E$3:$E$2002,0)),"")</f>
        <v/>
      </c>
      <c r="K1759" s="80">
        <f>IFERROR(INDEX(打卡匯入!$D$3:$D$2002,MATCH($C1759&amp;"|"&amp;DAY($A1759),打卡匯入!$E$3:$E$2002,0)),"")</f>
        <v/>
      </c>
      <c r="L1759" s="81">
        <f>IF(OR($J1759="",$K1759=""),"",IFERROR(INDEX(設定!$F$6:$F$18,MATCH($G1759,設定!$B$6:$B$18,0)),0))</f>
        <v/>
      </c>
      <c r="M1759" s="82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1">
        <f>IF(OR($C1759="",$H1759="",$J1759=""),0,IF(ROUND(($J1759-$H1759)*1440,0)&gt;設定!$C$42,ROUND(($J1759-$H1759)*1440,0),0))</f>
        <v/>
      </c>
      <c r="P1759" s="81">
        <f>IF(OR($C1759="",$I1759="",$K1759=""),0,IF(ROUND(($I1759-$K1759)*1440,0)&gt;設定!$C$42,ROUND(($I1759-$K1759)*1440,0),0))</f>
        <v/>
      </c>
      <c r="Q1759" s="82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79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0">
        <f>IF($G1760="","",IFERROR(INDEX(設定!$D$6:$D$18,MATCH($G1760,設定!$B$6:$B$18,0)),""))</f>
        <v/>
      </c>
      <c r="I1760" s="80">
        <f>IF($G1760="","",IFERROR(INDEX(設定!$E$6:$E$18,MATCH($G1760,設定!$B$6:$B$18,0)),""))</f>
        <v/>
      </c>
      <c r="J1760" s="80">
        <f>IFERROR(INDEX(打卡匯入!$C$3:$C$2002,MATCH($C1760&amp;"|"&amp;DAY($A1760),打卡匯入!$E$3:$E$2002,0)),"")</f>
        <v/>
      </c>
      <c r="K1760" s="80">
        <f>IFERROR(INDEX(打卡匯入!$D$3:$D$2002,MATCH($C1760&amp;"|"&amp;DAY($A1760),打卡匯入!$E$3:$E$2002,0)),"")</f>
        <v/>
      </c>
      <c r="L1760" s="81">
        <f>IF(OR($J1760="",$K1760=""),"",IFERROR(INDEX(設定!$F$6:$F$18,MATCH($G1760,設定!$B$6:$B$18,0)),0))</f>
        <v/>
      </c>
      <c r="M1760" s="82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1">
        <f>IF(OR($C1760="",$H1760="",$J1760=""),0,IF(ROUND(($J1760-$H1760)*1440,0)&gt;設定!$C$42,ROUND(($J1760-$H1760)*1440,0),0))</f>
        <v/>
      </c>
      <c r="P1760" s="81">
        <f>IF(OR($C1760="",$I1760="",$K1760=""),0,IF(ROUND(($I1760-$K1760)*1440,0)&gt;設定!$C$42,ROUND(($I1760-$K1760)*1440,0),0))</f>
        <v/>
      </c>
      <c r="Q1760" s="82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79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0">
        <f>IF($G1761="","",IFERROR(INDEX(設定!$D$6:$D$18,MATCH($G1761,設定!$B$6:$B$18,0)),""))</f>
        <v/>
      </c>
      <c r="I1761" s="80">
        <f>IF($G1761="","",IFERROR(INDEX(設定!$E$6:$E$18,MATCH($G1761,設定!$B$6:$B$18,0)),""))</f>
        <v/>
      </c>
      <c r="J1761" s="80">
        <f>IFERROR(INDEX(打卡匯入!$C$3:$C$2002,MATCH($C1761&amp;"|"&amp;DAY($A1761),打卡匯入!$E$3:$E$2002,0)),"")</f>
        <v/>
      </c>
      <c r="K1761" s="80">
        <f>IFERROR(INDEX(打卡匯入!$D$3:$D$2002,MATCH($C1761&amp;"|"&amp;DAY($A1761),打卡匯入!$E$3:$E$2002,0)),"")</f>
        <v/>
      </c>
      <c r="L1761" s="81">
        <f>IF(OR($J1761="",$K1761=""),"",IFERROR(INDEX(設定!$F$6:$F$18,MATCH($G1761,設定!$B$6:$B$18,0)),0))</f>
        <v/>
      </c>
      <c r="M1761" s="82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1">
        <f>IF(OR($C1761="",$H1761="",$J1761=""),0,IF(ROUND(($J1761-$H1761)*1440,0)&gt;設定!$C$42,ROUND(($J1761-$H1761)*1440,0),0))</f>
        <v/>
      </c>
      <c r="P1761" s="81">
        <f>IF(OR($C1761="",$I1761="",$K1761=""),0,IF(ROUND(($I1761-$K1761)*1440,0)&gt;設定!$C$42,ROUND(($I1761-$K1761)*1440,0),0))</f>
        <v/>
      </c>
      <c r="Q1761" s="82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79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0">
        <f>IF($G1762="","",IFERROR(INDEX(設定!$D$6:$D$18,MATCH($G1762,設定!$B$6:$B$18,0)),""))</f>
        <v/>
      </c>
      <c r="I1762" s="80">
        <f>IF($G1762="","",IFERROR(INDEX(設定!$E$6:$E$18,MATCH($G1762,設定!$B$6:$B$18,0)),""))</f>
        <v/>
      </c>
      <c r="J1762" s="80">
        <f>IFERROR(INDEX(打卡匯入!$C$3:$C$2002,MATCH($C1762&amp;"|"&amp;DAY($A1762),打卡匯入!$E$3:$E$2002,0)),"")</f>
        <v/>
      </c>
      <c r="K1762" s="80">
        <f>IFERROR(INDEX(打卡匯入!$D$3:$D$2002,MATCH($C1762&amp;"|"&amp;DAY($A1762),打卡匯入!$E$3:$E$2002,0)),"")</f>
        <v/>
      </c>
      <c r="L1762" s="81">
        <f>IF(OR($J1762="",$K1762=""),"",IFERROR(INDEX(設定!$F$6:$F$18,MATCH($G1762,設定!$B$6:$B$18,0)),0))</f>
        <v/>
      </c>
      <c r="M1762" s="82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1">
        <f>IF(OR($C1762="",$H1762="",$J1762=""),0,IF(ROUND(($J1762-$H1762)*1440,0)&gt;設定!$C$42,ROUND(($J1762-$H1762)*1440,0),0))</f>
        <v/>
      </c>
      <c r="P1762" s="81">
        <f>IF(OR($C1762="",$I1762="",$K1762=""),0,IF(ROUND(($I1762-$K1762)*1440,0)&gt;設定!$C$42,ROUND(($I1762-$K1762)*1440,0),0))</f>
        <v/>
      </c>
      <c r="Q1762" s="82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79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0">
        <f>IF($G1763="","",IFERROR(INDEX(設定!$D$6:$D$18,MATCH($G1763,設定!$B$6:$B$18,0)),""))</f>
        <v/>
      </c>
      <c r="I1763" s="80">
        <f>IF($G1763="","",IFERROR(INDEX(設定!$E$6:$E$18,MATCH($G1763,設定!$B$6:$B$18,0)),""))</f>
        <v/>
      </c>
      <c r="J1763" s="80">
        <f>IFERROR(INDEX(打卡匯入!$C$3:$C$2002,MATCH($C1763&amp;"|"&amp;DAY($A1763),打卡匯入!$E$3:$E$2002,0)),"")</f>
        <v/>
      </c>
      <c r="K1763" s="80">
        <f>IFERROR(INDEX(打卡匯入!$D$3:$D$2002,MATCH($C1763&amp;"|"&amp;DAY($A1763),打卡匯入!$E$3:$E$2002,0)),"")</f>
        <v/>
      </c>
      <c r="L1763" s="81">
        <f>IF(OR($J1763="",$K1763=""),"",IFERROR(INDEX(設定!$F$6:$F$18,MATCH($G1763,設定!$B$6:$B$18,0)),0))</f>
        <v/>
      </c>
      <c r="M1763" s="82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1">
        <f>IF(OR($C1763="",$H1763="",$J1763=""),0,IF(ROUND(($J1763-$H1763)*1440,0)&gt;設定!$C$42,ROUND(($J1763-$H1763)*1440,0),0))</f>
        <v/>
      </c>
      <c r="P1763" s="81">
        <f>IF(OR($C1763="",$I1763="",$K1763=""),0,IF(ROUND(($I1763-$K1763)*1440,0)&gt;設定!$C$42,ROUND(($I1763-$K1763)*1440,0),0))</f>
        <v/>
      </c>
      <c r="Q1763" s="82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79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0">
        <f>IF($G1764="","",IFERROR(INDEX(設定!$D$6:$D$18,MATCH($G1764,設定!$B$6:$B$18,0)),""))</f>
        <v/>
      </c>
      <c r="I1764" s="80">
        <f>IF($G1764="","",IFERROR(INDEX(設定!$E$6:$E$18,MATCH($G1764,設定!$B$6:$B$18,0)),""))</f>
        <v/>
      </c>
      <c r="J1764" s="80">
        <f>IFERROR(INDEX(打卡匯入!$C$3:$C$2002,MATCH($C1764&amp;"|"&amp;DAY($A1764),打卡匯入!$E$3:$E$2002,0)),"")</f>
        <v/>
      </c>
      <c r="K1764" s="80">
        <f>IFERROR(INDEX(打卡匯入!$D$3:$D$2002,MATCH($C1764&amp;"|"&amp;DAY($A1764),打卡匯入!$E$3:$E$2002,0)),"")</f>
        <v/>
      </c>
      <c r="L1764" s="81">
        <f>IF(OR($J1764="",$K1764=""),"",IFERROR(INDEX(設定!$F$6:$F$18,MATCH($G1764,設定!$B$6:$B$18,0)),0))</f>
        <v/>
      </c>
      <c r="M1764" s="82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1">
        <f>IF(OR($C1764="",$H1764="",$J1764=""),0,IF(ROUND(($J1764-$H1764)*1440,0)&gt;設定!$C$42,ROUND(($J1764-$H1764)*1440,0),0))</f>
        <v/>
      </c>
      <c r="P1764" s="81">
        <f>IF(OR($C1764="",$I1764="",$K1764=""),0,IF(ROUND(($I1764-$K1764)*1440,0)&gt;設定!$C$42,ROUND(($I1764-$K1764)*1440,0),0))</f>
        <v/>
      </c>
      <c r="Q1764" s="82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79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0">
        <f>IF($G1765="","",IFERROR(INDEX(設定!$D$6:$D$18,MATCH($G1765,設定!$B$6:$B$18,0)),""))</f>
        <v/>
      </c>
      <c r="I1765" s="80">
        <f>IF($G1765="","",IFERROR(INDEX(設定!$E$6:$E$18,MATCH($G1765,設定!$B$6:$B$18,0)),""))</f>
        <v/>
      </c>
      <c r="J1765" s="80">
        <f>IFERROR(INDEX(打卡匯入!$C$3:$C$2002,MATCH($C1765&amp;"|"&amp;DAY($A1765),打卡匯入!$E$3:$E$2002,0)),"")</f>
        <v/>
      </c>
      <c r="K1765" s="80">
        <f>IFERROR(INDEX(打卡匯入!$D$3:$D$2002,MATCH($C1765&amp;"|"&amp;DAY($A1765),打卡匯入!$E$3:$E$2002,0)),"")</f>
        <v/>
      </c>
      <c r="L1765" s="81">
        <f>IF(OR($J1765="",$K1765=""),"",IFERROR(INDEX(設定!$F$6:$F$18,MATCH($G1765,設定!$B$6:$B$18,0)),0))</f>
        <v/>
      </c>
      <c r="M1765" s="82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1">
        <f>IF(OR($C1765="",$H1765="",$J1765=""),0,IF(ROUND(($J1765-$H1765)*1440,0)&gt;設定!$C$42,ROUND(($J1765-$H1765)*1440,0),0))</f>
        <v/>
      </c>
      <c r="P1765" s="81">
        <f>IF(OR($C1765="",$I1765="",$K1765=""),0,IF(ROUND(($I1765-$K1765)*1440,0)&gt;設定!$C$42,ROUND(($I1765-$K1765)*1440,0),0))</f>
        <v/>
      </c>
      <c r="Q1765" s="82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79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0">
        <f>IF($G1766="","",IFERROR(INDEX(設定!$D$6:$D$18,MATCH($G1766,設定!$B$6:$B$18,0)),""))</f>
        <v/>
      </c>
      <c r="I1766" s="80">
        <f>IF($G1766="","",IFERROR(INDEX(設定!$E$6:$E$18,MATCH($G1766,設定!$B$6:$B$18,0)),""))</f>
        <v/>
      </c>
      <c r="J1766" s="80">
        <f>IFERROR(INDEX(打卡匯入!$C$3:$C$2002,MATCH($C1766&amp;"|"&amp;DAY($A1766),打卡匯入!$E$3:$E$2002,0)),"")</f>
        <v/>
      </c>
      <c r="K1766" s="80">
        <f>IFERROR(INDEX(打卡匯入!$D$3:$D$2002,MATCH($C1766&amp;"|"&amp;DAY($A1766),打卡匯入!$E$3:$E$2002,0)),"")</f>
        <v/>
      </c>
      <c r="L1766" s="81">
        <f>IF(OR($J1766="",$K1766=""),"",IFERROR(INDEX(設定!$F$6:$F$18,MATCH($G1766,設定!$B$6:$B$18,0)),0))</f>
        <v/>
      </c>
      <c r="M1766" s="82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1">
        <f>IF(OR($C1766="",$H1766="",$J1766=""),0,IF(ROUND(($J1766-$H1766)*1440,0)&gt;設定!$C$42,ROUND(($J1766-$H1766)*1440,0),0))</f>
        <v/>
      </c>
      <c r="P1766" s="81">
        <f>IF(OR($C1766="",$I1766="",$K1766=""),0,IF(ROUND(($I1766-$K1766)*1440,0)&gt;設定!$C$42,ROUND(($I1766-$K1766)*1440,0),0))</f>
        <v/>
      </c>
      <c r="Q1766" s="82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79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0">
        <f>IF($G1767="","",IFERROR(INDEX(設定!$D$6:$D$18,MATCH($G1767,設定!$B$6:$B$18,0)),""))</f>
        <v/>
      </c>
      <c r="I1767" s="80">
        <f>IF($G1767="","",IFERROR(INDEX(設定!$E$6:$E$18,MATCH($G1767,設定!$B$6:$B$18,0)),""))</f>
        <v/>
      </c>
      <c r="J1767" s="80">
        <f>IFERROR(INDEX(打卡匯入!$C$3:$C$2002,MATCH($C1767&amp;"|"&amp;DAY($A1767),打卡匯入!$E$3:$E$2002,0)),"")</f>
        <v/>
      </c>
      <c r="K1767" s="80">
        <f>IFERROR(INDEX(打卡匯入!$D$3:$D$2002,MATCH($C1767&amp;"|"&amp;DAY($A1767),打卡匯入!$E$3:$E$2002,0)),"")</f>
        <v/>
      </c>
      <c r="L1767" s="81">
        <f>IF(OR($J1767="",$K1767=""),"",IFERROR(INDEX(設定!$F$6:$F$18,MATCH($G1767,設定!$B$6:$B$18,0)),0))</f>
        <v/>
      </c>
      <c r="M1767" s="82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1">
        <f>IF(OR($C1767="",$H1767="",$J1767=""),0,IF(ROUND(($J1767-$H1767)*1440,0)&gt;設定!$C$42,ROUND(($J1767-$H1767)*1440,0),0))</f>
        <v/>
      </c>
      <c r="P1767" s="81">
        <f>IF(OR($C1767="",$I1767="",$K1767=""),0,IF(ROUND(($I1767-$K1767)*1440,0)&gt;設定!$C$42,ROUND(($I1767-$K1767)*1440,0),0))</f>
        <v/>
      </c>
      <c r="Q1767" s="82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79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0">
        <f>IF($G1768="","",IFERROR(INDEX(設定!$D$6:$D$18,MATCH($G1768,設定!$B$6:$B$18,0)),""))</f>
        <v/>
      </c>
      <c r="I1768" s="80">
        <f>IF($G1768="","",IFERROR(INDEX(設定!$E$6:$E$18,MATCH($G1768,設定!$B$6:$B$18,0)),""))</f>
        <v/>
      </c>
      <c r="J1768" s="80">
        <f>IFERROR(INDEX(打卡匯入!$C$3:$C$2002,MATCH($C1768&amp;"|"&amp;DAY($A1768),打卡匯入!$E$3:$E$2002,0)),"")</f>
        <v/>
      </c>
      <c r="K1768" s="80">
        <f>IFERROR(INDEX(打卡匯入!$D$3:$D$2002,MATCH($C1768&amp;"|"&amp;DAY($A1768),打卡匯入!$E$3:$E$2002,0)),"")</f>
        <v/>
      </c>
      <c r="L1768" s="81">
        <f>IF(OR($J1768="",$K1768=""),"",IFERROR(INDEX(設定!$F$6:$F$18,MATCH($G1768,設定!$B$6:$B$18,0)),0))</f>
        <v/>
      </c>
      <c r="M1768" s="82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1">
        <f>IF(OR($C1768="",$H1768="",$J1768=""),0,IF(ROUND(($J1768-$H1768)*1440,0)&gt;設定!$C$42,ROUND(($J1768-$H1768)*1440,0),0))</f>
        <v/>
      </c>
      <c r="P1768" s="81">
        <f>IF(OR($C1768="",$I1768="",$K1768=""),0,IF(ROUND(($I1768-$K1768)*1440,0)&gt;設定!$C$42,ROUND(($I1768-$K1768)*1440,0),0))</f>
        <v/>
      </c>
      <c r="Q1768" s="82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79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0">
        <f>IF($G1769="","",IFERROR(INDEX(設定!$D$6:$D$18,MATCH($G1769,設定!$B$6:$B$18,0)),""))</f>
        <v/>
      </c>
      <c r="I1769" s="80">
        <f>IF($G1769="","",IFERROR(INDEX(設定!$E$6:$E$18,MATCH($G1769,設定!$B$6:$B$18,0)),""))</f>
        <v/>
      </c>
      <c r="J1769" s="80">
        <f>IFERROR(INDEX(打卡匯入!$C$3:$C$2002,MATCH($C1769&amp;"|"&amp;DAY($A1769),打卡匯入!$E$3:$E$2002,0)),"")</f>
        <v/>
      </c>
      <c r="K1769" s="80">
        <f>IFERROR(INDEX(打卡匯入!$D$3:$D$2002,MATCH($C1769&amp;"|"&amp;DAY($A1769),打卡匯入!$E$3:$E$2002,0)),"")</f>
        <v/>
      </c>
      <c r="L1769" s="81">
        <f>IF(OR($J1769="",$K1769=""),"",IFERROR(INDEX(設定!$F$6:$F$18,MATCH($G1769,設定!$B$6:$B$18,0)),0))</f>
        <v/>
      </c>
      <c r="M1769" s="82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1">
        <f>IF(OR($C1769="",$H1769="",$J1769=""),0,IF(ROUND(($J1769-$H1769)*1440,0)&gt;設定!$C$42,ROUND(($J1769-$H1769)*1440,0),0))</f>
        <v/>
      </c>
      <c r="P1769" s="81">
        <f>IF(OR($C1769="",$I1769="",$K1769=""),0,IF(ROUND(($I1769-$K1769)*1440,0)&gt;設定!$C$42,ROUND(($I1769-$K1769)*1440,0),0))</f>
        <v/>
      </c>
      <c r="Q1769" s="82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79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0">
        <f>IF($G1770="","",IFERROR(INDEX(設定!$D$6:$D$18,MATCH($G1770,設定!$B$6:$B$18,0)),""))</f>
        <v/>
      </c>
      <c r="I1770" s="80">
        <f>IF($G1770="","",IFERROR(INDEX(設定!$E$6:$E$18,MATCH($G1770,設定!$B$6:$B$18,0)),""))</f>
        <v/>
      </c>
      <c r="J1770" s="80">
        <f>IFERROR(INDEX(打卡匯入!$C$3:$C$2002,MATCH($C1770&amp;"|"&amp;DAY($A1770),打卡匯入!$E$3:$E$2002,0)),"")</f>
        <v/>
      </c>
      <c r="K1770" s="80">
        <f>IFERROR(INDEX(打卡匯入!$D$3:$D$2002,MATCH($C1770&amp;"|"&amp;DAY($A1770),打卡匯入!$E$3:$E$2002,0)),"")</f>
        <v/>
      </c>
      <c r="L1770" s="81">
        <f>IF(OR($J1770="",$K1770=""),"",IFERROR(INDEX(設定!$F$6:$F$18,MATCH($G1770,設定!$B$6:$B$18,0)),0))</f>
        <v/>
      </c>
      <c r="M1770" s="82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1">
        <f>IF(OR($C1770="",$H1770="",$J1770=""),0,IF(ROUND(($J1770-$H1770)*1440,0)&gt;設定!$C$42,ROUND(($J1770-$H1770)*1440,0),0))</f>
        <v/>
      </c>
      <c r="P1770" s="81">
        <f>IF(OR($C1770="",$I1770="",$K1770=""),0,IF(ROUND(($I1770-$K1770)*1440,0)&gt;設定!$C$42,ROUND(($I1770-$K1770)*1440,0),0))</f>
        <v/>
      </c>
      <c r="Q1770" s="82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79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0">
        <f>IF($G1771="","",IFERROR(INDEX(設定!$D$6:$D$18,MATCH($G1771,設定!$B$6:$B$18,0)),""))</f>
        <v/>
      </c>
      <c r="I1771" s="80">
        <f>IF($G1771="","",IFERROR(INDEX(設定!$E$6:$E$18,MATCH($G1771,設定!$B$6:$B$18,0)),""))</f>
        <v/>
      </c>
      <c r="J1771" s="80">
        <f>IFERROR(INDEX(打卡匯入!$C$3:$C$2002,MATCH($C1771&amp;"|"&amp;DAY($A1771),打卡匯入!$E$3:$E$2002,0)),"")</f>
        <v/>
      </c>
      <c r="K1771" s="80">
        <f>IFERROR(INDEX(打卡匯入!$D$3:$D$2002,MATCH($C1771&amp;"|"&amp;DAY($A1771),打卡匯入!$E$3:$E$2002,0)),"")</f>
        <v/>
      </c>
      <c r="L1771" s="81">
        <f>IF(OR($J1771="",$K1771=""),"",IFERROR(INDEX(設定!$F$6:$F$18,MATCH($G1771,設定!$B$6:$B$18,0)),0))</f>
        <v/>
      </c>
      <c r="M1771" s="82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1">
        <f>IF(OR($C1771="",$H1771="",$J1771=""),0,IF(ROUND(($J1771-$H1771)*1440,0)&gt;設定!$C$42,ROUND(($J1771-$H1771)*1440,0),0))</f>
        <v/>
      </c>
      <c r="P1771" s="81">
        <f>IF(OR($C1771="",$I1771="",$K1771=""),0,IF(ROUND(($I1771-$K1771)*1440,0)&gt;設定!$C$42,ROUND(($I1771-$K1771)*1440,0),0))</f>
        <v/>
      </c>
      <c r="Q1771" s="82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79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0">
        <f>IF($G1772="","",IFERROR(INDEX(設定!$D$6:$D$18,MATCH($G1772,設定!$B$6:$B$18,0)),""))</f>
        <v/>
      </c>
      <c r="I1772" s="80">
        <f>IF($G1772="","",IFERROR(INDEX(設定!$E$6:$E$18,MATCH($G1772,設定!$B$6:$B$18,0)),""))</f>
        <v/>
      </c>
      <c r="J1772" s="80">
        <f>IFERROR(INDEX(打卡匯入!$C$3:$C$2002,MATCH($C1772&amp;"|"&amp;DAY($A1772),打卡匯入!$E$3:$E$2002,0)),"")</f>
        <v/>
      </c>
      <c r="K1772" s="80">
        <f>IFERROR(INDEX(打卡匯入!$D$3:$D$2002,MATCH($C1772&amp;"|"&amp;DAY($A1772),打卡匯入!$E$3:$E$2002,0)),"")</f>
        <v/>
      </c>
      <c r="L1772" s="81">
        <f>IF(OR($J1772="",$K1772=""),"",IFERROR(INDEX(設定!$F$6:$F$18,MATCH($G1772,設定!$B$6:$B$18,0)),0))</f>
        <v/>
      </c>
      <c r="M1772" s="82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1">
        <f>IF(OR($C1772="",$H1772="",$J1772=""),0,IF(ROUND(($J1772-$H1772)*1440,0)&gt;設定!$C$42,ROUND(($J1772-$H1772)*1440,0),0))</f>
        <v/>
      </c>
      <c r="P1772" s="81">
        <f>IF(OR($C1772="",$I1772="",$K1772=""),0,IF(ROUND(($I1772-$K1772)*1440,0)&gt;設定!$C$42,ROUND(($I1772-$K1772)*1440,0),0))</f>
        <v/>
      </c>
      <c r="Q1772" s="82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79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0">
        <f>IF($G1773="","",IFERROR(INDEX(設定!$D$6:$D$18,MATCH($G1773,設定!$B$6:$B$18,0)),""))</f>
        <v/>
      </c>
      <c r="I1773" s="80">
        <f>IF($G1773="","",IFERROR(INDEX(設定!$E$6:$E$18,MATCH($G1773,設定!$B$6:$B$18,0)),""))</f>
        <v/>
      </c>
      <c r="J1773" s="80">
        <f>IFERROR(INDEX(打卡匯入!$C$3:$C$2002,MATCH($C1773&amp;"|"&amp;DAY($A1773),打卡匯入!$E$3:$E$2002,0)),"")</f>
        <v/>
      </c>
      <c r="K1773" s="80">
        <f>IFERROR(INDEX(打卡匯入!$D$3:$D$2002,MATCH($C1773&amp;"|"&amp;DAY($A1773),打卡匯入!$E$3:$E$2002,0)),"")</f>
        <v/>
      </c>
      <c r="L1773" s="81">
        <f>IF(OR($J1773="",$K1773=""),"",IFERROR(INDEX(設定!$F$6:$F$18,MATCH($G1773,設定!$B$6:$B$18,0)),0))</f>
        <v/>
      </c>
      <c r="M1773" s="82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1">
        <f>IF(OR($C1773="",$H1773="",$J1773=""),0,IF(ROUND(($J1773-$H1773)*1440,0)&gt;設定!$C$42,ROUND(($J1773-$H1773)*1440,0),0))</f>
        <v/>
      </c>
      <c r="P1773" s="81">
        <f>IF(OR($C1773="",$I1773="",$K1773=""),0,IF(ROUND(($I1773-$K1773)*1440,0)&gt;設定!$C$42,ROUND(($I1773-$K1773)*1440,0),0))</f>
        <v/>
      </c>
      <c r="Q1773" s="82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79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0">
        <f>IF($G1774="","",IFERROR(INDEX(設定!$D$6:$D$18,MATCH($G1774,設定!$B$6:$B$18,0)),""))</f>
        <v/>
      </c>
      <c r="I1774" s="80">
        <f>IF($G1774="","",IFERROR(INDEX(設定!$E$6:$E$18,MATCH($G1774,設定!$B$6:$B$18,0)),""))</f>
        <v/>
      </c>
      <c r="J1774" s="80">
        <f>IFERROR(INDEX(打卡匯入!$C$3:$C$2002,MATCH($C1774&amp;"|"&amp;DAY($A1774),打卡匯入!$E$3:$E$2002,0)),"")</f>
        <v/>
      </c>
      <c r="K1774" s="80">
        <f>IFERROR(INDEX(打卡匯入!$D$3:$D$2002,MATCH($C1774&amp;"|"&amp;DAY($A1774),打卡匯入!$E$3:$E$2002,0)),"")</f>
        <v/>
      </c>
      <c r="L1774" s="81">
        <f>IF(OR($J1774="",$K1774=""),"",IFERROR(INDEX(設定!$F$6:$F$18,MATCH($G1774,設定!$B$6:$B$18,0)),0))</f>
        <v/>
      </c>
      <c r="M1774" s="82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1">
        <f>IF(OR($C1774="",$H1774="",$J1774=""),0,IF(ROUND(($J1774-$H1774)*1440,0)&gt;設定!$C$42,ROUND(($J1774-$H1774)*1440,0),0))</f>
        <v/>
      </c>
      <c r="P1774" s="81">
        <f>IF(OR($C1774="",$I1774="",$K1774=""),0,IF(ROUND(($I1774-$K1774)*1440,0)&gt;設定!$C$42,ROUND(($I1774-$K1774)*1440,0),0))</f>
        <v/>
      </c>
      <c r="Q1774" s="82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79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0">
        <f>IF($G1775="","",IFERROR(INDEX(設定!$D$6:$D$18,MATCH($G1775,設定!$B$6:$B$18,0)),""))</f>
        <v/>
      </c>
      <c r="I1775" s="80">
        <f>IF($G1775="","",IFERROR(INDEX(設定!$E$6:$E$18,MATCH($G1775,設定!$B$6:$B$18,0)),""))</f>
        <v/>
      </c>
      <c r="J1775" s="80">
        <f>IFERROR(INDEX(打卡匯入!$C$3:$C$2002,MATCH($C1775&amp;"|"&amp;DAY($A1775),打卡匯入!$E$3:$E$2002,0)),"")</f>
        <v/>
      </c>
      <c r="K1775" s="80">
        <f>IFERROR(INDEX(打卡匯入!$D$3:$D$2002,MATCH($C1775&amp;"|"&amp;DAY($A1775),打卡匯入!$E$3:$E$2002,0)),"")</f>
        <v/>
      </c>
      <c r="L1775" s="81">
        <f>IF(OR($J1775="",$K1775=""),"",IFERROR(INDEX(設定!$F$6:$F$18,MATCH($G1775,設定!$B$6:$B$18,0)),0))</f>
        <v/>
      </c>
      <c r="M1775" s="82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1">
        <f>IF(OR($C1775="",$H1775="",$J1775=""),0,IF(ROUND(($J1775-$H1775)*1440,0)&gt;設定!$C$42,ROUND(($J1775-$H1775)*1440,0),0))</f>
        <v/>
      </c>
      <c r="P1775" s="81">
        <f>IF(OR($C1775="",$I1775="",$K1775=""),0,IF(ROUND(($I1775-$K1775)*1440,0)&gt;設定!$C$42,ROUND(($I1775-$K1775)*1440,0),0))</f>
        <v/>
      </c>
      <c r="Q1775" s="82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79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0">
        <f>IF($G1776="","",IFERROR(INDEX(設定!$D$6:$D$18,MATCH($G1776,設定!$B$6:$B$18,0)),""))</f>
        <v/>
      </c>
      <c r="I1776" s="80">
        <f>IF($G1776="","",IFERROR(INDEX(設定!$E$6:$E$18,MATCH($G1776,設定!$B$6:$B$18,0)),""))</f>
        <v/>
      </c>
      <c r="J1776" s="80">
        <f>IFERROR(INDEX(打卡匯入!$C$3:$C$2002,MATCH($C1776&amp;"|"&amp;DAY($A1776),打卡匯入!$E$3:$E$2002,0)),"")</f>
        <v/>
      </c>
      <c r="K1776" s="80">
        <f>IFERROR(INDEX(打卡匯入!$D$3:$D$2002,MATCH($C1776&amp;"|"&amp;DAY($A1776),打卡匯入!$E$3:$E$2002,0)),"")</f>
        <v/>
      </c>
      <c r="L1776" s="81">
        <f>IF(OR($J1776="",$K1776=""),"",IFERROR(INDEX(設定!$F$6:$F$18,MATCH($G1776,設定!$B$6:$B$18,0)),0))</f>
        <v/>
      </c>
      <c r="M1776" s="82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1">
        <f>IF(OR($C1776="",$H1776="",$J1776=""),0,IF(ROUND(($J1776-$H1776)*1440,0)&gt;設定!$C$42,ROUND(($J1776-$H1776)*1440,0),0))</f>
        <v/>
      </c>
      <c r="P1776" s="81">
        <f>IF(OR($C1776="",$I1776="",$K1776=""),0,IF(ROUND(($I1776-$K1776)*1440,0)&gt;設定!$C$42,ROUND(($I1776-$K1776)*1440,0),0))</f>
        <v/>
      </c>
      <c r="Q1776" s="82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79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0">
        <f>IF($G1777="","",IFERROR(INDEX(設定!$D$6:$D$18,MATCH($G1777,設定!$B$6:$B$18,0)),""))</f>
        <v/>
      </c>
      <c r="I1777" s="80">
        <f>IF($G1777="","",IFERROR(INDEX(設定!$E$6:$E$18,MATCH($G1777,設定!$B$6:$B$18,0)),""))</f>
        <v/>
      </c>
      <c r="J1777" s="80">
        <f>IFERROR(INDEX(打卡匯入!$C$3:$C$2002,MATCH($C1777&amp;"|"&amp;DAY($A1777),打卡匯入!$E$3:$E$2002,0)),"")</f>
        <v/>
      </c>
      <c r="K1777" s="80">
        <f>IFERROR(INDEX(打卡匯入!$D$3:$D$2002,MATCH($C1777&amp;"|"&amp;DAY($A1777),打卡匯入!$E$3:$E$2002,0)),"")</f>
        <v/>
      </c>
      <c r="L1777" s="81">
        <f>IF(OR($J1777="",$K1777=""),"",IFERROR(INDEX(設定!$F$6:$F$18,MATCH($G1777,設定!$B$6:$B$18,0)),0))</f>
        <v/>
      </c>
      <c r="M1777" s="82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1">
        <f>IF(OR($C1777="",$H1777="",$J1777=""),0,IF(ROUND(($J1777-$H1777)*1440,0)&gt;設定!$C$42,ROUND(($J1777-$H1777)*1440,0),0))</f>
        <v/>
      </c>
      <c r="P1777" s="81">
        <f>IF(OR($C1777="",$I1777="",$K1777=""),0,IF(ROUND(($I1777-$K1777)*1440,0)&gt;設定!$C$42,ROUND(($I1777-$K1777)*1440,0),0))</f>
        <v/>
      </c>
      <c r="Q1777" s="82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79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0">
        <f>IF($G1778="","",IFERROR(INDEX(設定!$D$6:$D$18,MATCH($G1778,設定!$B$6:$B$18,0)),""))</f>
        <v/>
      </c>
      <c r="I1778" s="80">
        <f>IF($G1778="","",IFERROR(INDEX(設定!$E$6:$E$18,MATCH($G1778,設定!$B$6:$B$18,0)),""))</f>
        <v/>
      </c>
      <c r="J1778" s="80">
        <f>IFERROR(INDEX(打卡匯入!$C$3:$C$2002,MATCH($C1778&amp;"|"&amp;DAY($A1778),打卡匯入!$E$3:$E$2002,0)),"")</f>
        <v/>
      </c>
      <c r="K1778" s="80">
        <f>IFERROR(INDEX(打卡匯入!$D$3:$D$2002,MATCH($C1778&amp;"|"&amp;DAY($A1778),打卡匯入!$E$3:$E$2002,0)),"")</f>
        <v/>
      </c>
      <c r="L1778" s="81">
        <f>IF(OR($J1778="",$K1778=""),"",IFERROR(INDEX(設定!$F$6:$F$18,MATCH($G1778,設定!$B$6:$B$18,0)),0))</f>
        <v/>
      </c>
      <c r="M1778" s="82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1">
        <f>IF(OR($C1778="",$H1778="",$J1778=""),0,IF(ROUND(($J1778-$H1778)*1440,0)&gt;設定!$C$42,ROUND(($J1778-$H1778)*1440,0),0))</f>
        <v/>
      </c>
      <c r="P1778" s="81">
        <f>IF(OR($C1778="",$I1778="",$K1778=""),0,IF(ROUND(($I1778-$K1778)*1440,0)&gt;設定!$C$42,ROUND(($I1778-$K1778)*1440,0),0))</f>
        <v/>
      </c>
      <c r="Q1778" s="82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79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0">
        <f>IF($G1779="","",IFERROR(INDEX(設定!$D$6:$D$18,MATCH($G1779,設定!$B$6:$B$18,0)),""))</f>
        <v/>
      </c>
      <c r="I1779" s="80">
        <f>IF($G1779="","",IFERROR(INDEX(設定!$E$6:$E$18,MATCH($G1779,設定!$B$6:$B$18,0)),""))</f>
        <v/>
      </c>
      <c r="J1779" s="80">
        <f>IFERROR(INDEX(打卡匯入!$C$3:$C$2002,MATCH($C1779&amp;"|"&amp;DAY($A1779),打卡匯入!$E$3:$E$2002,0)),"")</f>
        <v/>
      </c>
      <c r="K1779" s="80">
        <f>IFERROR(INDEX(打卡匯入!$D$3:$D$2002,MATCH($C1779&amp;"|"&amp;DAY($A1779),打卡匯入!$E$3:$E$2002,0)),"")</f>
        <v/>
      </c>
      <c r="L1779" s="81">
        <f>IF(OR($J1779="",$K1779=""),"",IFERROR(INDEX(設定!$F$6:$F$18,MATCH($G1779,設定!$B$6:$B$18,0)),0))</f>
        <v/>
      </c>
      <c r="M1779" s="82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1">
        <f>IF(OR($C1779="",$H1779="",$J1779=""),0,IF(ROUND(($J1779-$H1779)*1440,0)&gt;設定!$C$42,ROUND(($J1779-$H1779)*1440,0),0))</f>
        <v/>
      </c>
      <c r="P1779" s="81">
        <f>IF(OR($C1779="",$I1779="",$K1779=""),0,IF(ROUND(($I1779-$K1779)*1440,0)&gt;設定!$C$42,ROUND(($I1779-$K1779)*1440,0),0))</f>
        <v/>
      </c>
      <c r="Q1779" s="82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79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0">
        <f>IF($G1780="","",IFERROR(INDEX(設定!$D$6:$D$18,MATCH($G1780,設定!$B$6:$B$18,0)),""))</f>
        <v/>
      </c>
      <c r="I1780" s="80">
        <f>IF($G1780="","",IFERROR(INDEX(設定!$E$6:$E$18,MATCH($G1780,設定!$B$6:$B$18,0)),""))</f>
        <v/>
      </c>
      <c r="J1780" s="80">
        <f>IFERROR(INDEX(打卡匯入!$C$3:$C$2002,MATCH($C1780&amp;"|"&amp;DAY($A1780),打卡匯入!$E$3:$E$2002,0)),"")</f>
        <v/>
      </c>
      <c r="K1780" s="80">
        <f>IFERROR(INDEX(打卡匯入!$D$3:$D$2002,MATCH($C1780&amp;"|"&amp;DAY($A1780),打卡匯入!$E$3:$E$2002,0)),"")</f>
        <v/>
      </c>
      <c r="L1780" s="81">
        <f>IF(OR($J1780="",$K1780=""),"",IFERROR(INDEX(設定!$F$6:$F$18,MATCH($G1780,設定!$B$6:$B$18,0)),0))</f>
        <v/>
      </c>
      <c r="M1780" s="82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1">
        <f>IF(OR($C1780="",$H1780="",$J1780=""),0,IF(ROUND(($J1780-$H1780)*1440,0)&gt;設定!$C$42,ROUND(($J1780-$H1780)*1440,0),0))</f>
        <v/>
      </c>
      <c r="P1780" s="81">
        <f>IF(OR($C1780="",$I1780="",$K1780=""),0,IF(ROUND(($I1780-$K1780)*1440,0)&gt;設定!$C$42,ROUND(($I1780-$K1780)*1440,0),0))</f>
        <v/>
      </c>
      <c r="Q1780" s="82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79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0">
        <f>IF($G1781="","",IFERROR(INDEX(設定!$D$6:$D$18,MATCH($G1781,設定!$B$6:$B$18,0)),""))</f>
        <v/>
      </c>
      <c r="I1781" s="80">
        <f>IF($G1781="","",IFERROR(INDEX(設定!$E$6:$E$18,MATCH($G1781,設定!$B$6:$B$18,0)),""))</f>
        <v/>
      </c>
      <c r="J1781" s="80">
        <f>IFERROR(INDEX(打卡匯入!$C$3:$C$2002,MATCH($C1781&amp;"|"&amp;DAY($A1781),打卡匯入!$E$3:$E$2002,0)),"")</f>
        <v/>
      </c>
      <c r="K1781" s="80">
        <f>IFERROR(INDEX(打卡匯入!$D$3:$D$2002,MATCH($C1781&amp;"|"&amp;DAY($A1781),打卡匯入!$E$3:$E$2002,0)),"")</f>
        <v/>
      </c>
      <c r="L1781" s="81">
        <f>IF(OR($J1781="",$K1781=""),"",IFERROR(INDEX(設定!$F$6:$F$18,MATCH($G1781,設定!$B$6:$B$18,0)),0))</f>
        <v/>
      </c>
      <c r="M1781" s="82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1">
        <f>IF(OR($C1781="",$H1781="",$J1781=""),0,IF(ROUND(($J1781-$H1781)*1440,0)&gt;設定!$C$42,ROUND(($J1781-$H1781)*1440,0),0))</f>
        <v/>
      </c>
      <c r="P1781" s="81">
        <f>IF(OR($C1781="",$I1781="",$K1781=""),0,IF(ROUND(($I1781-$K1781)*1440,0)&gt;設定!$C$42,ROUND(($I1781-$K1781)*1440,0),0))</f>
        <v/>
      </c>
      <c r="Q1781" s="82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79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0">
        <f>IF($G1782="","",IFERROR(INDEX(設定!$D$6:$D$18,MATCH($G1782,設定!$B$6:$B$18,0)),""))</f>
        <v/>
      </c>
      <c r="I1782" s="80">
        <f>IF($G1782="","",IFERROR(INDEX(設定!$E$6:$E$18,MATCH($G1782,設定!$B$6:$B$18,0)),""))</f>
        <v/>
      </c>
      <c r="J1782" s="80">
        <f>IFERROR(INDEX(打卡匯入!$C$3:$C$2002,MATCH($C1782&amp;"|"&amp;DAY($A1782),打卡匯入!$E$3:$E$2002,0)),"")</f>
        <v/>
      </c>
      <c r="K1782" s="80">
        <f>IFERROR(INDEX(打卡匯入!$D$3:$D$2002,MATCH($C1782&amp;"|"&amp;DAY($A1782),打卡匯入!$E$3:$E$2002,0)),"")</f>
        <v/>
      </c>
      <c r="L1782" s="81">
        <f>IF(OR($J1782="",$K1782=""),"",IFERROR(INDEX(設定!$F$6:$F$18,MATCH($G1782,設定!$B$6:$B$18,0)),0))</f>
        <v/>
      </c>
      <c r="M1782" s="82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1">
        <f>IF(OR($C1782="",$H1782="",$J1782=""),0,IF(ROUND(($J1782-$H1782)*1440,0)&gt;設定!$C$42,ROUND(($J1782-$H1782)*1440,0),0))</f>
        <v/>
      </c>
      <c r="P1782" s="81">
        <f>IF(OR($C1782="",$I1782="",$K1782=""),0,IF(ROUND(($I1782-$K1782)*1440,0)&gt;設定!$C$42,ROUND(($I1782-$K1782)*1440,0),0))</f>
        <v/>
      </c>
      <c r="Q1782" s="82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79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0">
        <f>IF($G1783="","",IFERROR(INDEX(設定!$D$6:$D$18,MATCH($G1783,設定!$B$6:$B$18,0)),""))</f>
        <v/>
      </c>
      <c r="I1783" s="80">
        <f>IF($G1783="","",IFERROR(INDEX(設定!$E$6:$E$18,MATCH($G1783,設定!$B$6:$B$18,0)),""))</f>
        <v/>
      </c>
      <c r="J1783" s="80">
        <f>IFERROR(INDEX(打卡匯入!$C$3:$C$2002,MATCH($C1783&amp;"|"&amp;DAY($A1783),打卡匯入!$E$3:$E$2002,0)),"")</f>
        <v/>
      </c>
      <c r="K1783" s="80">
        <f>IFERROR(INDEX(打卡匯入!$D$3:$D$2002,MATCH($C1783&amp;"|"&amp;DAY($A1783),打卡匯入!$E$3:$E$2002,0)),"")</f>
        <v/>
      </c>
      <c r="L1783" s="81">
        <f>IF(OR($J1783="",$K1783=""),"",IFERROR(INDEX(設定!$F$6:$F$18,MATCH($G1783,設定!$B$6:$B$18,0)),0))</f>
        <v/>
      </c>
      <c r="M1783" s="82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1">
        <f>IF(OR($C1783="",$H1783="",$J1783=""),0,IF(ROUND(($J1783-$H1783)*1440,0)&gt;設定!$C$42,ROUND(($J1783-$H1783)*1440,0),0))</f>
        <v/>
      </c>
      <c r="P1783" s="81">
        <f>IF(OR($C1783="",$I1783="",$K1783=""),0,IF(ROUND(($I1783-$K1783)*1440,0)&gt;設定!$C$42,ROUND(($I1783-$K1783)*1440,0),0))</f>
        <v/>
      </c>
      <c r="Q1783" s="82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79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0">
        <f>IF($G1784="","",IFERROR(INDEX(設定!$D$6:$D$18,MATCH($G1784,設定!$B$6:$B$18,0)),""))</f>
        <v/>
      </c>
      <c r="I1784" s="80">
        <f>IF($G1784="","",IFERROR(INDEX(設定!$E$6:$E$18,MATCH($G1784,設定!$B$6:$B$18,0)),""))</f>
        <v/>
      </c>
      <c r="J1784" s="80">
        <f>IFERROR(INDEX(打卡匯入!$C$3:$C$2002,MATCH($C1784&amp;"|"&amp;DAY($A1784),打卡匯入!$E$3:$E$2002,0)),"")</f>
        <v/>
      </c>
      <c r="K1784" s="80">
        <f>IFERROR(INDEX(打卡匯入!$D$3:$D$2002,MATCH($C1784&amp;"|"&amp;DAY($A1784),打卡匯入!$E$3:$E$2002,0)),"")</f>
        <v/>
      </c>
      <c r="L1784" s="81">
        <f>IF(OR($J1784="",$K1784=""),"",IFERROR(INDEX(設定!$F$6:$F$18,MATCH($G1784,設定!$B$6:$B$18,0)),0))</f>
        <v/>
      </c>
      <c r="M1784" s="82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1">
        <f>IF(OR($C1784="",$H1784="",$J1784=""),0,IF(ROUND(($J1784-$H1784)*1440,0)&gt;設定!$C$42,ROUND(($J1784-$H1784)*1440,0),0))</f>
        <v/>
      </c>
      <c r="P1784" s="81">
        <f>IF(OR($C1784="",$I1784="",$K1784=""),0,IF(ROUND(($I1784-$K1784)*1440,0)&gt;設定!$C$42,ROUND(($I1784-$K1784)*1440,0),0))</f>
        <v/>
      </c>
      <c r="Q1784" s="82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79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0">
        <f>IF($G1785="","",IFERROR(INDEX(設定!$D$6:$D$18,MATCH($G1785,設定!$B$6:$B$18,0)),""))</f>
        <v/>
      </c>
      <c r="I1785" s="80">
        <f>IF($G1785="","",IFERROR(INDEX(設定!$E$6:$E$18,MATCH($G1785,設定!$B$6:$B$18,0)),""))</f>
        <v/>
      </c>
      <c r="J1785" s="80">
        <f>IFERROR(INDEX(打卡匯入!$C$3:$C$2002,MATCH($C1785&amp;"|"&amp;DAY($A1785),打卡匯入!$E$3:$E$2002,0)),"")</f>
        <v/>
      </c>
      <c r="K1785" s="80">
        <f>IFERROR(INDEX(打卡匯入!$D$3:$D$2002,MATCH($C1785&amp;"|"&amp;DAY($A1785),打卡匯入!$E$3:$E$2002,0)),"")</f>
        <v/>
      </c>
      <c r="L1785" s="81">
        <f>IF(OR($J1785="",$K1785=""),"",IFERROR(INDEX(設定!$F$6:$F$18,MATCH($G1785,設定!$B$6:$B$18,0)),0))</f>
        <v/>
      </c>
      <c r="M1785" s="82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1">
        <f>IF(OR($C1785="",$H1785="",$J1785=""),0,IF(ROUND(($J1785-$H1785)*1440,0)&gt;設定!$C$42,ROUND(($J1785-$H1785)*1440,0),0))</f>
        <v/>
      </c>
      <c r="P1785" s="81">
        <f>IF(OR($C1785="",$I1785="",$K1785=""),0,IF(ROUND(($I1785-$K1785)*1440,0)&gt;設定!$C$42,ROUND(($I1785-$K1785)*1440,0),0))</f>
        <v/>
      </c>
      <c r="Q1785" s="82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79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0">
        <f>IF($G1786="","",IFERROR(INDEX(設定!$D$6:$D$18,MATCH($G1786,設定!$B$6:$B$18,0)),""))</f>
        <v/>
      </c>
      <c r="I1786" s="80">
        <f>IF($G1786="","",IFERROR(INDEX(設定!$E$6:$E$18,MATCH($G1786,設定!$B$6:$B$18,0)),""))</f>
        <v/>
      </c>
      <c r="J1786" s="80">
        <f>IFERROR(INDEX(打卡匯入!$C$3:$C$2002,MATCH($C1786&amp;"|"&amp;DAY($A1786),打卡匯入!$E$3:$E$2002,0)),"")</f>
        <v/>
      </c>
      <c r="K1786" s="80">
        <f>IFERROR(INDEX(打卡匯入!$D$3:$D$2002,MATCH($C1786&amp;"|"&amp;DAY($A1786),打卡匯入!$E$3:$E$2002,0)),"")</f>
        <v/>
      </c>
      <c r="L1786" s="81">
        <f>IF(OR($J1786="",$K1786=""),"",IFERROR(INDEX(設定!$F$6:$F$18,MATCH($G1786,設定!$B$6:$B$18,0)),0))</f>
        <v/>
      </c>
      <c r="M1786" s="82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1">
        <f>IF(OR($C1786="",$H1786="",$J1786=""),0,IF(ROUND(($J1786-$H1786)*1440,0)&gt;設定!$C$42,ROUND(($J1786-$H1786)*1440,0),0))</f>
        <v/>
      </c>
      <c r="P1786" s="81">
        <f>IF(OR($C1786="",$I1786="",$K1786=""),0,IF(ROUND(($I1786-$K1786)*1440,0)&gt;設定!$C$42,ROUND(($I1786-$K1786)*1440,0),0))</f>
        <v/>
      </c>
      <c r="Q1786" s="82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79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0">
        <f>IF($G1787="","",IFERROR(INDEX(設定!$D$6:$D$18,MATCH($G1787,設定!$B$6:$B$18,0)),""))</f>
        <v/>
      </c>
      <c r="I1787" s="80">
        <f>IF($G1787="","",IFERROR(INDEX(設定!$E$6:$E$18,MATCH($G1787,設定!$B$6:$B$18,0)),""))</f>
        <v/>
      </c>
      <c r="J1787" s="80">
        <f>IFERROR(INDEX(打卡匯入!$C$3:$C$2002,MATCH($C1787&amp;"|"&amp;DAY($A1787),打卡匯入!$E$3:$E$2002,0)),"")</f>
        <v/>
      </c>
      <c r="K1787" s="80">
        <f>IFERROR(INDEX(打卡匯入!$D$3:$D$2002,MATCH($C1787&amp;"|"&amp;DAY($A1787),打卡匯入!$E$3:$E$2002,0)),"")</f>
        <v/>
      </c>
      <c r="L1787" s="81">
        <f>IF(OR($J1787="",$K1787=""),"",IFERROR(INDEX(設定!$F$6:$F$18,MATCH($G1787,設定!$B$6:$B$18,0)),0))</f>
        <v/>
      </c>
      <c r="M1787" s="82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1">
        <f>IF(OR($C1787="",$H1787="",$J1787=""),0,IF(ROUND(($J1787-$H1787)*1440,0)&gt;設定!$C$42,ROUND(($J1787-$H1787)*1440,0),0))</f>
        <v/>
      </c>
      <c r="P1787" s="81">
        <f>IF(OR($C1787="",$I1787="",$K1787=""),0,IF(ROUND(($I1787-$K1787)*1440,0)&gt;設定!$C$42,ROUND(($I1787-$K1787)*1440,0),0))</f>
        <v/>
      </c>
      <c r="Q1787" s="82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79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0">
        <f>IF($G1788="","",IFERROR(INDEX(設定!$D$6:$D$18,MATCH($G1788,設定!$B$6:$B$18,0)),""))</f>
        <v/>
      </c>
      <c r="I1788" s="80">
        <f>IF($G1788="","",IFERROR(INDEX(設定!$E$6:$E$18,MATCH($G1788,設定!$B$6:$B$18,0)),""))</f>
        <v/>
      </c>
      <c r="J1788" s="80">
        <f>IFERROR(INDEX(打卡匯入!$C$3:$C$2002,MATCH($C1788&amp;"|"&amp;DAY($A1788),打卡匯入!$E$3:$E$2002,0)),"")</f>
        <v/>
      </c>
      <c r="K1788" s="80">
        <f>IFERROR(INDEX(打卡匯入!$D$3:$D$2002,MATCH($C1788&amp;"|"&amp;DAY($A1788),打卡匯入!$E$3:$E$2002,0)),"")</f>
        <v/>
      </c>
      <c r="L1788" s="81">
        <f>IF(OR($J1788="",$K1788=""),"",IFERROR(INDEX(設定!$F$6:$F$18,MATCH($G1788,設定!$B$6:$B$18,0)),0))</f>
        <v/>
      </c>
      <c r="M1788" s="82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1">
        <f>IF(OR($C1788="",$H1788="",$J1788=""),0,IF(ROUND(($J1788-$H1788)*1440,0)&gt;設定!$C$42,ROUND(($J1788-$H1788)*1440,0),0))</f>
        <v/>
      </c>
      <c r="P1788" s="81">
        <f>IF(OR($C1788="",$I1788="",$K1788=""),0,IF(ROUND(($I1788-$K1788)*1440,0)&gt;設定!$C$42,ROUND(($I1788-$K1788)*1440,0),0))</f>
        <v/>
      </c>
      <c r="Q1788" s="82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79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0">
        <f>IF($G1789="","",IFERROR(INDEX(設定!$D$6:$D$18,MATCH($G1789,設定!$B$6:$B$18,0)),""))</f>
        <v/>
      </c>
      <c r="I1789" s="80">
        <f>IF($G1789="","",IFERROR(INDEX(設定!$E$6:$E$18,MATCH($G1789,設定!$B$6:$B$18,0)),""))</f>
        <v/>
      </c>
      <c r="J1789" s="80">
        <f>IFERROR(INDEX(打卡匯入!$C$3:$C$2002,MATCH($C1789&amp;"|"&amp;DAY($A1789),打卡匯入!$E$3:$E$2002,0)),"")</f>
        <v/>
      </c>
      <c r="K1789" s="80">
        <f>IFERROR(INDEX(打卡匯入!$D$3:$D$2002,MATCH($C1789&amp;"|"&amp;DAY($A1789),打卡匯入!$E$3:$E$2002,0)),"")</f>
        <v/>
      </c>
      <c r="L1789" s="81">
        <f>IF(OR($J1789="",$K1789=""),"",IFERROR(INDEX(設定!$F$6:$F$18,MATCH($G1789,設定!$B$6:$B$18,0)),0))</f>
        <v/>
      </c>
      <c r="M1789" s="82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1">
        <f>IF(OR($C1789="",$H1789="",$J1789=""),0,IF(ROUND(($J1789-$H1789)*1440,0)&gt;設定!$C$42,ROUND(($J1789-$H1789)*1440,0),0))</f>
        <v/>
      </c>
      <c r="P1789" s="81">
        <f>IF(OR($C1789="",$I1789="",$K1789=""),0,IF(ROUND(($I1789-$K1789)*1440,0)&gt;設定!$C$42,ROUND(($I1789-$K1789)*1440,0),0))</f>
        <v/>
      </c>
      <c r="Q1789" s="82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79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0">
        <f>IF($G1790="","",IFERROR(INDEX(設定!$D$6:$D$18,MATCH($G1790,設定!$B$6:$B$18,0)),""))</f>
        <v/>
      </c>
      <c r="I1790" s="80">
        <f>IF($G1790="","",IFERROR(INDEX(設定!$E$6:$E$18,MATCH($G1790,設定!$B$6:$B$18,0)),""))</f>
        <v/>
      </c>
      <c r="J1790" s="80">
        <f>IFERROR(INDEX(打卡匯入!$C$3:$C$2002,MATCH($C1790&amp;"|"&amp;DAY($A1790),打卡匯入!$E$3:$E$2002,0)),"")</f>
        <v/>
      </c>
      <c r="K1790" s="80">
        <f>IFERROR(INDEX(打卡匯入!$D$3:$D$2002,MATCH($C1790&amp;"|"&amp;DAY($A1790),打卡匯入!$E$3:$E$2002,0)),"")</f>
        <v/>
      </c>
      <c r="L1790" s="81">
        <f>IF(OR($J1790="",$K1790=""),"",IFERROR(INDEX(設定!$F$6:$F$18,MATCH($G1790,設定!$B$6:$B$18,0)),0))</f>
        <v/>
      </c>
      <c r="M1790" s="82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1">
        <f>IF(OR($C1790="",$H1790="",$J1790=""),0,IF(ROUND(($J1790-$H1790)*1440,0)&gt;設定!$C$42,ROUND(($J1790-$H1790)*1440,0),0))</f>
        <v/>
      </c>
      <c r="P1790" s="81">
        <f>IF(OR($C1790="",$I1790="",$K1790=""),0,IF(ROUND(($I1790-$K1790)*1440,0)&gt;設定!$C$42,ROUND(($I1790-$K1790)*1440,0),0))</f>
        <v/>
      </c>
      <c r="Q1790" s="82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79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0">
        <f>IF($G1791="","",IFERROR(INDEX(設定!$D$6:$D$18,MATCH($G1791,設定!$B$6:$B$18,0)),""))</f>
        <v/>
      </c>
      <c r="I1791" s="80">
        <f>IF($G1791="","",IFERROR(INDEX(設定!$E$6:$E$18,MATCH($G1791,設定!$B$6:$B$18,0)),""))</f>
        <v/>
      </c>
      <c r="J1791" s="80">
        <f>IFERROR(INDEX(打卡匯入!$C$3:$C$2002,MATCH($C1791&amp;"|"&amp;DAY($A1791),打卡匯入!$E$3:$E$2002,0)),"")</f>
        <v/>
      </c>
      <c r="K1791" s="80">
        <f>IFERROR(INDEX(打卡匯入!$D$3:$D$2002,MATCH($C1791&amp;"|"&amp;DAY($A1791),打卡匯入!$E$3:$E$2002,0)),"")</f>
        <v/>
      </c>
      <c r="L1791" s="81">
        <f>IF(OR($J1791="",$K1791=""),"",IFERROR(INDEX(設定!$F$6:$F$18,MATCH($G1791,設定!$B$6:$B$18,0)),0))</f>
        <v/>
      </c>
      <c r="M1791" s="82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1">
        <f>IF(OR($C1791="",$H1791="",$J1791=""),0,IF(ROUND(($J1791-$H1791)*1440,0)&gt;設定!$C$42,ROUND(($J1791-$H1791)*1440,0),0))</f>
        <v/>
      </c>
      <c r="P1791" s="81">
        <f>IF(OR($C1791="",$I1791="",$K1791=""),0,IF(ROUND(($I1791-$K1791)*1440,0)&gt;設定!$C$42,ROUND(($I1791-$K1791)*1440,0),0))</f>
        <v/>
      </c>
      <c r="Q1791" s="82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79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0">
        <f>IF($G1792="","",IFERROR(INDEX(設定!$D$6:$D$18,MATCH($G1792,設定!$B$6:$B$18,0)),""))</f>
        <v/>
      </c>
      <c r="I1792" s="80">
        <f>IF($G1792="","",IFERROR(INDEX(設定!$E$6:$E$18,MATCH($G1792,設定!$B$6:$B$18,0)),""))</f>
        <v/>
      </c>
      <c r="J1792" s="80">
        <f>IFERROR(INDEX(打卡匯入!$C$3:$C$2002,MATCH($C1792&amp;"|"&amp;DAY($A1792),打卡匯入!$E$3:$E$2002,0)),"")</f>
        <v/>
      </c>
      <c r="K1792" s="80">
        <f>IFERROR(INDEX(打卡匯入!$D$3:$D$2002,MATCH($C1792&amp;"|"&amp;DAY($A1792),打卡匯入!$E$3:$E$2002,0)),"")</f>
        <v/>
      </c>
      <c r="L1792" s="81">
        <f>IF(OR($J1792="",$K1792=""),"",IFERROR(INDEX(設定!$F$6:$F$18,MATCH($G1792,設定!$B$6:$B$18,0)),0))</f>
        <v/>
      </c>
      <c r="M1792" s="82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1">
        <f>IF(OR($C1792="",$H1792="",$J1792=""),0,IF(ROUND(($J1792-$H1792)*1440,0)&gt;設定!$C$42,ROUND(($J1792-$H1792)*1440,0),0))</f>
        <v/>
      </c>
      <c r="P1792" s="81">
        <f>IF(OR($C1792="",$I1792="",$K1792=""),0,IF(ROUND(($I1792-$K1792)*1440,0)&gt;設定!$C$42,ROUND(($I1792-$K1792)*1440,0),0))</f>
        <v/>
      </c>
      <c r="Q1792" s="82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79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0">
        <f>IF($G1793="","",IFERROR(INDEX(設定!$D$6:$D$18,MATCH($G1793,設定!$B$6:$B$18,0)),""))</f>
        <v/>
      </c>
      <c r="I1793" s="80">
        <f>IF($G1793="","",IFERROR(INDEX(設定!$E$6:$E$18,MATCH($G1793,設定!$B$6:$B$18,0)),""))</f>
        <v/>
      </c>
      <c r="J1793" s="80">
        <f>IFERROR(INDEX(打卡匯入!$C$3:$C$2002,MATCH($C1793&amp;"|"&amp;DAY($A1793),打卡匯入!$E$3:$E$2002,0)),"")</f>
        <v/>
      </c>
      <c r="K1793" s="80">
        <f>IFERROR(INDEX(打卡匯入!$D$3:$D$2002,MATCH($C1793&amp;"|"&amp;DAY($A1793),打卡匯入!$E$3:$E$2002,0)),"")</f>
        <v/>
      </c>
      <c r="L1793" s="81">
        <f>IF(OR($J1793="",$K1793=""),"",IFERROR(INDEX(設定!$F$6:$F$18,MATCH($G1793,設定!$B$6:$B$18,0)),0))</f>
        <v/>
      </c>
      <c r="M1793" s="82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1">
        <f>IF(OR($C1793="",$H1793="",$J1793=""),0,IF(ROUND(($J1793-$H1793)*1440,0)&gt;設定!$C$42,ROUND(($J1793-$H1793)*1440,0),0))</f>
        <v/>
      </c>
      <c r="P1793" s="81">
        <f>IF(OR($C1793="",$I1793="",$K1793=""),0,IF(ROUND(($I1793-$K1793)*1440,0)&gt;設定!$C$42,ROUND(($I1793-$K1793)*1440,0),0))</f>
        <v/>
      </c>
      <c r="Q1793" s="82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79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0">
        <f>IF($G1794="","",IFERROR(INDEX(設定!$D$6:$D$18,MATCH($G1794,設定!$B$6:$B$18,0)),""))</f>
        <v/>
      </c>
      <c r="I1794" s="80">
        <f>IF($G1794="","",IFERROR(INDEX(設定!$E$6:$E$18,MATCH($G1794,設定!$B$6:$B$18,0)),""))</f>
        <v/>
      </c>
      <c r="J1794" s="80">
        <f>IFERROR(INDEX(打卡匯入!$C$3:$C$2002,MATCH($C1794&amp;"|"&amp;DAY($A1794),打卡匯入!$E$3:$E$2002,0)),"")</f>
        <v/>
      </c>
      <c r="K1794" s="80">
        <f>IFERROR(INDEX(打卡匯入!$D$3:$D$2002,MATCH($C1794&amp;"|"&amp;DAY($A1794),打卡匯入!$E$3:$E$2002,0)),"")</f>
        <v/>
      </c>
      <c r="L1794" s="81">
        <f>IF(OR($J1794="",$K1794=""),"",IFERROR(INDEX(設定!$F$6:$F$18,MATCH($G1794,設定!$B$6:$B$18,0)),0))</f>
        <v/>
      </c>
      <c r="M1794" s="82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1">
        <f>IF(OR($C1794="",$H1794="",$J1794=""),0,IF(ROUND(($J1794-$H1794)*1440,0)&gt;設定!$C$42,ROUND(($J1794-$H1794)*1440,0),0))</f>
        <v/>
      </c>
      <c r="P1794" s="81">
        <f>IF(OR($C1794="",$I1794="",$K1794=""),0,IF(ROUND(($I1794-$K1794)*1440,0)&gt;設定!$C$42,ROUND(($I1794-$K1794)*1440,0),0))</f>
        <v/>
      </c>
      <c r="Q1794" s="82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79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0">
        <f>IF($G1795="","",IFERROR(INDEX(設定!$D$6:$D$18,MATCH($G1795,設定!$B$6:$B$18,0)),""))</f>
        <v/>
      </c>
      <c r="I1795" s="80">
        <f>IF($G1795="","",IFERROR(INDEX(設定!$E$6:$E$18,MATCH($G1795,設定!$B$6:$B$18,0)),""))</f>
        <v/>
      </c>
      <c r="J1795" s="80">
        <f>IFERROR(INDEX(打卡匯入!$C$3:$C$2002,MATCH($C1795&amp;"|"&amp;DAY($A1795),打卡匯入!$E$3:$E$2002,0)),"")</f>
        <v/>
      </c>
      <c r="K1795" s="80">
        <f>IFERROR(INDEX(打卡匯入!$D$3:$D$2002,MATCH($C1795&amp;"|"&amp;DAY($A1795),打卡匯入!$E$3:$E$2002,0)),"")</f>
        <v/>
      </c>
      <c r="L1795" s="81">
        <f>IF(OR($J1795="",$K1795=""),"",IFERROR(INDEX(設定!$F$6:$F$18,MATCH($G1795,設定!$B$6:$B$18,0)),0))</f>
        <v/>
      </c>
      <c r="M1795" s="82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1">
        <f>IF(OR($C1795="",$H1795="",$J1795=""),0,IF(ROUND(($J1795-$H1795)*1440,0)&gt;設定!$C$42,ROUND(($J1795-$H1795)*1440,0),0))</f>
        <v/>
      </c>
      <c r="P1795" s="81">
        <f>IF(OR($C1795="",$I1795="",$K1795=""),0,IF(ROUND(($I1795-$K1795)*1440,0)&gt;設定!$C$42,ROUND(($I1795-$K1795)*1440,0),0))</f>
        <v/>
      </c>
      <c r="Q1795" s="82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79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0">
        <f>IF($G1796="","",IFERROR(INDEX(設定!$D$6:$D$18,MATCH($G1796,設定!$B$6:$B$18,0)),""))</f>
        <v/>
      </c>
      <c r="I1796" s="80">
        <f>IF($G1796="","",IFERROR(INDEX(設定!$E$6:$E$18,MATCH($G1796,設定!$B$6:$B$18,0)),""))</f>
        <v/>
      </c>
      <c r="J1796" s="80">
        <f>IFERROR(INDEX(打卡匯入!$C$3:$C$2002,MATCH($C1796&amp;"|"&amp;DAY($A1796),打卡匯入!$E$3:$E$2002,0)),"")</f>
        <v/>
      </c>
      <c r="K1796" s="80">
        <f>IFERROR(INDEX(打卡匯入!$D$3:$D$2002,MATCH($C1796&amp;"|"&amp;DAY($A1796),打卡匯入!$E$3:$E$2002,0)),"")</f>
        <v/>
      </c>
      <c r="L1796" s="81">
        <f>IF(OR($J1796="",$K1796=""),"",IFERROR(INDEX(設定!$F$6:$F$18,MATCH($G1796,設定!$B$6:$B$18,0)),0))</f>
        <v/>
      </c>
      <c r="M1796" s="82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1">
        <f>IF(OR($C1796="",$H1796="",$J1796=""),0,IF(ROUND(($J1796-$H1796)*1440,0)&gt;設定!$C$42,ROUND(($J1796-$H1796)*1440,0),0))</f>
        <v/>
      </c>
      <c r="P1796" s="81">
        <f>IF(OR($C1796="",$I1796="",$K1796=""),0,IF(ROUND(($I1796-$K1796)*1440,0)&gt;設定!$C$42,ROUND(($I1796-$K1796)*1440,0),0))</f>
        <v/>
      </c>
      <c r="Q1796" s="82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79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0">
        <f>IF($G1797="","",IFERROR(INDEX(設定!$D$6:$D$18,MATCH($G1797,設定!$B$6:$B$18,0)),""))</f>
        <v/>
      </c>
      <c r="I1797" s="80">
        <f>IF($G1797="","",IFERROR(INDEX(設定!$E$6:$E$18,MATCH($G1797,設定!$B$6:$B$18,0)),""))</f>
        <v/>
      </c>
      <c r="J1797" s="80">
        <f>IFERROR(INDEX(打卡匯入!$C$3:$C$2002,MATCH($C1797&amp;"|"&amp;DAY($A1797),打卡匯入!$E$3:$E$2002,0)),"")</f>
        <v/>
      </c>
      <c r="K1797" s="80">
        <f>IFERROR(INDEX(打卡匯入!$D$3:$D$2002,MATCH($C1797&amp;"|"&amp;DAY($A1797),打卡匯入!$E$3:$E$2002,0)),"")</f>
        <v/>
      </c>
      <c r="L1797" s="81">
        <f>IF(OR($J1797="",$K1797=""),"",IFERROR(INDEX(設定!$F$6:$F$18,MATCH($G1797,設定!$B$6:$B$18,0)),0))</f>
        <v/>
      </c>
      <c r="M1797" s="82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1">
        <f>IF(OR($C1797="",$H1797="",$J1797=""),0,IF(ROUND(($J1797-$H1797)*1440,0)&gt;設定!$C$42,ROUND(($J1797-$H1797)*1440,0),0))</f>
        <v/>
      </c>
      <c r="P1797" s="81">
        <f>IF(OR($C1797="",$I1797="",$K1797=""),0,IF(ROUND(($I1797-$K1797)*1440,0)&gt;設定!$C$42,ROUND(($I1797-$K1797)*1440,0),0))</f>
        <v/>
      </c>
      <c r="Q1797" s="82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79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0">
        <f>IF($G1798="","",IFERROR(INDEX(設定!$D$6:$D$18,MATCH($G1798,設定!$B$6:$B$18,0)),""))</f>
        <v/>
      </c>
      <c r="I1798" s="80">
        <f>IF($G1798="","",IFERROR(INDEX(設定!$E$6:$E$18,MATCH($G1798,設定!$B$6:$B$18,0)),""))</f>
        <v/>
      </c>
      <c r="J1798" s="80">
        <f>IFERROR(INDEX(打卡匯入!$C$3:$C$2002,MATCH($C1798&amp;"|"&amp;DAY($A1798),打卡匯入!$E$3:$E$2002,0)),"")</f>
        <v/>
      </c>
      <c r="K1798" s="80">
        <f>IFERROR(INDEX(打卡匯入!$D$3:$D$2002,MATCH($C1798&amp;"|"&amp;DAY($A1798),打卡匯入!$E$3:$E$2002,0)),"")</f>
        <v/>
      </c>
      <c r="L1798" s="81">
        <f>IF(OR($J1798="",$K1798=""),"",IFERROR(INDEX(設定!$F$6:$F$18,MATCH($G1798,設定!$B$6:$B$18,0)),0))</f>
        <v/>
      </c>
      <c r="M1798" s="82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1">
        <f>IF(OR($C1798="",$H1798="",$J1798=""),0,IF(ROUND(($J1798-$H1798)*1440,0)&gt;設定!$C$42,ROUND(($J1798-$H1798)*1440,0),0))</f>
        <v/>
      </c>
      <c r="P1798" s="81">
        <f>IF(OR($C1798="",$I1798="",$K1798=""),0,IF(ROUND(($I1798-$K1798)*1440,0)&gt;設定!$C$42,ROUND(($I1798-$K1798)*1440,0),0))</f>
        <v/>
      </c>
      <c r="Q1798" s="82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79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0">
        <f>IF($G1799="","",IFERROR(INDEX(設定!$D$6:$D$18,MATCH($G1799,設定!$B$6:$B$18,0)),""))</f>
        <v/>
      </c>
      <c r="I1799" s="80">
        <f>IF($G1799="","",IFERROR(INDEX(設定!$E$6:$E$18,MATCH($G1799,設定!$B$6:$B$18,0)),""))</f>
        <v/>
      </c>
      <c r="J1799" s="80">
        <f>IFERROR(INDEX(打卡匯入!$C$3:$C$2002,MATCH($C1799&amp;"|"&amp;DAY($A1799),打卡匯入!$E$3:$E$2002,0)),"")</f>
        <v/>
      </c>
      <c r="K1799" s="80">
        <f>IFERROR(INDEX(打卡匯入!$D$3:$D$2002,MATCH($C1799&amp;"|"&amp;DAY($A1799),打卡匯入!$E$3:$E$2002,0)),"")</f>
        <v/>
      </c>
      <c r="L1799" s="81">
        <f>IF(OR($J1799="",$K1799=""),"",IFERROR(INDEX(設定!$F$6:$F$18,MATCH($G1799,設定!$B$6:$B$18,0)),0))</f>
        <v/>
      </c>
      <c r="M1799" s="82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1">
        <f>IF(OR($C1799="",$H1799="",$J1799=""),0,IF(ROUND(($J1799-$H1799)*1440,0)&gt;設定!$C$42,ROUND(($J1799-$H1799)*1440,0),0))</f>
        <v/>
      </c>
      <c r="P1799" s="81">
        <f>IF(OR($C1799="",$I1799="",$K1799=""),0,IF(ROUND(($I1799-$K1799)*1440,0)&gt;設定!$C$42,ROUND(($I1799-$K1799)*1440,0),0))</f>
        <v/>
      </c>
      <c r="Q1799" s="82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79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0">
        <f>IF($G1800="","",IFERROR(INDEX(設定!$D$6:$D$18,MATCH($G1800,設定!$B$6:$B$18,0)),""))</f>
        <v/>
      </c>
      <c r="I1800" s="80">
        <f>IF($G1800="","",IFERROR(INDEX(設定!$E$6:$E$18,MATCH($G1800,設定!$B$6:$B$18,0)),""))</f>
        <v/>
      </c>
      <c r="J1800" s="80">
        <f>IFERROR(INDEX(打卡匯入!$C$3:$C$2002,MATCH($C1800&amp;"|"&amp;DAY($A1800),打卡匯入!$E$3:$E$2002,0)),"")</f>
        <v/>
      </c>
      <c r="K1800" s="80">
        <f>IFERROR(INDEX(打卡匯入!$D$3:$D$2002,MATCH($C1800&amp;"|"&amp;DAY($A1800),打卡匯入!$E$3:$E$2002,0)),"")</f>
        <v/>
      </c>
      <c r="L1800" s="81">
        <f>IF(OR($J1800="",$K1800=""),"",IFERROR(INDEX(設定!$F$6:$F$18,MATCH($G1800,設定!$B$6:$B$18,0)),0))</f>
        <v/>
      </c>
      <c r="M1800" s="82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1">
        <f>IF(OR($C1800="",$H1800="",$J1800=""),0,IF(ROUND(($J1800-$H1800)*1440,0)&gt;設定!$C$42,ROUND(($J1800-$H1800)*1440,0),0))</f>
        <v/>
      </c>
      <c r="P1800" s="81">
        <f>IF(OR($C1800="",$I1800="",$K1800=""),0,IF(ROUND(($I1800-$K1800)*1440,0)&gt;設定!$C$42,ROUND(($I1800-$K1800)*1440,0),0))</f>
        <v/>
      </c>
      <c r="Q1800" s="82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79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0">
        <f>IF($G1801="","",IFERROR(INDEX(設定!$D$6:$D$18,MATCH($G1801,設定!$B$6:$B$18,0)),""))</f>
        <v/>
      </c>
      <c r="I1801" s="80">
        <f>IF($G1801="","",IFERROR(INDEX(設定!$E$6:$E$18,MATCH($G1801,設定!$B$6:$B$18,0)),""))</f>
        <v/>
      </c>
      <c r="J1801" s="80">
        <f>IFERROR(INDEX(打卡匯入!$C$3:$C$2002,MATCH($C1801&amp;"|"&amp;DAY($A1801),打卡匯入!$E$3:$E$2002,0)),"")</f>
        <v/>
      </c>
      <c r="K1801" s="80">
        <f>IFERROR(INDEX(打卡匯入!$D$3:$D$2002,MATCH($C1801&amp;"|"&amp;DAY($A1801),打卡匯入!$E$3:$E$2002,0)),"")</f>
        <v/>
      </c>
      <c r="L1801" s="81">
        <f>IF(OR($J1801="",$K1801=""),"",IFERROR(INDEX(設定!$F$6:$F$18,MATCH($G1801,設定!$B$6:$B$18,0)),0))</f>
        <v/>
      </c>
      <c r="M1801" s="82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1">
        <f>IF(OR($C1801="",$H1801="",$J1801=""),0,IF(ROUND(($J1801-$H1801)*1440,0)&gt;設定!$C$42,ROUND(($J1801-$H1801)*1440,0),0))</f>
        <v/>
      </c>
      <c r="P1801" s="81">
        <f>IF(OR($C1801="",$I1801="",$K1801=""),0,IF(ROUND(($I1801-$K1801)*1440,0)&gt;設定!$C$42,ROUND(($I1801-$K1801)*1440,0),0))</f>
        <v/>
      </c>
      <c r="Q1801" s="82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79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0">
        <f>IF($G1802="","",IFERROR(INDEX(設定!$D$6:$D$18,MATCH($G1802,設定!$B$6:$B$18,0)),""))</f>
        <v/>
      </c>
      <c r="I1802" s="80">
        <f>IF($G1802="","",IFERROR(INDEX(設定!$E$6:$E$18,MATCH($G1802,設定!$B$6:$B$18,0)),""))</f>
        <v/>
      </c>
      <c r="J1802" s="80">
        <f>IFERROR(INDEX(打卡匯入!$C$3:$C$2002,MATCH($C1802&amp;"|"&amp;DAY($A1802),打卡匯入!$E$3:$E$2002,0)),"")</f>
        <v/>
      </c>
      <c r="K1802" s="80">
        <f>IFERROR(INDEX(打卡匯入!$D$3:$D$2002,MATCH($C1802&amp;"|"&amp;DAY($A1802),打卡匯入!$E$3:$E$2002,0)),"")</f>
        <v/>
      </c>
      <c r="L1802" s="81">
        <f>IF(OR($J1802="",$K1802=""),"",IFERROR(INDEX(設定!$F$6:$F$18,MATCH($G1802,設定!$B$6:$B$18,0)),0))</f>
        <v/>
      </c>
      <c r="M1802" s="82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1">
        <f>IF(OR($C1802="",$H1802="",$J1802=""),0,IF(ROUND(($J1802-$H1802)*1440,0)&gt;設定!$C$42,ROUND(($J1802-$H1802)*1440,0),0))</f>
        <v/>
      </c>
      <c r="P1802" s="81">
        <f>IF(OR($C1802="",$I1802="",$K1802=""),0,IF(ROUND(($I1802-$K1802)*1440,0)&gt;設定!$C$42,ROUND(($I1802-$K1802)*1440,0),0))</f>
        <v/>
      </c>
      <c r="Q1802" s="82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79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0">
        <f>IF($G1803="","",IFERROR(INDEX(設定!$D$6:$D$18,MATCH($G1803,設定!$B$6:$B$18,0)),""))</f>
        <v/>
      </c>
      <c r="I1803" s="80">
        <f>IF($G1803="","",IFERROR(INDEX(設定!$E$6:$E$18,MATCH($G1803,設定!$B$6:$B$18,0)),""))</f>
        <v/>
      </c>
      <c r="J1803" s="80">
        <f>IFERROR(INDEX(打卡匯入!$C$3:$C$2002,MATCH($C1803&amp;"|"&amp;DAY($A1803),打卡匯入!$E$3:$E$2002,0)),"")</f>
        <v/>
      </c>
      <c r="K1803" s="80">
        <f>IFERROR(INDEX(打卡匯入!$D$3:$D$2002,MATCH($C1803&amp;"|"&amp;DAY($A1803),打卡匯入!$E$3:$E$2002,0)),"")</f>
        <v/>
      </c>
      <c r="L1803" s="81">
        <f>IF(OR($J1803="",$K1803=""),"",IFERROR(INDEX(設定!$F$6:$F$18,MATCH($G1803,設定!$B$6:$B$18,0)),0))</f>
        <v/>
      </c>
      <c r="M1803" s="82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1">
        <f>IF(OR($C1803="",$H1803="",$J1803=""),0,IF(ROUND(($J1803-$H1803)*1440,0)&gt;設定!$C$42,ROUND(($J1803-$H1803)*1440,0),0))</f>
        <v/>
      </c>
      <c r="P1803" s="81">
        <f>IF(OR($C1803="",$I1803="",$K1803=""),0,IF(ROUND(($I1803-$K1803)*1440,0)&gt;設定!$C$42,ROUND(($I1803-$K1803)*1440,0),0))</f>
        <v/>
      </c>
      <c r="Q1803" s="82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79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0">
        <f>IF($G1804="","",IFERROR(INDEX(設定!$D$6:$D$18,MATCH($G1804,設定!$B$6:$B$18,0)),""))</f>
        <v/>
      </c>
      <c r="I1804" s="80">
        <f>IF($G1804="","",IFERROR(INDEX(設定!$E$6:$E$18,MATCH($G1804,設定!$B$6:$B$18,0)),""))</f>
        <v/>
      </c>
      <c r="J1804" s="80">
        <f>IFERROR(INDEX(打卡匯入!$C$3:$C$2002,MATCH($C1804&amp;"|"&amp;DAY($A1804),打卡匯入!$E$3:$E$2002,0)),"")</f>
        <v/>
      </c>
      <c r="K1804" s="80">
        <f>IFERROR(INDEX(打卡匯入!$D$3:$D$2002,MATCH($C1804&amp;"|"&amp;DAY($A1804),打卡匯入!$E$3:$E$2002,0)),"")</f>
        <v/>
      </c>
      <c r="L1804" s="81">
        <f>IF(OR($J1804="",$K1804=""),"",IFERROR(INDEX(設定!$F$6:$F$18,MATCH($G1804,設定!$B$6:$B$18,0)),0))</f>
        <v/>
      </c>
      <c r="M1804" s="82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1">
        <f>IF(OR($C1804="",$H1804="",$J1804=""),0,IF(ROUND(($J1804-$H1804)*1440,0)&gt;設定!$C$42,ROUND(($J1804-$H1804)*1440,0),0))</f>
        <v/>
      </c>
      <c r="P1804" s="81">
        <f>IF(OR($C1804="",$I1804="",$K1804=""),0,IF(ROUND(($I1804-$K1804)*1440,0)&gt;設定!$C$42,ROUND(($I1804-$K1804)*1440,0),0))</f>
        <v/>
      </c>
      <c r="Q1804" s="82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79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0">
        <f>IF($G1805="","",IFERROR(INDEX(設定!$D$6:$D$18,MATCH($G1805,設定!$B$6:$B$18,0)),""))</f>
        <v/>
      </c>
      <c r="I1805" s="80">
        <f>IF($G1805="","",IFERROR(INDEX(設定!$E$6:$E$18,MATCH($G1805,設定!$B$6:$B$18,0)),""))</f>
        <v/>
      </c>
      <c r="J1805" s="80">
        <f>IFERROR(INDEX(打卡匯入!$C$3:$C$2002,MATCH($C1805&amp;"|"&amp;DAY($A1805),打卡匯入!$E$3:$E$2002,0)),"")</f>
        <v/>
      </c>
      <c r="K1805" s="80">
        <f>IFERROR(INDEX(打卡匯入!$D$3:$D$2002,MATCH($C1805&amp;"|"&amp;DAY($A1805),打卡匯入!$E$3:$E$2002,0)),"")</f>
        <v/>
      </c>
      <c r="L1805" s="81">
        <f>IF(OR($J1805="",$K1805=""),"",IFERROR(INDEX(設定!$F$6:$F$18,MATCH($G1805,設定!$B$6:$B$18,0)),0))</f>
        <v/>
      </c>
      <c r="M1805" s="82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1">
        <f>IF(OR($C1805="",$H1805="",$J1805=""),0,IF(ROUND(($J1805-$H1805)*1440,0)&gt;設定!$C$42,ROUND(($J1805-$H1805)*1440,0),0))</f>
        <v/>
      </c>
      <c r="P1805" s="81">
        <f>IF(OR($C1805="",$I1805="",$K1805=""),0,IF(ROUND(($I1805-$K1805)*1440,0)&gt;設定!$C$42,ROUND(($I1805-$K1805)*1440,0),0))</f>
        <v/>
      </c>
      <c r="Q1805" s="82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79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0">
        <f>IF($G1806="","",IFERROR(INDEX(設定!$D$6:$D$18,MATCH($G1806,設定!$B$6:$B$18,0)),""))</f>
        <v/>
      </c>
      <c r="I1806" s="80">
        <f>IF($G1806="","",IFERROR(INDEX(設定!$E$6:$E$18,MATCH($G1806,設定!$B$6:$B$18,0)),""))</f>
        <v/>
      </c>
      <c r="J1806" s="80">
        <f>IFERROR(INDEX(打卡匯入!$C$3:$C$2002,MATCH($C1806&amp;"|"&amp;DAY($A1806),打卡匯入!$E$3:$E$2002,0)),"")</f>
        <v/>
      </c>
      <c r="K1806" s="80">
        <f>IFERROR(INDEX(打卡匯入!$D$3:$D$2002,MATCH($C1806&amp;"|"&amp;DAY($A1806),打卡匯入!$E$3:$E$2002,0)),"")</f>
        <v/>
      </c>
      <c r="L1806" s="81">
        <f>IF(OR($J1806="",$K1806=""),"",IFERROR(INDEX(設定!$F$6:$F$18,MATCH($G1806,設定!$B$6:$B$18,0)),0))</f>
        <v/>
      </c>
      <c r="M1806" s="82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1">
        <f>IF(OR($C1806="",$H1806="",$J1806=""),0,IF(ROUND(($J1806-$H1806)*1440,0)&gt;設定!$C$42,ROUND(($J1806-$H1806)*1440,0),0))</f>
        <v/>
      </c>
      <c r="P1806" s="81">
        <f>IF(OR($C1806="",$I1806="",$K1806=""),0,IF(ROUND(($I1806-$K1806)*1440,0)&gt;設定!$C$42,ROUND(($I1806-$K1806)*1440,0),0))</f>
        <v/>
      </c>
      <c r="Q1806" s="82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79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0">
        <f>IF($G1807="","",IFERROR(INDEX(設定!$D$6:$D$18,MATCH($G1807,設定!$B$6:$B$18,0)),""))</f>
        <v/>
      </c>
      <c r="I1807" s="80">
        <f>IF($G1807="","",IFERROR(INDEX(設定!$E$6:$E$18,MATCH($G1807,設定!$B$6:$B$18,0)),""))</f>
        <v/>
      </c>
      <c r="J1807" s="80">
        <f>IFERROR(INDEX(打卡匯入!$C$3:$C$2002,MATCH($C1807&amp;"|"&amp;DAY($A1807),打卡匯入!$E$3:$E$2002,0)),"")</f>
        <v/>
      </c>
      <c r="K1807" s="80">
        <f>IFERROR(INDEX(打卡匯入!$D$3:$D$2002,MATCH($C1807&amp;"|"&amp;DAY($A1807),打卡匯入!$E$3:$E$2002,0)),"")</f>
        <v/>
      </c>
      <c r="L1807" s="81">
        <f>IF(OR($J1807="",$K1807=""),"",IFERROR(INDEX(設定!$F$6:$F$18,MATCH($G1807,設定!$B$6:$B$18,0)),0))</f>
        <v/>
      </c>
      <c r="M1807" s="82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1">
        <f>IF(OR($C1807="",$H1807="",$J1807=""),0,IF(ROUND(($J1807-$H1807)*1440,0)&gt;設定!$C$42,ROUND(($J1807-$H1807)*1440,0),0))</f>
        <v/>
      </c>
      <c r="P1807" s="81">
        <f>IF(OR($C1807="",$I1807="",$K1807=""),0,IF(ROUND(($I1807-$K1807)*1440,0)&gt;設定!$C$42,ROUND(($I1807-$K1807)*1440,0),0))</f>
        <v/>
      </c>
      <c r="Q1807" s="82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79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0">
        <f>IF($G1808="","",IFERROR(INDEX(設定!$D$6:$D$18,MATCH($G1808,設定!$B$6:$B$18,0)),""))</f>
        <v/>
      </c>
      <c r="I1808" s="80">
        <f>IF($G1808="","",IFERROR(INDEX(設定!$E$6:$E$18,MATCH($G1808,設定!$B$6:$B$18,0)),""))</f>
        <v/>
      </c>
      <c r="J1808" s="80">
        <f>IFERROR(INDEX(打卡匯入!$C$3:$C$2002,MATCH($C1808&amp;"|"&amp;DAY($A1808),打卡匯入!$E$3:$E$2002,0)),"")</f>
        <v/>
      </c>
      <c r="K1808" s="80">
        <f>IFERROR(INDEX(打卡匯入!$D$3:$D$2002,MATCH($C1808&amp;"|"&amp;DAY($A1808),打卡匯入!$E$3:$E$2002,0)),"")</f>
        <v/>
      </c>
      <c r="L1808" s="81">
        <f>IF(OR($J1808="",$K1808=""),"",IFERROR(INDEX(設定!$F$6:$F$18,MATCH($G1808,設定!$B$6:$B$18,0)),0))</f>
        <v/>
      </c>
      <c r="M1808" s="82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1">
        <f>IF(OR($C1808="",$H1808="",$J1808=""),0,IF(ROUND(($J1808-$H1808)*1440,0)&gt;設定!$C$42,ROUND(($J1808-$H1808)*1440,0),0))</f>
        <v/>
      </c>
      <c r="P1808" s="81">
        <f>IF(OR($C1808="",$I1808="",$K1808=""),0,IF(ROUND(($I1808-$K1808)*1440,0)&gt;設定!$C$42,ROUND(($I1808-$K1808)*1440,0),0))</f>
        <v/>
      </c>
      <c r="Q1808" s="82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79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0">
        <f>IF($G1809="","",IFERROR(INDEX(設定!$D$6:$D$18,MATCH($G1809,設定!$B$6:$B$18,0)),""))</f>
        <v/>
      </c>
      <c r="I1809" s="80">
        <f>IF($G1809="","",IFERROR(INDEX(設定!$E$6:$E$18,MATCH($G1809,設定!$B$6:$B$18,0)),""))</f>
        <v/>
      </c>
      <c r="J1809" s="80">
        <f>IFERROR(INDEX(打卡匯入!$C$3:$C$2002,MATCH($C1809&amp;"|"&amp;DAY($A1809),打卡匯入!$E$3:$E$2002,0)),"")</f>
        <v/>
      </c>
      <c r="K1809" s="80">
        <f>IFERROR(INDEX(打卡匯入!$D$3:$D$2002,MATCH($C1809&amp;"|"&amp;DAY($A1809),打卡匯入!$E$3:$E$2002,0)),"")</f>
        <v/>
      </c>
      <c r="L1809" s="81">
        <f>IF(OR($J1809="",$K1809=""),"",IFERROR(INDEX(設定!$F$6:$F$18,MATCH($G1809,設定!$B$6:$B$18,0)),0))</f>
        <v/>
      </c>
      <c r="M1809" s="82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1">
        <f>IF(OR($C1809="",$H1809="",$J1809=""),0,IF(ROUND(($J1809-$H1809)*1440,0)&gt;設定!$C$42,ROUND(($J1809-$H1809)*1440,0),0))</f>
        <v/>
      </c>
      <c r="P1809" s="81">
        <f>IF(OR($C1809="",$I1809="",$K1809=""),0,IF(ROUND(($I1809-$K1809)*1440,0)&gt;設定!$C$42,ROUND(($I1809-$K1809)*1440,0),0))</f>
        <v/>
      </c>
      <c r="Q1809" s="82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79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0">
        <f>IF($G1810="","",IFERROR(INDEX(設定!$D$6:$D$18,MATCH($G1810,設定!$B$6:$B$18,0)),""))</f>
        <v/>
      </c>
      <c r="I1810" s="80">
        <f>IF($G1810="","",IFERROR(INDEX(設定!$E$6:$E$18,MATCH($G1810,設定!$B$6:$B$18,0)),""))</f>
        <v/>
      </c>
      <c r="J1810" s="80">
        <f>IFERROR(INDEX(打卡匯入!$C$3:$C$2002,MATCH($C1810&amp;"|"&amp;DAY($A1810),打卡匯入!$E$3:$E$2002,0)),"")</f>
        <v/>
      </c>
      <c r="K1810" s="80">
        <f>IFERROR(INDEX(打卡匯入!$D$3:$D$2002,MATCH($C1810&amp;"|"&amp;DAY($A1810),打卡匯入!$E$3:$E$2002,0)),"")</f>
        <v/>
      </c>
      <c r="L1810" s="81">
        <f>IF(OR($J1810="",$K1810=""),"",IFERROR(INDEX(設定!$F$6:$F$18,MATCH($G1810,設定!$B$6:$B$18,0)),0))</f>
        <v/>
      </c>
      <c r="M1810" s="82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1">
        <f>IF(OR($C1810="",$H1810="",$J1810=""),0,IF(ROUND(($J1810-$H1810)*1440,0)&gt;設定!$C$42,ROUND(($J1810-$H1810)*1440,0),0))</f>
        <v/>
      </c>
      <c r="P1810" s="81">
        <f>IF(OR($C1810="",$I1810="",$K1810=""),0,IF(ROUND(($I1810-$K1810)*1440,0)&gt;設定!$C$42,ROUND(($I1810-$K1810)*1440,0),0))</f>
        <v/>
      </c>
      <c r="Q1810" s="82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79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0">
        <f>IF($G1811="","",IFERROR(INDEX(設定!$D$6:$D$18,MATCH($G1811,設定!$B$6:$B$18,0)),""))</f>
        <v/>
      </c>
      <c r="I1811" s="80">
        <f>IF($G1811="","",IFERROR(INDEX(設定!$E$6:$E$18,MATCH($G1811,設定!$B$6:$B$18,0)),""))</f>
        <v/>
      </c>
      <c r="J1811" s="80">
        <f>IFERROR(INDEX(打卡匯入!$C$3:$C$2002,MATCH($C1811&amp;"|"&amp;DAY($A1811),打卡匯入!$E$3:$E$2002,0)),"")</f>
        <v/>
      </c>
      <c r="K1811" s="80">
        <f>IFERROR(INDEX(打卡匯入!$D$3:$D$2002,MATCH($C1811&amp;"|"&amp;DAY($A1811),打卡匯入!$E$3:$E$2002,0)),"")</f>
        <v/>
      </c>
      <c r="L1811" s="81">
        <f>IF(OR($J1811="",$K1811=""),"",IFERROR(INDEX(設定!$F$6:$F$18,MATCH($G1811,設定!$B$6:$B$18,0)),0))</f>
        <v/>
      </c>
      <c r="M1811" s="82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1">
        <f>IF(OR($C1811="",$H1811="",$J1811=""),0,IF(ROUND(($J1811-$H1811)*1440,0)&gt;設定!$C$42,ROUND(($J1811-$H1811)*1440,0),0))</f>
        <v/>
      </c>
      <c r="P1811" s="81">
        <f>IF(OR($C1811="",$I1811="",$K1811=""),0,IF(ROUND(($I1811-$K1811)*1440,0)&gt;設定!$C$42,ROUND(($I1811-$K1811)*1440,0),0))</f>
        <v/>
      </c>
      <c r="Q1811" s="82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79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0">
        <f>IF($G1812="","",IFERROR(INDEX(設定!$D$6:$D$18,MATCH($G1812,設定!$B$6:$B$18,0)),""))</f>
        <v/>
      </c>
      <c r="I1812" s="80">
        <f>IF($G1812="","",IFERROR(INDEX(設定!$E$6:$E$18,MATCH($G1812,設定!$B$6:$B$18,0)),""))</f>
        <v/>
      </c>
      <c r="J1812" s="80">
        <f>IFERROR(INDEX(打卡匯入!$C$3:$C$2002,MATCH($C1812&amp;"|"&amp;DAY($A1812),打卡匯入!$E$3:$E$2002,0)),"")</f>
        <v/>
      </c>
      <c r="K1812" s="80">
        <f>IFERROR(INDEX(打卡匯入!$D$3:$D$2002,MATCH($C1812&amp;"|"&amp;DAY($A1812),打卡匯入!$E$3:$E$2002,0)),"")</f>
        <v/>
      </c>
      <c r="L1812" s="81">
        <f>IF(OR($J1812="",$K1812=""),"",IFERROR(INDEX(設定!$F$6:$F$18,MATCH($G1812,設定!$B$6:$B$18,0)),0))</f>
        <v/>
      </c>
      <c r="M1812" s="82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1">
        <f>IF(OR($C1812="",$H1812="",$J1812=""),0,IF(ROUND(($J1812-$H1812)*1440,0)&gt;設定!$C$42,ROUND(($J1812-$H1812)*1440,0),0))</f>
        <v/>
      </c>
      <c r="P1812" s="81">
        <f>IF(OR($C1812="",$I1812="",$K1812=""),0,IF(ROUND(($I1812-$K1812)*1440,0)&gt;設定!$C$42,ROUND(($I1812-$K1812)*1440,0),0))</f>
        <v/>
      </c>
      <c r="Q1812" s="82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79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0">
        <f>IF($G1813="","",IFERROR(INDEX(設定!$D$6:$D$18,MATCH($G1813,設定!$B$6:$B$18,0)),""))</f>
        <v/>
      </c>
      <c r="I1813" s="80">
        <f>IF($G1813="","",IFERROR(INDEX(設定!$E$6:$E$18,MATCH($G1813,設定!$B$6:$B$18,0)),""))</f>
        <v/>
      </c>
      <c r="J1813" s="80">
        <f>IFERROR(INDEX(打卡匯入!$C$3:$C$2002,MATCH($C1813&amp;"|"&amp;DAY($A1813),打卡匯入!$E$3:$E$2002,0)),"")</f>
        <v/>
      </c>
      <c r="K1813" s="80">
        <f>IFERROR(INDEX(打卡匯入!$D$3:$D$2002,MATCH($C1813&amp;"|"&amp;DAY($A1813),打卡匯入!$E$3:$E$2002,0)),"")</f>
        <v/>
      </c>
      <c r="L1813" s="81">
        <f>IF(OR($J1813="",$K1813=""),"",IFERROR(INDEX(設定!$F$6:$F$18,MATCH($G1813,設定!$B$6:$B$18,0)),0))</f>
        <v/>
      </c>
      <c r="M1813" s="82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1">
        <f>IF(OR($C1813="",$H1813="",$J1813=""),0,IF(ROUND(($J1813-$H1813)*1440,0)&gt;設定!$C$42,ROUND(($J1813-$H1813)*1440,0),0))</f>
        <v/>
      </c>
      <c r="P1813" s="81">
        <f>IF(OR($C1813="",$I1813="",$K1813=""),0,IF(ROUND(($I1813-$K1813)*1440,0)&gt;設定!$C$42,ROUND(($I1813-$K1813)*1440,0),0))</f>
        <v/>
      </c>
      <c r="Q1813" s="82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79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0">
        <f>IF($G1814="","",IFERROR(INDEX(設定!$D$6:$D$18,MATCH($G1814,設定!$B$6:$B$18,0)),""))</f>
        <v/>
      </c>
      <c r="I1814" s="80">
        <f>IF($G1814="","",IFERROR(INDEX(設定!$E$6:$E$18,MATCH($G1814,設定!$B$6:$B$18,0)),""))</f>
        <v/>
      </c>
      <c r="J1814" s="80">
        <f>IFERROR(INDEX(打卡匯入!$C$3:$C$2002,MATCH($C1814&amp;"|"&amp;DAY($A1814),打卡匯入!$E$3:$E$2002,0)),"")</f>
        <v/>
      </c>
      <c r="K1814" s="80">
        <f>IFERROR(INDEX(打卡匯入!$D$3:$D$2002,MATCH($C1814&amp;"|"&amp;DAY($A1814),打卡匯入!$E$3:$E$2002,0)),"")</f>
        <v/>
      </c>
      <c r="L1814" s="81">
        <f>IF(OR($J1814="",$K1814=""),"",IFERROR(INDEX(設定!$F$6:$F$18,MATCH($G1814,設定!$B$6:$B$18,0)),0))</f>
        <v/>
      </c>
      <c r="M1814" s="82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1">
        <f>IF(OR($C1814="",$H1814="",$J1814=""),0,IF(ROUND(($J1814-$H1814)*1440,0)&gt;設定!$C$42,ROUND(($J1814-$H1814)*1440,0),0))</f>
        <v/>
      </c>
      <c r="P1814" s="81">
        <f>IF(OR($C1814="",$I1814="",$K1814=""),0,IF(ROUND(($I1814-$K1814)*1440,0)&gt;設定!$C$42,ROUND(($I1814-$K1814)*1440,0),0))</f>
        <v/>
      </c>
      <c r="Q1814" s="82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79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0">
        <f>IF($G1815="","",IFERROR(INDEX(設定!$D$6:$D$18,MATCH($G1815,設定!$B$6:$B$18,0)),""))</f>
        <v/>
      </c>
      <c r="I1815" s="80">
        <f>IF($G1815="","",IFERROR(INDEX(設定!$E$6:$E$18,MATCH($G1815,設定!$B$6:$B$18,0)),""))</f>
        <v/>
      </c>
      <c r="J1815" s="80">
        <f>IFERROR(INDEX(打卡匯入!$C$3:$C$2002,MATCH($C1815&amp;"|"&amp;DAY($A1815),打卡匯入!$E$3:$E$2002,0)),"")</f>
        <v/>
      </c>
      <c r="K1815" s="80">
        <f>IFERROR(INDEX(打卡匯入!$D$3:$D$2002,MATCH($C1815&amp;"|"&amp;DAY($A1815),打卡匯入!$E$3:$E$2002,0)),"")</f>
        <v/>
      </c>
      <c r="L1815" s="81">
        <f>IF(OR($J1815="",$K1815=""),"",IFERROR(INDEX(設定!$F$6:$F$18,MATCH($G1815,設定!$B$6:$B$18,0)),0))</f>
        <v/>
      </c>
      <c r="M1815" s="82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1">
        <f>IF(OR($C1815="",$H1815="",$J1815=""),0,IF(ROUND(($J1815-$H1815)*1440,0)&gt;設定!$C$42,ROUND(($J1815-$H1815)*1440,0),0))</f>
        <v/>
      </c>
      <c r="P1815" s="81">
        <f>IF(OR($C1815="",$I1815="",$K1815=""),0,IF(ROUND(($I1815-$K1815)*1440,0)&gt;設定!$C$42,ROUND(($I1815-$K1815)*1440,0),0))</f>
        <v/>
      </c>
      <c r="Q1815" s="82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79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0">
        <f>IF($G1816="","",IFERROR(INDEX(設定!$D$6:$D$18,MATCH($G1816,設定!$B$6:$B$18,0)),""))</f>
        <v/>
      </c>
      <c r="I1816" s="80">
        <f>IF($G1816="","",IFERROR(INDEX(設定!$E$6:$E$18,MATCH($G1816,設定!$B$6:$B$18,0)),""))</f>
        <v/>
      </c>
      <c r="J1816" s="80">
        <f>IFERROR(INDEX(打卡匯入!$C$3:$C$2002,MATCH($C1816&amp;"|"&amp;DAY($A1816),打卡匯入!$E$3:$E$2002,0)),"")</f>
        <v/>
      </c>
      <c r="K1816" s="80">
        <f>IFERROR(INDEX(打卡匯入!$D$3:$D$2002,MATCH($C1816&amp;"|"&amp;DAY($A1816),打卡匯入!$E$3:$E$2002,0)),"")</f>
        <v/>
      </c>
      <c r="L1816" s="81">
        <f>IF(OR($J1816="",$K1816=""),"",IFERROR(INDEX(設定!$F$6:$F$18,MATCH($G1816,設定!$B$6:$B$18,0)),0))</f>
        <v/>
      </c>
      <c r="M1816" s="82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1">
        <f>IF(OR($C1816="",$H1816="",$J1816=""),0,IF(ROUND(($J1816-$H1816)*1440,0)&gt;設定!$C$42,ROUND(($J1816-$H1816)*1440,0),0))</f>
        <v/>
      </c>
      <c r="P1816" s="81">
        <f>IF(OR($C1816="",$I1816="",$K1816=""),0,IF(ROUND(($I1816-$K1816)*1440,0)&gt;設定!$C$42,ROUND(($I1816-$K1816)*1440,0),0))</f>
        <v/>
      </c>
      <c r="Q1816" s="82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79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0">
        <f>IF($G1817="","",IFERROR(INDEX(設定!$D$6:$D$18,MATCH($G1817,設定!$B$6:$B$18,0)),""))</f>
        <v/>
      </c>
      <c r="I1817" s="80">
        <f>IF($G1817="","",IFERROR(INDEX(設定!$E$6:$E$18,MATCH($G1817,設定!$B$6:$B$18,0)),""))</f>
        <v/>
      </c>
      <c r="J1817" s="80">
        <f>IFERROR(INDEX(打卡匯入!$C$3:$C$2002,MATCH($C1817&amp;"|"&amp;DAY($A1817),打卡匯入!$E$3:$E$2002,0)),"")</f>
        <v/>
      </c>
      <c r="K1817" s="80">
        <f>IFERROR(INDEX(打卡匯入!$D$3:$D$2002,MATCH($C1817&amp;"|"&amp;DAY($A1817),打卡匯入!$E$3:$E$2002,0)),"")</f>
        <v/>
      </c>
      <c r="L1817" s="81">
        <f>IF(OR($J1817="",$K1817=""),"",IFERROR(INDEX(設定!$F$6:$F$18,MATCH($G1817,設定!$B$6:$B$18,0)),0))</f>
        <v/>
      </c>
      <c r="M1817" s="82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1">
        <f>IF(OR($C1817="",$H1817="",$J1817=""),0,IF(ROUND(($J1817-$H1817)*1440,0)&gt;設定!$C$42,ROUND(($J1817-$H1817)*1440,0),0))</f>
        <v/>
      </c>
      <c r="P1817" s="81">
        <f>IF(OR($C1817="",$I1817="",$K1817=""),0,IF(ROUND(($I1817-$K1817)*1440,0)&gt;設定!$C$42,ROUND(($I1817-$K1817)*1440,0),0))</f>
        <v/>
      </c>
      <c r="Q1817" s="82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79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0">
        <f>IF($G1818="","",IFERROR(INDEX(設定!$D$6:$D$18,MATCH($G1818,設定!$B$6:$B$18,0)),""))</f>
        <v/>
      </c>
      <c r="I1818" s="80">
        <f>IF($G1818="","",IFERROR(INDEX(設定!$E$6:$E$18,MATCH($G1818,設定!$B$6:$B$18,0)),""))</f>
        <v/>
      </c>
      <c r="J1818" s="80">
        <f>IFERROR(INDEX(打卡匯入!$C$3:$C$2002,MATCH($C1818&amp;"|"&amp;DAY($A1818),打卡匯入!$E$3:$E$2002,0)),"")</f>
        <v/>
      </c>
      <c r="K1818" s="80">
        <f>IFERROR(INDEX(打卡匯入!$D$3:$D$2002,MATCH($C1818&amp;"|"&amp;DAY($A1818),打卡匯入!$E$3:$E$2002,0)),"")</f>
        <v/>
      </c>
      <c r="L1818" s="81">
        <f>IF(OR($J1818="",$K1818=""),"",IFERROR(INDEX(設定!$F$6:$F$18,MATCH($G1818,設定!$B$6:$B$18,0)),0))</f>
        <v/>
      </c>
      <c r="M1818" s="82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1">
        <f>IF(OR($C1818="",$H1818="",$J1818=""),0,IF(ROUND(($J1818-$H1818)*1440,0)&gt;設定!$C$42,ROUND(($J1818-$H1818)*1440,0),0))</f>
        <v/>
      </c>
      <c r="P1818" s="81">
        <f>IF(OR($C1818="",$I1818="",$K1818=""),0,IF(ROUND(($I1818-$K1818)*1440,0)&gt;設定!$C$42,ROUND(($I1818-$K1818)*1440,0),0))</f>
        <v/>
      </c>
      <c r="Q1818" s="82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79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0">
        <f>IF($G1819="","",IFERROR(INDEX(設定!$D$6:$D$18,MATCH($G1819,設定!$B$6:$B$18,0)),""))</f>
        <v/>
      </c>
      <c r="I1819" s="80">
        <f>IF($G1819="","",IFERROR(INDEX(設定!$E$6:$E$18,MATCH($G1819,設定!$B$6:$B$18,0)),""))</f>
        <v/>
      </c>
      <c r="J1819" s="80">
        <f>IFERROR(INDEX(打卡匯入!$C$3:$C$2002,MATCH($C1819&amp;"|"&amp;DAY($A1819),打卡匯入!$E$3:$E$2002,0)),"")</f>
        <v/>
      </c>
      <c r="K1819" s="80">
        <f>IFERROR(INDEX(打卡匯入!$D$3:$D$2002,MATCH($C1819&amp;"|"&amp;DAY($A1819),打卡匯入!$E$3:$E$2002,0)),"")</f>
        <v/>
      </c>
      <c r="L1819" s="81">
        <f>IF(OR($J1819="",$K1819=""),"",IFERROR(INDEX(設定!$F$6:$F$18,MATCH($G1819,設定!$B$6:$B$18,0)),0))</f>
        <v/>
      </c>
      <c r="M1819" s="82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1">
        <f>IF(OR($C1819="",$H1819="",$J1819=""),0,IF(ROUND(($J1819-$H1819)*1440,0)&gt;設定!$C$42,ROUND(($J1819-$H1819)*1440,0),0))</f>
        <v/>
      </c>
      <c r="P1819" s="81">
        <f>IF(OR($C1819="",$I1819="",$K1819=""),0,IF(ROUND(($I1819-$K1819)*1440,0)&gt;設定!$C$42,ROUND(($I1819-$K1819)*1440,0),0))</f>
        <v/>
      </c>
      <c r="Q1819" s="82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79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0">
        <f>IF($G1820="","",IFERROR(INDEX(設定!$D$6:$D$18,MATCH($G1820,設定!$B$6:$B$18,0)),""))</f>
        <v/>
      </c>
      <c r="I1820" s="80">
        <f>IF($G1820="","",IFERROR(INDEX(設定!$E$6:$E$18,MATCH($G1820,設定!$B$6:$B$18,0)),""))</f>
        <v/>
      </c>
      <c r="J1820" s="80">
        <f>IFERROR(INDEX(打卡匯入!$C$3:$C$2002,MATCH($C1820&amp;"|"&amp;DAY($A1820),打卡匯入!$E$3:$E$2002,0)),"")</f>
        <v/>
      </c>
      <c r="K1820" s="80">
        <f>IFERROR(INDEX(打卡匯入!$D$3:$D$2002,MATCH($C1820&amp;"|"&amp;DAY($A1820),打卡匯入!$E$3:$E$2002,0)),"")</f>
        <v/>
      </c>
      <c r="L1820" s="81">
        <f>IF(OR($J1820="",$K1820=""),"",IFERROR(INDEX(設定!$F$6:$F$18,MATCH($G1820,設定!$B$6:$B$18,0)),0))</f>
        <v/>
      </c>
      <c r="M1820" s="82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1">
        <f>IF(OR($C1820="",$H1820="",$J1820=""),0,IF(ROUND(($J1820-$H1820)*1440,0)&gt;設定!$C$42,ROUND(($J1820-$H1820)*1440,0),0))</f>
        <v/>
      </c>
      <c r="P1820" s="81">
        <f>IF(OR($C1820="",$I1820="",$K1820=""),0,IF(ROUND(($I1820-$K1820)*1440,0)&gt;設定!$C$42,ROUND(($I1820-$K1820)*1440,0),0))</f>
        <v/>
      </c>
      <c r="Q1820" s="82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79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0">
        <f>IF($G1821="","",IFERROR(INDEX(設定!$D$6:$D$18,MATCH($G1821,設定!$B$6:$B$18,0)),""))</f>
        <v/>
      </c>
      <c r="I1821" s="80">
        <f>IF($G1821="","",IFERROR(INDEX(設定!$E$6:$E$18,MATCH($G1821,設定!$B$6:$B$18,0)),""))</f>
        <v/>
      </c>
      <c r="J1821" s="80">
        <f>IFERROR(INDEX(打卡匯入!$C$3:$C$2002,MATCH($C1821&amp;"|"&amp;DAY($A1821),打卡匯入!$E$3:$E$2002,0)),"")</f>
        <v/>
      </c>
      <c r="K1821" s="80">
        <f>IFERROR(INDEX(打卡匯入!$D$3:$D$2002,MATCH($C1821&amp;"|"&amp;DAY($A1821),打卡匯入!$E$3:$E$2002,0)),"")</f>
        <v/>
      </c>
      <c r="L1821" s="81">
        <f>IF(OR($J1821="",$K1821=""),"",IFERROR(INDEX(設定!$F$6:$F$18,MATCH($G1821,設定!$B$6:$B$18,0)),0))</f>
        <v/>
      </c>
      <c r="M1821" s="82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1">
        <f>IF(OR($C1821="",$H1821="",$J1821=""),0,IF(ROUND(($J1821-$H1821)*1440,0)&gt;設定!$C$42,ROUND(($J1821-$H1821)*1440,0),0))</f>
        <v/>
      </c>
      <c r="P1821" s="81">
        <f>IF(OR($C1821="",$I1821="",$K1821=""),0,IF(ROUND(($I1821-$K1821)*1440,0)&gt;設定!$C$42,ROUND(($I1821-$K1821)*1440,0),0))</f>
        <v/>
      </c>
      <c r="Q1821" s="82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79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0">
        <f>IF($G1822="","",IFERROR(INDEX(設定!$D$6:$D$18,MATCH($G1822,設定!$B$6:$B$18,0)),""))</f>
        <v/>
      </c>
      <c r="I1822" s="80">
        <f>IF($G1822="","",IFERROR(INDEX(設定!$E$6:$E$18,MATCH($G1822,設定!$B$6:$B$18,0)),""))</f>
        <v/>
      </c>
      <c r="J1822" s="80">
        <f>IFERROR(INDEX(打卡匯入!$C$3:$C$2002,MATCH($C1822&amp;"|"&amp;DAY($A1822),打卡匯入!$E$3:$E$2002,0)),"")</f>
        <v/>
      </c>
      <c r="K1822" s="80">
        <f>IFERROR(INDEX(打卡匯入!$D$3:$D$2002,MATCH($C1822&amp;"|"&amp;DAY($A1822),打卡匯入!$E$3:$E$2002,0)),"")</f>
        <v/>
      </c>
      <c r="L1822" s="81">
        <f>IF(OR($J1822="",$K1822=""),"",IFERROR(INDEX(設定!$F$6:$F$18,MATCH($G1822,設定!$B$6:$B$18,0)),0))</f>
        <v/>
      </c>
      <c r="M1822" s="82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1">
        <f>IF(OR($C1822="",$H1822="",$J1822=""),0,IF(ROUND(($J1822-$H1822)*1440,0)&gt;設定!$C$42,ROUND(($J1822-$H1822)*1440,0),0))</f>
        <v/>
      </c>
      <c r="P1822" s="81">
        <f>IF(OR($C1822="",$I1822="",$K1822=""),0,IF(ROUND(($I1822-$K1822)*1440,0)&gt;設定!$C$42,ROUND(($I1822-$K1822)*1440,0),0))</f>
        <v/>
      </c>
      <c r="Q1822" s="82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79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0">
        <f>IF($G1823="","",IFERROR(INDEX(設定!$D$6:$D$18,MATCH($G1823,設定!$B$6:$B$18,0)),""))</f>
        <v/>
      </c>
      <c r="I1823" s="80">
        <f>IF($G1823="","",IFERROR(INDEX(設定!$E$6:$E$18,MATCH($G1823,設定!$B$6:$B$18,0)),""))</f>
        <v/>
      </c>
      <c r="J1823" s="80">
        <f>IFERROR(INDEX(打卡匯入!$C$3:$C$2002,MATCH($C1823&amp;"|"&amp;DAY($A1823),打卡匯入!$E$3:$E$2002,0)),"")</f>
        <v/>
      </c>
      <c r="K1823" s="80">
        <f>IFERROR(INDEX(打卡匯入!$D$3:$D$2002,MATCH($C1823&amp;"|"&amp;DAY($A1823),打卡匯入!$E$3:$E$2002,0)),"")</f>
        <v/>
      </c>
      <c r="L1823" s="81">
        <f>IF(OR($J1823="",$K1823=""),"",IFERROR(INDEX(設定!$F$6:$F$18,MATCH($G1823,設定!$B$6:$B$18,0)),0))</f>
        <v/>
      </c>
      <c r="M1823" s="82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1">
        <f>IF(OR($C1823="",$H1823="",$J1823=""),0,IF(ROUND(($J1823-$H1823)*1440,0)&gt;設定!$C$42,ROUND(($J1823-$H1823)*1440,0),0))</f>
        <v/>
      </c>
      <c r="P1823" s="81">
        <f>IF(OR($C1823="",$I1823="",$K1823=""),0,IF(ROUND(($I1823-$K1823)*1440,0)&gt;設定!$C$42,ROUND(($I1823-$K1823)*1440,0),0))</f>
        <v/>
      </c>
      <c r="Q1823" s="82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79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0">
        <f>IF($G1824="","",IFERROR(INDEX(設定!$D$6:$D$18,MATCH($G1824,設定!$B$6:$B$18,0)),""))</f>
        <v/>
      </c>
      <c r="I1824" s="80">
        <f>IF($G1824="","",IFERROR(INDEX(設定!$E$6:$E$18,MATCH($G1824,設定!$B$6:$B$18,0)),""))</f>
        <v/>
      </c>
      <c r="J1824" s="80">
        <f>IFERROR(INDEX(打卡匯入!$C$3:$C$2002,MATCH($C1824&amp;"|"&amp;DAY($A1824),打卡匯入!$E$3:$E$2002,0)),"")</f>
        <v/>
      </c>
      <c r="K1824" s="80">
        <f>IFERROR(INDEX(打卡匯入!$D$3:$D$2002,MATCH($C1824&amp;"|"&amp;DAY($A1824),打卡匯入!$E$3:$E$2002,0)),"")</f>
        <v/>
      </c>
      <c r="L1824" s="81">
        <f>IF(OR($J1824="",$K1824=""),"",IFERROR(INDEX(設定!$F$6:$F$18,MATCH($G1824,設定!$B$6:$B$18,0)),0))</f>
        <v/>
      </c>
      <c r="M1824" s="82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1">
        <f>IF(OR($C1824="",$H1824="",$J1824=""),0,IF(ROUND(($J1824-$H1824)*1440,0)&gt;設定!$C$42,ROUND(($J1824-$H1824)*1440,0),0))</f>
        <v/>
      </c>
      <c r="P1824" s="81">
        <f>IF(OR($C1824="",$I1824="",$K1824=""),0,IF(ROUND(($I1824-$K1824)*1440,0)&gt;設定!$C$42,ROUND(($I1824-$K1824)*1440,0),0))</f>
        <v/>
      </c>
      <c r="Q1824" s="82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79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0">
        <f>IF($G1825="","",IFERROR(INDEX(設定!$D$6:$D$18,MATCH($G1825,設定!$B$6:$B$18,0)),""))</f>
        <v/>
      </c>
      <c r="I1825" s="80">
        <f>IF($G1825="","",IFERROR(INDEX(設定!$E$6:$E$18,MATCH($G1825,設定!$B$6:$B$18,0)),""))</f>
        <v/>
      </c>
      <c r="J1825" s="80">
        <f>IFERROR(INDEX(打卡匯入!$C$3:$C$2002,MATCH($C1825&amp;"|"&amp;DAY($A1825),打卡匯入!$E$3:$E$2002,0)),"")</f>
        <v/>
      </c>
      <c r="K1825" s="80">
        <f>IFERROR(INDEX(打卡匯入!$D$3:$D$2002,MATCH($C1825&amp;"|"&amp;DAY($A1825),打卡匯入!$E$3:$E$2002,0)),"")</f>
        <v/>
      </c>
      <c r="L1825" s="81">
        <f>IF(OR($J1825="",$K1825=""),"",IFERROR(INDEX(設定!$F$6:$F$18,MATCH($G1825,設定!$B$6:$B$18,0)),0))</f>
        <v/>
      </c>
      <c r="M1825" s="82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1">
        <f>IF(OR($C1825="",$H1825="",$J1825=""),0,IF(ROUND(($J1825-$H1825)*1440,0)&gt;設定!$C$42,ROUND(($J1825-$H1825)*1440,0),0))</f>
        <v/>
      </c>
      <c r="P1825" s="81">
        <f>IF(OR($C1825="",$I1825="",$K1825=""),0,IF(ROUND(($I1825-$K1825)*1440,0)&gt;設定!$C$42,ROUND(($I1825-$K1825)*1440,0),0))</f>
        <v/>
      </c>
      <c r="Q1825" s="82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79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0">
        <f>IF($G1826="","",IFERROR(INDEX(設定!$D$6:$D$18,MATCH($G1826,設定!$B$6:$B$18,0)),""))</f>
        <v/>
      </c>
      <c r="I1826" s="80">
        <f>IF($G1826="","",IFERROR(INDEX(設定!$E$6:$E$18,MATCH($G1826,設定!$B$6:$B$18,0)),""))</f>
        <v/>
      </c>
      <c r="J1826" s="80">
        <f>IFERROR(INDEX(打卡匯入!$C$3:$C$2002,MATCH($C1826&amp;"|"&amp;DAY($A1826),打卡匯入!$E$3:$E$2002,0)),"")</f>
        <v/>
      </c>
      <c r="K1826" s="80">
        <f>IFERROR(INDEX(打卡匯入!$D$3:$D$2002,MATCH($C1826&amp;"|"&amp;DAY($A1826),打卡匯入!$E$3:$E$2002,0)),"")</f>
        <v/>
      </c>
      <c r="L1826" s="81">
        <f>IF(OR($J1826="",$K1826=""),"",IFERROR(INDEX(設定!$F$6:$F$18,MATCH($G1826,設定!$B$6:$B$18,0)),0))</f>
        <v/>
      </c>
      <c r="M1826" s="82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1">
        <f>IF(OR($C1826="",$H1826="",$J1826=""),0,IF(ROUND(($J1826-$H1826)*1440,0)&gt;設定!$C$42,ROUND(($J1826-$H1826)*1440,0),0))</f>
        <v/>
      </c>
      <c r="P1826" s="81">
        <f>IF(OR($C1826="",$I1826="",$K1826=""),0,IF(ROUND(($I1826-$K1826)*1440,0)&gt;設定!$C$42,ROUND(($I1826-$K1826)*1440,0),0))</f>
        <v/>
      </c>
      <c r="Q1826" s="82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79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0">
        <f>IF($G1827="","",IFERROR(INDEX(設定!$D$6:$D$18,MATCH($G1827,設定!$B$6:$B$18,0)),""))</f>
        <v/>
      </c>
      <c r="I1827" s="80">
        <f>IF($G1827="","",IFERROR(INDEX(設定!$E$6:$E$18,MATCH($G1827,設定!$B$6:$B$18,0)),""))</f>
        <v/>
      </c>
      <c r="J1827" s="80">
        <f>IFERROR(INDEX(打卡匯入!$C$3:$C$2002,MATCH($C1827&amp;"|"&amp;DAY($A1827),打卡匯入!$E$3:$E$2002,0)),"")</f>
        <v/>
      </c>
      <c r="K1827" s="80">
        <f>IFERROR(INDEX(打卡匯入!$D$3:$D$2002,MATCH($C1827&amp;"|"&amp;DAY($A1827),打卡匯入!$E$3:$E$2002,0)),"")</f>
        <v/>
      </c>
      <c r="L1827" s="81">
        <f>IF(OR($J1827="",$K1827=""),"",IFERROR(INDEX(設定!$F$6:$F$18,MATCH($G1827,設定!$B$6:$B$18,0)),0))</f>
        <v/>
      </c>
      <c r="M1827" s="82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1">
        <f>IF(OR($C1827="",$H1827="",$J1827=""),0,IF(ROUND(($J1827-$H1827)*1440,0)&gt;設定!$C$42,ROUND(($J1827-$H1827)*1440,0),0))</f>
        <v/>
      </c>
      <c r="P1827" s="81">
        <f>IF(OR($C1827="",$I1827="",$K1827=""),0,IF(ROUND(($I1827-$K1827)*1440,0)&gt;設定!$C$42,ROUND(($I1827-$K1827)*1440,0),0))</f>
        <v/>
      </c>
      <c r="Q1827" s="82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79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0">
        <f>IF($G1828="","",IFERROR(INDEX(設定!$D$6:$D$18,MATCH($G1828,設定!$B$6:$B$18,0)),""))</f>
        <v/>
      </c>
      <c r="I1828" s="80">
        <f>IF($G1828="","",IFERROR(INDEX(設定!$E$6:$E$18,MATCH($G1828,設定!$B$6:$B$18,0)),""))</f>
        <v/>
      </c>
      <c r="J1828" s="80">
        <f>IFERROR(INDEX(打卡匯入!$C$3:$C$2002,MATCH($C1828&amp;"|"&amp;DAY($A1828),打卡匯入!$E$3:$E$2002,0)),"")</f>
        <v/>
      </c>
      <c r="K1828" s="80">
        <f>IFERROR(INDEX(打卡匯入!$D$3:$D$2002,MATCH($C1828&amp;"|"&amp;DAY($A1828),打卡匯入!$E$3:$E$2002,0)),"")</f>
        <v/>
      </c>
      <c r="L1828" s="81">
        <f>IF(OR($J1828="",$K1828=""),"",IFERROR(INDEX(設定!$F$6:$F$18,MATCH($G1828,設定!$B$6:$B$18,0)),0))</f>
        <v/>
      </c>
      <c r="M1828" s="82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1">
        <f>IF(OR($C1828="",$H1828="",$J1828=""),0,IF(ROUND(($J1828-$H1828)*1440,0)&gt;設定!$C$42,ROUND(($J1828-$H1828)*1440,0),0))</f>
        <v/>
      </c>
      <c r="P1828" s="81">
        <f>IF(OR($C1828="",$I1828="",$K1828=""),0,IF(ROUND(($I1828-$K1828)*1440,0)&gt;設定!$C$42,ROUND(($I1828-$K1828)*1440,0),0))</f>
        <v/>
      </c>
      <c r="Q1828" s="82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79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0">
        <f>IF($G1829="","",IFERROR(INDEX(設定!$D$6:$D$18,MATCH($G1829,設定!$B$6:$B$18,0)),""))</f>
        <v/>
      </c>
      <c r="I1829" s="80">
        <f>IF($G1829="","",IFERROR(INDEX(設定!$E$6:$E$18,MATCH($G1829,設定!$B$6:$B$18,0)),""))</f>
        <v/>
      </c>
      <c r="J1829" s="80">
        <f>IFERROR(INDEX(打卡匯入!$C$3:$C$2002,MATCH($C1829&amp;"|"&amp;DAY($A1829),打卡匯入!$E$3:$E$2002,0)),"")</f>
        <v/>
      </c>
      <c r="K1829" s="80">
        <f>IFERROR(INDEX(打卡匯入!$D$3:$D$2002,MATCH($C1829&amp;"|"&amp;DAY($A1829),打卡匯入!$E$3:$E$2002,0)),"")</f>
        <v/>
      </c>
      <c r="L1829" s="81">
        <f>IF(OR($J1829="",$K1829=""),"",IFERROR(INDEX(設定!$F$6:$F$18,MATCH($G1829,設定!$B$6:$B$18,0)),0))</f>
        <v/>
      </c>
      <c r="M1829" s="82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1">
        <f>IF(OR($C1829="",$H1829="",$J1829=""),0,IF(ROUND(($J1829-$H1829)*1440,0)&gt;設定!$C$42,ROUND(($J1829-$H1829)*1440,0),0))</f>
        <v/>
      </c>
      <c r="P1829" s="81">
        <f>IF(OR($C1829="",$I1829="",$K1829=""),0,IF(ROUND(($I1829-$K1829)*1440,0)&gt;設定!$C$42,ROUND(($I1829-$K1829)*1440,0),0))</f>
        <v/>
      </c>
      <c r="Q1829" s="82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79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0">
        <f>IF($G1830="","",IFERROR(INDEX(設定!$D$6:$D$18,MATCH($G1830,設定!$B$6:$B$18,0)),""))</f>
        <v/>
      </c>
      <c r="I1830" s="80">
        <f>IF($G1830="","",IFERROR(INDEX(設定!$E$6:$E$18,MATCH($G1830,設定!$B$6:$B$18,0)),""))</f>
        <v/>
      </c>
      <c r="J1830" s="80">
        <f>IFERROR(INDEX(打卡匯入!$C$3:$C$2002,MATCH($C1830&amp;"|"&amp;DAY($A1830),打卡匯入!$E$3:$E$2002,0)),"")</f>
        <v/>
      </c>
      <c r="K1830" s="80">
        <f>IFERROR(INDEX(打卡匯入!$D$3:$D$2002,MATCH($C1830&amp;"|"&amp;DAY($A1830),打卡匯入!$E$3:$E$2002,0)),"")</f>
        <v/>
      </c>
      <c r="L1830" s="81">
        <f>IF(OR($J1830="",$K1830=""),"",IFERROR(INDEX(設定!$F$6:$F$18,MATCH($G1830,設定!$B$6:$B$18,0)),0))</f>
        <v/>
      </c>
      <c r="M1830" s="82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1">
        <f>IF(OR($C1830="",$H1830="",$J1830=""),0,IF(ROUND(($J1830-$H1830)*1440,0)&gt;設定!$C$42,ROUND(($J1830-$H1830)*1440,0),0))</f>
        <v/>
      </c>
      <c r="P1830" s="81">
        <f>IF(OR($C1830="",$I1830="",$K1830=""),0,IF(ROUND(($I1830-$K1830)*1440,0)&gt;設定!$C$42,ROUND(($I1830-$K1830)*1440,0),0))</f>
        <v/>
      </c>
      <c r="Q1830" s="82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79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0">
        <f>IF($G1831="","",IFERROR(INDEX(設定!$D$6:$D$18,MATCH($G1831,設定!$B$6:$B$18,0)),""))</f>
        <v/>
      </c>
      <c r="I1831" s="80">
        <f>IF($G1831="","",IFERROR(INDEX(設定!$E$6:$E$18,MATCH($G1831,設定!$B$6:$B$18,0)),""))</f>
        <v/>
      </c>
      <c r="J1831" s="80">
        <f>IFERROR(INDEX(打卡匯入!$C$3:$C$2002,MATCH($C1831&amp;"|"&amp;DAY($A1831),打卡匯入!$E$3:$E$2002,0)),"")</f>
        <v/>
      </c>
      <c r="K1831" s="80">
        <f>IFERROR(INDEX(打卡匯入!$D$3:$D$2002,MATCH($C1831&amp;"|"&amp;DAY($A1831),打卡匯入!$E$3:$E$2002,0)),"")</f>
        <v/>
      </c>
      <c r="L1831" s="81">
        <f>IF(OR($J1831="",$K1831=""),"",IFERROR(INDEX(設定!$F$6:$F$18,MATCH($G1831,設定!$B$6:$B$18,0)),0))</f>
        <v/>
      </c>
      <c r="M1831" s="82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1">
        <f>IF(OR($C1831="",$H1831="",$J1831=""),0,IF(ROUND(($J1831-$H1831)*1440,0)&gt;設定!$C$42,ROUND(($J1831-$H1831)*1440,0),0))</f>
        <v/>
      </c>
      <c r="P1831" s="81">
        <f>IF(OR($C1831="",$I1831="",$K1831=""),0,IF(ROUND(($I1831-$K1831)*1440,0)&gt;設定!$C$42,ROUND(($I1831-$K1831)*1440,0),0))</f>
        <v/>
      </c>
      <c r="Q1831" s="82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79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0">
        <f>IF($G1832="","",IFERROR(INDEX(設定!$D$6:$D$18,MATCH($G1832,設定!$B$6:$B$18,0)),""))</f>
        <v/>
      </c>
      <c r="I1832" s="80">
        <f>IF($G1832="","",IFERROR(INDEX(設定!$E$6:$E$18,MATCH($G1832,設定!$B$6:$B$18,0)),""))</f>
        <v/>
      </c>
      <c r="J1832" s="80">
        <f>IFERROR(INDEX(打卡匯入!$C$3:$C$2002,MATCH($C1832&amp;"|"&amp;DAY($A1832),打卡匯入!$E$3:$E$2002,0)),"")</f>
        <v/>
      </c>
      <c r="K1832" s="80">
        <f>IFERROR(INDEX(打卡匯入!$D$3:$D$2002,MATCH($C1832&amp;"|"&amp;DAY($A1832),打卡匯入!$E$3:$E$2002,0)),"")</f>
        <v/>
      </c>
      <c r="L1832" s="81">
        <f>IF(OR($J1832="",$K1832=""),"",IFERROR(INDEX(設定!$F$6:$F$18,MATCH($G1832,設定!$B$6:$B$18,0)),0))</f>
        <v/>
      </c>
      <c r="M1832" s="82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1">
        <f>IF(OR($C1832="",$H1832="",$J1832=""),0,IF(ROUND(($J1832-$H1832)*1440,0)&gt;設定!$C$42,ROUND(($J1832-$H1832)*1440,0),0))</f>
        <v/>
      </c>
      <c r="P1832" s="81">
        <f>IF(OR($C1832="",$I1832="",$K1832=""),0,IF(ROUND(($I1832-$K1832)*1440,0)&gt;設定!$C$42,ROUND(($I1832-$K1832)*1440,0),0))</f>
        <v/>
      </c>
      <c r="Q1832" s="82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79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0">
        <f>IF($G1833="","",IFERROR(INDEX(設定!$D$6:$D$18,MATCH($G1833,設定!$B$6:$B$18,0)),""))</f>
        <v/>
      </c>
      <c r="I1833" s="80">
        <f>IF($G1833="","",IFERROR(INDEX(設定!$E$6:$E$18,MATCH($G1833,設定!$B$6:$B$18,0)),""))</f>
        <v/>
      </c>
      <c r="J1833" s="80">
        <f>IFERROR(INDEX(打卡匯入!$C$3:$C$2002,MATCH($C1833&amp;"|"&amp;DAY($A1833),打卡匯入!$E$3:$E$2002,0)),"")</f>
        <v/>
      </c>
      <c r="K1833" s="80">
        <f>IFERROR(INDEX(打卡匯入!$D$3:$D$2002,MATCH($C1833&amp;"|"&amp;DAY($A1833),打卡匯入!$E$3:$E$2002,0)),"")</f>
        <v/>
      </c>
      <c r="L1833" s="81">
        <f>IF(OR($J1833="",$K1833=""),"",IFERROR(INDEX(設定!$F$6:$F$18,MATCH($G1833,設定!$B$6:$B$18,0)),0))</f>
        <v/>
      </c>
      <c r="M1833" s="82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1">
        <f>IF(OR($C1833="",$H1833="",$J1833=""),0,IF(ROUND(($J1833-$H1833)*1440,0)&gt;設定!$C$42,ROUND(($J1833-$H1833)*1440,0),0))</f>
        <v/>
      </c>
      <c r="P1833" s="81">
        <f>IF(OR($C1833="",$I1833="",$K1833=""),0,IF(ROUND(($I1833-$K1833)*1440,0)&gt;設定!$C$42,ROUND(($I1833-$K1833)*1440,0),0))</f>
        <v/>
      </c>
      <c r="Q1833" s="82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79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0">
        <f>IF($G1834="","",IFERROR(INDEX(設定!$D$6:$D$18,MATCH($G1834,設定!$B$6:$B$18,0)),""))</f>
        <v/>
      </c>
      <c r="I1834" s="80">
        <f>IF($G1834="","",IFERROR(INDEX(設定!$E$6:$E$18,MATCH($G1834,設定!$B$6:$B$18,0)),""))</f>
        <v/>
      </c>
      <c r="J1834" s="80">
        <f>IFERROR(INDEX(打卡匯入!$C$3:$C$2002,MATCH($C1834&amp;"|"&amp;DAY($A1834),打卡匯入!$E$3:$E$2002,0)),"")</f>
        <v/>
      </c>
      <c r="K1834" s="80">
        <f>IFERROR(INDEX(打卡匯入!$D$3:$D$2002,MATCH($C1834&amp;"|"&amp;DAY($A1834),打卡匯入!$E$3:$E$2002,0)),"")</f>
        <v/>
      </c>
      <c r="L1834" s="81">
        <f>IF(OR($J1834="",$K1834=""),"",IFERROR(INDEX(設定!$F$6:$F$18,MATCH($G1834,設定!$B$6:$B$18,0)),0))</f>
        <v/>
      </c>
      <c r="M1834" s="82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1">
        <f>IF(OR($C1834="",$H1834="",$J1834=""),0,IF(ROUND(($J1834-$H1834)*1440,0)&gt;設定!$C$42,ROUND(($J1834-$H1834)*1440,0),0))</f>
        <v/>
      </c>
      <c r="P1834" s="81">
        <f>IF(OR($C1834="",$I1834="",$K1834=""),0,IF(ROUND(($I1834-$K1834)*1440,0)&gt;設定!$C$42,ROUND(($I1834-$K1834)*1440,0),0))</f>
        <v/>
      </c>
      <c r="Q1834" s="82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79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0">
        <f>IF($G1835="","",IFERROR(INDEX(設定!$D$6:$D$18,MATCH($G1835,設定!$B$6:$B$18,0)),""))</f>
        <v/>
      </c>
      <c r="I1835" s="80">
        <f>IF($G1835="","",IFERROR(INDEX(設定!$E$6:$E$18,MATCH($G1835,設定!$B$6:$B$18,0)),""))</f>
        <v/>
      </c>
      <c r="J1835" s="80">
        <f>IFERROR(INDEX(打卡匯入!$C$3:$C$2002,MATCH($C1835&amp;"|"&amp;DAY($A1835),打卡匯入!$E$3:$E$2002,0)),"")</f>
        <v/>
      </c>
      <c r="K1835" s="80">
        <f>IFERROR(INDEX(打卡匯入!$D$3:$D$2002,MATCH($C1835&amp;"|"&amp;DAY($A1835),打卡匯入!$E$3:$E$2002,0)),"")</f>
        <v/>
      </c>
      <c r="L1835" s="81">
        <f>IF(OR($J1835="",$K1835=""),"",IFERROR(INDEX(設定!$F$6:$F$18,MATCH($G1835,設定!$B$6:$B$18,0)),0))</f>
        <v/>
      </c>
      <c r="M1835" s="82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1">
        <f>IF(OR($C1835="",$H1835="",$J1835=""),0,IF(ROUND(($J1835-$H1835)*1440,0)&gt;設定!$C$42,ROUND(($J1835-$H1835)*1440,0),0))</f>
        <v/>
      </c>
      <c r="P1835" s="81">
        <f>IF(OR($C1835="",$I1835="",$K1835=""),0,IF(ROUND(($I1835-$K1835)*1440,0)&gt;設定!$C$42,ROUND(($I1835-$K1835)*1440,0),0))</f>
        <v/>
      </c>
      <c r="Q1835" s="82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79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0">
        <f>IF($G1836="","",IFERROR(INDEX(設定!$D$6:$D$18,MATCH($G1836,設定!$B$6:$B$18,0)),""))</f>
        <v/>
      </c>
      <c r="I1836" s="80">
        <f>IF($G1836="","",IFERROR(INDEX(設定!$E$6:$E$18,MATCH($G1836,設定!$B$6:$B$18,0)),""))</f>
        <v/>
      </c>
      <c r="J1836" s="80">
        <f>IFERROR(INDEX(打卡匯入!$C$3:$C$2002,MATCH($C1836&amp;"|"&amp;DAY($A1836),打卡匯入!$E$3:$E$2002,0)),"")</f>
        <v/>
      </c>
      <c r="K1836" s="80">
        <f>IFERROR(INDEX(打卡匯入!$D$3:$D$2002,MATCH($C1836&amp;"|"&amp;DAY($A1836),打卡匯入!$E$3:$E$2002,0)),"")</f>
        <v/>
      </c>
      <c r="L1836" s="81">
        <f>IF(OR($J1836="",$K1836=""),"",IFERROR(INDEX(設定!$F$6:$F$18,MATCH($G1836,設定!$B$6:$B$18,0)),0))</f>
        <v/>
      </c>
      <c r="M1836" s="82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1">
        <f>IF(OR($C1836="",$H1836="",$J1836=""),0,IF(ROUND(($J1836-$H1836)*1440,0)&gt;設定!$C$42,ROUND(($J1836-$H1836)*1440,0),0))</f>
        <v/>
      </c>
      <c r="P1836" s="81">
        <f>IF(OR($C1836="",$I1836="",$K1836=""),0,IF(ROUND(($I1836-$K1836)*1440,0)&gt;設定!$C$42,ROUND(($I1836-$K1836)*1440,0),0))</f>
        <v/>
      </c>
      <c r="Q1836" s="82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79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0">
        <f>IF($G1837="","",IFERROR(INDEX(設定!$D$6:$D$18,MATCH($G1837,設定!$B$6:$B$18,0)),""))</f>
        <v/>
      </c>
      <c r="I1837" s="80">
        <f>IF($G1837="","",IFERROR(INDEX(設定!$E$6:$E$18,MATCH($G1837,設定!$B$6:$B$18,0)),""))</f>
        <v/>
      </c>
      <c r="J1837" s="80">
        <f>IFERROR(INDEX(打卡匯入!$C$3:$C$2002,MATCH($C1837&amp;"|"&amp;DAY($A1837),打卡匯入!$E$3:$E$2002,0)),"")</f>
        <v/>
      </c>
      <c r="K1837" s="80">
        <f>IFERROR(INDEX(打卡匯入!$D$3:$D$2002,MATCH($C1837&amp;"|"&amp;DAY($A1837),打卡匯入!$E$3:$E$2002,0)),"")</f>
        <v/>
      </c>
      <c r="L1837" s="81">
        <f>IF(OR($J1837="",$K1837=""),"",IFERROR(INDEX(設定!$F$6:$F$18,MATCH($G1837,設定!$B$6:$B$18,0)),0))</f>
        <v/>
      </c>
      <c r="M1837" s="82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1">
        <f>IF(OR($C1837="",$H1837="",$J1837=""),0,IF(ROUND(($J1837-$H1837)*1440,0)&gt;設定!$C$42,ROUND(($J1837-$H1837)*1440,0),0))</f>
        <v/>
      </c>
      <c r="P1837" s="81">
        <f>IF(OR($C1837="",$I1837="",$K1837=""),0,IF(ROUND(($I1837-$K1837)*1440,0)&gt;設定!$C$42,ROUND(($I1837-$K1837)*1440,0),0))</f>
        <v/>
      </c>
      <c r="Q1837" s="82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79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0">
        <f>IF($G1838="","",IFERROR(INDEX(設定!$D$6:$D$18,MATCH($G1838,設定!$B$6:$B$18,0)),""))</f>
        <v/>
      </c>
      <c r="I1838" s="80">
        <f>IF($G1838="","",IFERROR(INDEX(設定!$E$6:$E$18,MATCH($G1838,設定!$B$6:$B$18,0)),""))</f>
        <v/>
      </c>
      <c r="J1838" s="80">
        <f>IFERROR(INDEX(打卡匯入!$C$3:$C$2002,MATCH($C1838&amp;"|"&amp;DAY($A1838),打卡匯入!$E$3:$E$2002,0)),"")</f>
        <v/>
      </c>
      <c r="K1838" s="80">
        <f>IFERROR(INDEX(打卡匯入!$D$3:$D$2002,MATCH($C1838&amp;"|"&amp;DAY($A1838),打卡匯入!$E$3:$E$2002,0)),"")</f>
        <v/>
      </c>
      <c r="L1838" s="81">
        <f>IF(OR($J1838="",$K1838=""),"",IFERROR(INDEX(設定!$F$6:$F$18,MATCH($G1838,設定!$B$6:$B$18,0)),0))</f>
        <v/>
      </c>
      <c r="M1838" s="82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1">
        <f>IF(OR($C1838="",$H1838="",$J1838=""),0,IF(ROUND(($J1838-$H1838)*1440,0)&gt;設定!$C$42,ROUND(($J1838-$H1838)*1440,0),0))</f>
        <v/>
      </c>
      <c r="P1838" s="81">
        <f>IF(OR($C1838="",$I1838="",$K1838=""),0,IF(ROUND(($I1838-$K1838)*1440,0)&gt;設定!$C$42,ROUND(($I1838-$K1838)*1440,0),0))</f>
        <v/>
      </c>
      <c r="Q1838" s="82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79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0">
        <f>IF($G1839="","",IFERROR(INDEX(設定!$D$6:$D$18,MATCH($G1839,設定!$B$6:$B$18,0)),""))</f>
        <v/>
      </c>
      <c r="I1839" s="80">
        <f>IF($G1839="","",IFERROR(INDEX(設定!$E$6:$E$18,MATCH($G1839,設定!$B$6:$B$18,0)),""))</f>
        <v/>
      </c>
      <c r="J1839" s="80">
        <f>IFERROR(INDEX(打卡匯入!$C$3:$C$2002,MATCH($C1839&amp;"|"&amp;DAY($A1839),打卡匯入!$E$3:$E$2002,0)),"")</f>
        <v/>
      </c>
      <c r="K1839" s="80">
        <f>IFERROR(INDEX(打卡匯入!$D$3:$D$2002,MATCH($C1839&amp;"|"&amp;DAY($A1839),打卡匯入!$E$3:$E$2002,0)),"")</f>
        <v/>
      </c>
      <c r="L1839" s="81">
        <f>IF(OR($J1839="",$K1839=""),"",IFERROR(INDEX(設定!$F$6:$F$18,MATCH($G1839,設定!$B$6:$B$18,0)),0))</f>
        <v/>
      </c>
      <c r="M1839" s="82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1">
        <f>IF(OR($C1839="",$H1839="",$J1839=""),0,IF(ROUND(($J1839-$H1839)*1440,0)&gt;設定!$C$42,ROUND(($J1839-$H1839)*1440,0),0))</f>
        <v/>
      </c>
      <c r="P1839" s="81">
        <f>IF(OR($C1839="",$I1839="",$K1839=""),0,IF(ROUND(($I1839-$K1839)*1440,0)&gt;設定!$C$42,ROUND(($I1839-$K1839)*1440,0),0))</f>
        <v/>
      </c>
      <c r="Q1839" s="82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79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0">
        <f>IF($G1840="","",IFERROR(INDEX(設定!$D$6:$D$18,MATCH($G1840,設定!$B$6:$B$18,0)),""))</f>
        <v/>
      </c>
      <c r="I1840" s="80">
        <f>IF($G1840="","",IFERROR(INDEX(設定!$E$6:$E$18,MATCH($G1840,設定!$B$6:$B$18,0)),""))</f>
        <v/>
      </c>
      <c r="J1840" s="80">
        <f>IFERROR(INDEX(打卡匯入!$C$3:$C$2002,MATCH($C1840&amp;"|"&amp;DAY($A1840),打卡匯入!$E$3:$E$2002,0)),"")</f>
        <v/>
      </c>
      <c r="K1840" s="80">
        <f>IFERROR(INDEX(打卡匯入!$D$3:$D$2002,MATCH($C1840&amp;"|"&amp;DAY($A1840),打卡匯入!$E$3:$E$2002,0)),"")</f>
        <v/>
      </c>
      <c r="L1840" s="81">
        <f>IF(OR($J1840="",$K1840=""),"",IFERROR(INDEX(設定!$F$6:$F$18,MATCH($G1840,設定!$B$6:$B$18,0)),0))</f>
        <v/>
      </c>
      <c r="M1840" s="82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1">
        <f>IF(OR($C1840="",$H1840="",$J1840=""),0,IF(ROUND(($J1840-$H1840)*1440,0)&gt;設定!$C$42,ROUND(($J1840-$H1840)*1440,0),0))</f>
        <v/>
      </c>
      <c r="P1840" s="81">
        <f>IF(OR($C1840="",$I1840="",$K1840=""),0,IF(ROUND(($I1840-$K1840)*1440,0)&gt;設定!$C$42,ROUND(($I1840-$K1840)*1440,0),0))</f>
        <v/>
      </c>
      <c r="Q1840" s="82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79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0">
        <f>IF($G1841="","",IFERROR(INDEX(設定!$D$6:$D$18,MATCH($G1841,設定!$B$6:$B$18,0)),""))</f>
        <v/>
      </c>
      <c r="I1841" s="80">
        <f>IF($G1841="","",IFERROR(INDEX(設定!$E$6:$E$18,MATCH($G1841,設定!$B$6:$B$18,0)),""))</f>
        <v/>
      </c>
      <c r="J1841" s="80">
        <f>IFERROR(INDEX(打卡匯入!$C$3:$C$2002,MATCH($C1841&amp;"|"&amp;DAY($A1841),打卡匯入!$E$3:$E$2002,0)),"")</f>
        <v/>
      </c>
      <c r="K1841" s="80">
        <f>IFERROR(INDEX(打卡匯入!$D$3:$D$2002,MATCH($C1841&amp;"|"&amp;DAY($A1841),打卡匯入!$E$3:$E$2002,0)),"")</f>
        <v/>
      </c>
      <c r="L1841" s="81">
        <f>IF(OR($J1841="",$K1841=""),"",IFERROR(INDEX(設定!$F$6:$F$18,MATCH($G1841,設定!$B$6:$B$18,0)),0))</f>
        <v/>
      </c>
      <c r="M1841" s="82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1">
        <f>IF(OR($C1841="",$H1841="",$J1841=""),0,IF(ROUND(($J1841-$H1841)*1440,0)&gt;設定!$C$42,ROUND(($J1841-$H1841)*1440,0),0))</f>
        <v/>
      </c>
      <c r="P1841" s="81">
        <f>IF(OR($C1841="",$I1841="",$K1841=""),0,IF(ROUND(($I1841-$K1841)*1440,0)&gt;設定!$C$42,ROUND(($I1841-$K1841)*1440,0),0))</f>
        <v/>
      </c>
      <c r="Q1841" s="82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79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0">
        <f>IF($G1842="","",IFERROR(INDEX(設定!$D$6:$D$18,MATCH($G1842,設定!$B$6:$B$18,0)),""))</f>
        <v/>
      </c>
      <c r="I1842" s="80">
        <f>IF($G1842="","",IFERROR(INDEX(設定!$E$6:$E$18,MATCH($G1842,設定!$B$6:$B$18,0)),""))</f>
        <v/>
      </c>
      <c r="J1842" s="80">
        <f>IFERROR(INDEX(打卡匯入!$C$3:$C$2002,MATCH($C1842&amp;"|"&amp;DAY($A1842),打卡匯入!$E$3:$E$2002,0)),"")</f>
        <v/>
      </c>
      <c r="K1842" s="80">
        <f>IFERROR(INDEX(打卡匯入!$D$3:$D$2002,MATCH($C1842&amp;"|"&amp;DAY($A1842),打卡匯入!$E$3:$E$2002,0)),"")</f>
        <v/>
      </c>
      <c r="L1842" s="81">
        <f>IF(OR($J1842="",$K1842=""),"",IFERROR(INDEX(設定!$F$6:$F$18,MATCH($G1842,設定!$B$6:$B$18,0)),0))</f>
        <v/>
      </c>
      <c r="M1842" s="82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1">
        <f>IF(OR($C1842="",$H1842="",$J1842=""),0,IF(ROUND(($J1842-$H1842)*1440,0)&gt;設定!$C$42,ROUND(($J1842-$H1842)*1440,0),0))</f>
        <v/>
      </c>
      <c r="P1842" s="81">
        <f>IF(OR($C1842="",$I1842="",$K1842=""),0,IF(ROUND(($I1842-$K1842)*1440,0)&gt;設定!$C$42,ROUND(($I1842-$K1842)*1440,0),0))</f>
        <v/>
      </c>
      <c r="Q1842" s="82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79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0">
        <f>IF($G1843="","",IFERROR(INDEX(設定!$D$6:$D$18,MATCH($G1843,設定!$B$6:$B$18,0)),""))</f>
        <v/>
      </c>
      <c r="I1843" s="80">
        <f>IF($G1843="","",IFERROR(INDEX(設定!$E$6:$E$18,MATCH($G1843,設定!$B$6:$B$18,0)),""))</f>
        <v/>
      </c>
      <c r="J1843" s="80">
        <f>IFERROR(INDEX(打卡匯入!$C$3:$C$2002,MATCH($C1843&amp;"|"&amp;DAY($A1843),打卡匯入!$E$3:$E$2002,0)),"")</f>
        <v/>
      </c>
      <c r="K1843" s="80">
        <f>IFERROR(INDEX(打卡匯入!$D$3:$D$2002,MATCH($C1843&amp;"|"&amp;DAY($A1843),打卡匯入!$E$3:$E$2002,0)),"")</f>
        <v/>
      </c>
      <c r="L1843" s="81">
        <f>IF(OR($J1843="",$K1843=""),"",IFERROR(INDEX(設定!$F$6:$F$18,MATCH($G1843,設定!$B$6:$B$18,0)),0))</f>
        <v/>
      </c>
      <c r="M1843" s="82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1">
        <f>IF(OR($C1843="",$H1843="",$J1843=""),0,IF(ROUND(($J1843-$H1843)*1440,0)&gt;設定!$C$42,ROUND(($J1843-$H1843)*1440,0),0))</f>
        <v/>
      </c>
      <c r="P1843" s="81">
        <f>IF(OR($C1843="",$I1843="",$K1843=""),0,IF(ROUND(($I1843-$K1843)*1440,0)&gt;設定!$C$42,ROUND(($I1843-$K1843)*1440,0),0))</f>
        <v/>
      </c>
      <c r="Q1843" s="82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79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0">
        <f>IF($G1844="","",IFERROR(INDEX(設定!$D$6:$D$18,MATCH($G1844,設定!$B$6:$B$18,0)),""))</f>
        <v/>
      </c>
      <c r="I1844" s="80">
        <f>IF($G1844="","",IFERROR(INDEX(設定!$E$6:$E$18,MATCH($G1844,設定!$B$6:$B$18,0)),""))</f>
        <v/>
      </c>
      <c r="J1844" s="80">
        <f>IFERROR(INDEX(打卡匯入!$C$3:$C$2002,MATCH($C1844&amp;"|"&amp;DAY($A1844),打卡匯入!$E$3:$E$2002,0)),"")</f>
        <v/>
      </c>
      <c r="K1844" s="80">
        <f>IFERROR(INDEX(打卡匯入!$D$3:$D$2002,MATCH($C1844&amp;"|"&amp;DAY($A1844),打卡匯入!$E$3:$E$2002,0)),"")</f>
        <v/>
      </c>
      <c r="L1844" s="81">
        <f>IF(OR($J1844="",$K1844=""),"",IFERROR(INDEX(設定!$F$6:$F$18,MATCH($G1844,設定!$B$6:$B$18,0)),0))</f>
        <v/>
      </c>
      <c r="M1844" s="82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1">
        <f>IF(OR($C1844="",$H1844="",$J1844=""),0,IF(ROUND(($J1844-$H1844)*1440,0)&gt;設定!$C$42,ROUND(($J1844-$H1844)*1440,0),0))</f>
        <v/>
      </c>
      <c r="P1844" s="81">
        <f>IF(OR($C1844="",$I1844="",$K1844=""),0,IF(ROUND(($I1844-$K1844)*1440,0)&gt;設定!$C$42,ROUND(($I1844-$K1844)*1440,0),0))</f>
        <v/>
      </c>
      <c r="Q1844" s="82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79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0">
        <f>IF($G1845="","",IFERROR(INDEX(設定!$D$6:$D$18,MATCH($G1845,設定!$B$6:$B$18,0)),""))</f>
        <v/>
      </c>
      <c r="I1845" s="80">
        <f>IF($G1845="","",IFERROR(INDEX(設定!$E$6:$E$18,MATCH($G1845,設定!$B$6:$B$18,0)),""))</f>
        <v/>
      </c>
      <c r="J1845" s="80">
        <f>IFERROR(INDEX(打卡匯入!$C$3:$C$2002,MATCH($C1845&amp;"|"&amp;DAY($A1845),打卡匯入!$E$3:$E$2002,0)),"")</f>
        <v/>
      </c>
      <c r="K1845" s="80">
        <f>IFERROR(INDEX(打卡匯入!$D$3:$D$2002,MATCH($C1845&amp;"|"&amp;DAY($A1845),打卡匯入!$E$3:$E$2002,0)),"")</f>
        <v/>
      </c>
      <c r="L1845" s="81">
        <f>IF(OR($J1845="",$K1845=""),"",IFERROR(INDEX(設定!$F$6:$F$18,MATCH($G1845,設定!$B$6:$B$18,0)),0))</f>
        <v/>
      </c>
      <c r="M1845" s="82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1">
        <f>IF(OR($C1845="",$H1845="",$J1845=""),0,IF(ROUND(($J1845-$H1845)*1440,0)&gt;設定!$C$42,ROUND(($J1845-$H1845)*1440,0),0))</f>
        <v/>
      </c>
      <c r="P1845" s="81">
        <f>IF(OR($C1845="",$I1845="",$K1845=""),0,IF(ROUND(($I1845-$K1845)*1440,0)&gt;設定!$C$42,ROUND(($I1845-$K1845)*1440,0),0))</f>
        <v/>
      </c>
      <c r="Q1845" s="82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79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0">
        <f>IF($G1846="","",IFERROR(INDEX(設定!$D$6:$D$18,MATCH($G1846,設定!$B$6:$B$18,0)),""))</f>
        <v/>
      </c>
      <c r="I1846" s="80">
        <f>IF($G1846="","",IFERROR(INDEX(設定!$E$6:$E$18,MATCH($G1846,設定!$B$6:$B$18,0)),""))</f>
        <v/>
      </c>
      <c r="J1846" s="80">
        <f>IFERROR(INDEX(打卡匯入!$C$3:$C$2002,MATCH($C1846&amp;"|"&amp;DAY($A1846),打卡匯入!$E$3:$E$2002,0)),"")</f>
        <v/>
      </c>
      <c r="K1846" s="80">
        <f>IFERROR(INDEX(打卡匯入!$D$3:$D$2002,MATCH($C1846&amp;"|"&amp;DAY($A1846),打卡匯入!$E$3:$E$2002,0)),"")</f>
        <v/>
      </c>
      <c r="L1846" s="81">
        <f>IF(OR($J1846="",$K1846=""),"",IFERROR(INDEX(設定!$F$6:$F$18,MATCH($G1846,設定!$B$6:$B$18,0)),0))</f>
        <v/>
      </c>
      <c r="M1846" s="82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1">
        <f>IF(OR($C1846="",$H1846="",$J1846=""),0,IF(ROUND(($J1846-$H1846)*1440,0)&gt;設定!$C$42,ROUND(($J1846-$H1846)*1440,0),0))</f>
        <v/>
      </c>
      <c r="P1846" s="81">
        <f>IF(OR($C1846="",$I1846="",$K1846=""),0,IF(ROUND(($I1846-$K1846)*1440,0)&gt;設定!$C$42,ROUND(($I1846-$K1846)*1440,0),0))</f>
        <v/>
      </c>
      <c r="Q1846" s="82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79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0">
        <f>IF($G1847="","",IFERROR(INDEX(設定!$D$6:$D$18,MATCH($G1847,設定!$B$6:$B$18,0)),""))</f>
        <v/>
      </c>
      <c r="I1847" s="80">
        <f>IF($G1847="","",IFERROR(INDEX(設定!$E$6:$E$18,MATCH($G1847,設定!$B$6:$B$18,0)),""))</f>
        <v/>
      </c>
      <c r="J1847" s="80">
        <f>IFERROR(INDEX(打卡匯入!$C$3:$C$2002,MATCH($C1847&amp;"|"&amp;DAY($A1847),打卡匯入!$E$3:$E$2002,0)),"")</f>
        <v/>
      </c>
      <c r="K1847" s="80">
        <f>IFERROR(INDEX(打卡匯入!$D$3:$D$2002,MATCH($C1847&amp;"|"&amp;DAY($A1847),打卡匯入!$E$3:$E$2002,0)),"")</f>
        <v/>
      </c>
      <c r="L1847" s="81">
        <f>IF(OR($J1847="",$K1847=""),"",IFERROR(INDEX(設定!$F$6:$F$18,MATCH($G1847,設定!$B$6:$B$18,0)),0))</f>
        <v/>
      </c>
      <c r="M1847" s="82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1">
        <f>IF(OR($C1847="",$H1847="",$J1847=""),0,IF(ROUND(($J1847-$H1847)*1440,0)&gt;設定!$C$42,ROUND(($J1847-$H1847)*1440,0),0))</f>
        <v/>
      </c>
      <c r="P1847" s="81">
        <f>IF(OR($C1847="",$I1847="",$K1847=""),0,IF(ROUND(($I1847-$K1847)*1440,0)&gt;設定!$C$42,ROUND(($I1847-$K1847)*1440,0),0))</f>
        <v/>
      </c>
      <c r="Q1847" s="82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79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0">
        <f>IF($G1848="","",IFERROR(INDEX(設定!$D$6:$D$18,MATCH($G1848,設定!$B$6:$B$18,0)),""))</f>
        <v/>
      </c>
      <c r="I1848" s="80">
        <f>IF($G1848="","",IFERROR(INDEX(設定!$E$6:$E$18,MATCH($G1848,設定!$B$6:$B$18,0)),""))</f>
        <v/>
      </c>
      <c r="J1848" s="80">
        <f>IFERROR(INDEX(打卡匯入!$C$3:$C$2002,MATCH($C1848&amp;"|"&amp;DAY($A1848),打卡匯入!$E$3:$E$2002,0)),"")</f>
        <v/>
      </c>
      <c r="K1848" s="80">
        <f>IFERROR(INDEX(打卡匯入!$D$3:$D$2002,MATCH($C1848&amp;"|"&amp;DAY($A1848),打卡匯入!$E$3:$E$2002,0)),"")</f>
        <v/>
      </c>
      <c r="L1848" s="81">
        <f>IF(OR($J1848="",$K1848=""),"",IFERROR(INDEX(設定!$F$6:$F$18,MATCH($G1848,設定!$B$6:$B$18,0)),0))</f>
        <v/>
      </c>
      <c r="M1848" s="82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1">
        <f>IF(OR($C1848="",$H1848="",$J1848=""),0,IF(ROUND(($J1848-$H1848)*1440,0)&gt;設定!$C$42,ROUND(($J1848-$H1848)*1440,0),0))</f>
        <v/>
      </c>
      <c r="P1848" s="81">
        <f>IF(OR($C1848="",$I1848="",$K1848=""),0,IF(ROUND(($I1848-$K1848)*1440,0)&gt;設定!$C$42,ROUND(($I1848-$K1848)*1440,0),0))</f>
        <v/>
      </c>
      <c r="Q1848" s="82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79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0">
        <f>IF($G1849="","",IFERROR(INDEX(設定!$D$6:$D$18,MATCH($G1849,設定!$B$6:$B$18,0)),""))</f>
        <v/>
      </c>
      <c r="I1849" s="80">
        <f>IF($G1849="","",IFERROR(INDEX(設定!$E$6:$E$18,MATCH($G1849,設定!$B$6:$B$18,0)),""))</f>
        <v/>
      </c>
      <c r="J1849" s="80">
        <f>IFERROR(INDEX(打卡匯入!$C$3:$C$2002,MATCH($C1849&amp;"|"&amp;DAY($A1849),打卡匯入!$E$3:$E$2002,0)),"")</f>
        <v/>
      </c>
      <c r="K1849" s="80">
        <f>IFERROR(INDEX(打卡匯入!$D$3:$D$2002,MATCH($C1849&amp;"|"&amp;DAY($A1849),打卡匯入!$E$3:$E$2002,0)),"")</f>
        <v/>
      </c>
      <c r="L1849" s="81">
        <f>IF(OR($J1849="",$K1849=""),"",IFERROR(INDEX(設定!$F$6:$F$18,MATCH($G1849,設定!$B$6:$B$18,0)),0))</f>
        <v/>
      </c>
      <c r="M1849" s="82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1">
        <f>IF(OR($C1849="",$H1849="",$J1849=""),0,IF(ROUND(($J1849-$H1849)*1440,0)&gt;設定!$C$42,ROUND(($J1849-$H1849)*1440,0),0))</f>
        <v/>
      </c>
      <c r="P1849" s="81">
        <f>IF(OR($C1849="",$I1849="",$K1849=""),0,IF(ROUND(($I1849-$K1849)*1440,0)&gt;設定!$C$42,ROUND(($I1849-$K1849)*1440,0),0))</f>
        <v/>
      </c>
      <c r="Q1849" s="82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79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0">
        <f>IF($G1850="","",IFERROR(INDEX(設定!$D$6:$D$18,MATCH($G1850,設定!$B$6:$B$18,0)),""))</f>
        <v/>
      </c>
      <c r="I1850" s="80">
        <f>IF($G1850="","",IFERROR(INDEX(設定!$E$6:$E$18,MATCH($G1850,設定!$B$6:$B$18,0)),""))</f>
        <v/>
      </c>
      <c r="J1850" s="80">
        <f>IFERROR(INDEX(打卡匯入!$C$3:$C$2002,MATCH($C1850&amp;"|"&amp;DAY($A1850),打卡匯入!$E$3:$E$2002,0)),"")</f>
        <v/>
      </c>
      <c r="K1850" s="80">
        <f>IFERROR(INDEX(打卡匯入!$D$3:$D$2002,MATCH($C1850&amp;"|"&amp;DAY($A1850),打卡匯入!$E$3:$E$2002,0)),"")</f>
        <v/>
      </c>
      <c r="L1850" s="81">
        <f>IF(OR($J1850="",$K1850=""),"",IFERROR(INDEX(設定!$F$6:$F$18,MATCH($G1850,設定!$B$6:$B$18,0)),0))</f>
        <v/>
      </c>
      <c r="M1850" s="82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1">
        <f>IF(OR($C1850="",$H1850="",$J1850=""),0,IF(ROUND(($J1850-$H1850)*1440,0)&gt;設定!$C$42,ROUND(($J1850-$H1850)*1440,0),0))</f>
        <v/>
      </c>
      <c r="P1850" s="81">
        <f>IF(OR($C1850="",$I1850="",$K1850=""),0,IF(ROUND(($I1850-$K1850)*1440,0)&gt;設定!$C$42,ROUND(($I1850-$K1850)*1440,0),0))</f>
        <v/>
      </c>
      <c r="Q1850" s="82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79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0">
        <f>IF($G1851="","",IFERROR(INDEX(設定!$D$6:$D$18,MATCH($G1851,設定!$B$6:$B$18,0)),""))</f>
        <v/>
      </c>
      <c r="I1851" s="80">
        <f>IF($G1851="","",IFERROR(INDEX(設定!$E$6:$E$18,MATCH($G1851,設定!$B$6:$B$18,0)),""))</f>
        <v/>
      </c>
      <c r="J1851" s="80">
        <f>IFERROR(INDEX(打卡匯入!$C$3:$C$2002,MATCH($C1851&amp;"|"&amp;DAY($A1851),打卡匯入!$E$3:$E$2002,0)),"")</f>
        <v/>
      </c>
      <c r="K1851" s="80">
        <f>IFERROR(INDEX(打卡匯入!$D$3:$D$2002,MATCH($C1851&amp;"|"&amp;DAY($A1851),打卡匯入!$E$3:$E$2002,0)),"")</f>
        <v/>
      </c>
      <c r="L1851" s="81">
        <f>IF(OR($J1851="",$K1851=""),"",IFERROR(INDEX(設定!$F$6:$F$18,MATCH($G1851,設定!$B$6:$B$18,0)),0))</f>
        <v/>
      </c>
      <c r="M1851" s="82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1">
        <f>IF(OR($C1851="",$H1851="",$J1851=""),0,IF(ROUND(($J1851-$H1851)*1440,0)&gt;設定!$C$42,ROUND(($J1851-$H1851)*1440,0),0))</f>
        <v/>
      </c>
      <c r="P1851" s="81">
        <f>IF(OR($C1851="",$I1851="",$K1851=""),0,IF(ROUND(($I1851-$K1851)*1440,0)&gt;設定!$C$42,ROUND(($I1851-$K1851)*1440,0),0))</f>
        <v/>
      </c>
      <c r="Q1851" s="82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79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0">
        <f>IF($G1852="","",IFERROR(INDEX(設定!$D$6:$D$18,MATCH($G1852,設定!$B$6:$B$18,0)),""))</f>
        <v/>
      </c>
      <c r="I1852" s="80">
        <f>IF($G1852="","",IFERROR(INDEX(設定!$E$6:$E$18,MATCH($G1852,設定!$B$6:$B$18,0)),""))</f>
        <v/>
      </c>
      <c r="J1852" s="80">
        <f>IFERROR(INDEX(打卡匯入!$C$3:$C$2002,MATCH($C1852&amp;"|"&amp;DAY($A1852),打卡匯入!$E$3:$E$2002,0)),"")</f>
        <v/>
      </c>
      <c r="K1852" s="80">
        <f>IFERROR(INDEX(打卡匯入!$D$3:$D$2002,MATCH($C1852&amp;"|"&amp;DAY($A1852),打卡匯入!$E$3:$E$2002,0)),"")</f>
        <v/>
      </c>
      <c r="L1852" s="81">
        <f>IF(OR($J1852="",$K1852=""),"",IFERROR(INDEX(設定!$F$6:$F$18,MATCH($G1852,設定!$B$6:$B$18,0)),0))</f>
        <v/>
      </c>
      <c r="M1852" s="82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1">
        <f>IF(OR($C1852="",$H1852="",$J1852=""),0,IF(ROUND(($J1852-$H1852)*1440,0)&gt;設定!$C$42,ROUND(($J1852-$H1852)*1440,0),0))</f>
        <v/>
      </c>
      <c r="P1852" s="81">
        <f>IF(OR($C1852="",$I1852="",$K1852=""),0,IF(ROUND(($I1852-$K1852)*1440,0)&gt;設定!$C$42,ROUND(($I1852-$K1852)*1440,0),0))</f>
        <v/>
      </c>
      <c r="Q1852" s="82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79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0">
        <f>IF($G1853="","",IFERROR(INDEX(設定!$D$6:$D$18,MATCH($G1853,設定!$B$6:$B$18,0)),""))</f>
        <v/>
      </c>
      <c r="I1853" s="80">
        <f>IF($G1853="","",IFERROR(INDEX(設定!$E$6:$E$18,MATCH($G1853,設定!$B$6:$B$18,0)),""))</f>
        <v/>
      </c>
      <c r="J1853" s="80">
        <f>IFERROR(INDEX(打卡匯入!$C$3:$C$2002,MATCH($C1853&amp;"|"&amp;DAY($A1853),打卡匯入!$E$3:$E$2002,0)),"")</f>
        <v/>
      </c>
      <c r="K1853" s="80">
        <f>IFERROR(INDEX(打卡匯入!$D$3:$D$2002,MATCH($C1853&amp;"|"&amp;DAY($A1853),打卡匯入!$E$3:$E$2002,0)),"")</f>
        <v/>
      </c>
      <c r="L1853" s="81">
        <f>IF(OR($J1853="",$K1853=""),"",IFERROR(INDEX(設定!$F$6:$F$18,MATCH($G1853,設定!$B$6:$B$18,0)),0))</f>
        <v/>
      </c>
      <c r="M1853" s="82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1">
        <f>IF(OR($C1853="",$H1853="",$J1853=""),0,IF(ROUND(($J1853-$H1853)*1440,0)&gt;設定!$C$42,ROUND(($J1853-$H1853)*1440,0),0))</f>
        <v/>
      </c>
      <c r="P1853" s="81">
        <f>IF(OR($C1853="",$I1853="",$K1853=""),0,IF(ROUND(($I1853-$K1853)*1440,0)&gt;設定!$C$42,ROUND(($I1853-$K1853)*1440,0),0))</f>
        <v/>
      </c>
      <c r="Q1853" s="82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79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0">
        <f>IF($G1854="","",IFERROR(INDEX(設定!$D$6:$D$18,MATCH($G1854,設定!$B$6:$B$18,0)),""))</f>
        <v/>
      </c>
      <c r="I1854" s="80">
        <f>IF($G1854="","",IFERROR(INDEX(設定!$E$6:$E$18,MATCH($G1854,設定!$B$6:$B$18,0)),""))</f>
        <v/>
      </c>
      <c r="J1854" s="80">
        <f>IFERROR(INDEX(打卡匯入!$C$3:$C$2002,MATCH($C1854&amp;"|"&amp;DAY($A1854),打卡匯入!$E$3:$E$2002,0)),"")</f>
        <v/>
      </c>
      <c r="K1854" s="80">
        <f>IFERROR(INDEX(打卡匯入!$D$3:$D$2002,MATCH($C1854&amp;"|"&amp;DAY($A1854),打卡匯入!$E$3:$E$2002,0)),"")</f>
        <v/>
      </c>
      <c r="L1854" s="81">
        <f>IF(OR($J1854="",$K1854=""),"",IFERROR(INDEX(設定!$F$6:$F$18,MATCH($G1854,設定!$B$6:$B$18,0)),0))</f>
        <v/>
      </c>
      <c r="M1854" s="82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1">
        <f>IF(OR($C1854="",$H1854="",$J1854=""),0,IF(ROUND(($J1854-$H1854)*1440,0)&gt;設定!$C$42,ROUND(($J1854-$H1854)*1440,0),0))</f>
        <v/>
      </c>
      <c r="P1854" s="81">
        <f>IF(OR($C1854="",$I1854="",$K1854=""),0,IF(ROUND(($I1854-$K1854)*1440,0)&gt;設定!$C$42,ROUND(($I1854-$K1854)*1440,0),0))</f>
        <v/>
      </c>
      <c r="Q1854" s="82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79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0">
        <f>IF($G1855="","",IFERROR(INDEX(設定!$D$6:$D$18,MATCH($G1855,設定!$B$6:$B$18,0)),""))</f>
        <v/>
      </c>
      <c r="I1855" s="80">
        <f>IF($G1855="","",IFERROR(INDEX(設定!$E$6:$E$18,MATCH($G1855,設定!$B$6:$B$18,0)),""))</f>
        <v/>
      </c>
      <c r="J1855" s="80">
        <f>IFERROR(INDEX(打卡匯入!$C$3:$C$2002,MATCH($C1855&amp;"|"&amp;DAY($A1855),打卡匯入!$E$3:$E$2002,0)),"")</f>
        <v/>
      </c>
      <c r="K1855" s="80">
        <f>IFERROR(INDEX(打卡匯入!$D$3:$D$2002,MATCH($C1855&amp;"|"&amp;DAY($A1855),打卡匯入!$E$3:$E$2002,0)),"")</f>
        <v/>
      </c>
      <c r="L1855" s="81">
        <f>IF(OR($J1855="",$K1855=""),"",IFERROR(INDEX(設定!$F$6:$F$18,MATCH($G1855,設定!$B$6:$B$18,0)),0))</f>
        <v/>
      </c>
      <c r="M1855" s="82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1">
        <f>IF(OR($C1855="",$H1855="",$J1855=""),0,IF(ROUND(($J1855-$H1855)*1440,0)&gt;設定!$C$42,ROUND(($J1855-$H1855)*1440,0),0))</f>
        <v/>
      </c>
      <c r="P1855" s="81">
        <f>IF(OR($C1855="",$I1855="",$K1855=""),0,IF(ROUND(($I1855-$K1855)*1440,0)&gt;設定!$C$42,ROUND(($I1855-$K1855)*1440,0),0))</f>
        <v/>
      </c>
      <c r="Q1855" s="82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79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0">
        <f>IF($G1856="","",IFERROR(INDEX(設定!$D$6:$D$18,MATCH($G1856,設定!$B$6:$B$18,0)),""))</f>
        <v/>
      </c>
      <c r="I1856" s="80">
        <f>IF($G1856="","",IFERROR(INDEX(設定!$E$6:$E$18,MATCH($G1856,設定!$B$6:$B$18,0)),""))</f>
        <v/>
      </c>
      <c r="J1856" s="80">
        <f>IFERROR(INDEX(打卡匯入!$C$3:$C$2002,MATCH($C1856&amp;"|"&amp;DAY($A1856),打卡匯入!$E$3:$E$2002,0)),"")</f>
        <v/>
      </c>
      <c r="K1856" s="80">
        <f>IFERROR(INDEX(打卡匯入!$D$3:$D$2002,MATCH($C1856&amp;"|"&amp;DAY($A1856),打卡匯入!$E$3:$E$2002,0)),"")</f>
        <v/>
      </c>
      <c r="L1856" s="81">
        <f>IF(OR($J1856="",$K1856=""),"",IFERROR(INDEX(設定!$F$6:$F$18,MATCH($G1856,設定!$B$6:$B$18,0)),0))</f>
        <v/>
      </c>
      <c r="M1856" s="82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1">
        <f>IF(OR($C1856="",$H1856="",$J1856=""),0,IF(ROUND(($J1856-$H1856)*1440,0)&gt;設定!$C$42,ROUND(($J1856-$H1856)*1440,0),0))</f>
        <v/>
      </c>
      <c r="P1856" s="81">
        <f>IF(OR($C1856="",$I1856="",$K1856=""),0,IF(ROUND(($I1856-$K1856)*1440,0)&gt;設定!$C$42,ROUND(($I1856-$K1856)*1440,0),0))</f>
        <v/>
      </c>
      <c r="Q1856" s="82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79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0">
        <f>IF($G1857="","",IFERROR(INDEX(設定!$D$6:$D$18,MATCH($G1857,設定!$B$6:$B$18,0)),""))</f>
        <v/>
      </c>
      <c r="I1857" s="80">
        <f>IF($G1857="","",IFERROR(INDEX(設定!$E$6:$E$18,MATCH($G1857,設定!$B$6:$B$18,0)),""))</f>
        <v/>
      </c>
      <c r="J1857" s="80">
        <f>IFERROR(INDEX(打卡匯入!$C$3:$C$2002,MATCH($C1857&amp;"|"&amp;DAY($A1857),打卡匯入!$E$3:$E$2002,0)),"")</f>
        <v/>
      </c>
      <c r="K1857" s="80">
        <f>IFERROR(INDEX(打卡匯入!$D$3:$D$2002,MATCH($C1857&amp;"|"&amp;DAY($A1857),打卡匯入!$E$3:$E$2002,0)),"")</f>
        <v/>
      </c>
      <c r="L1857" s="81">
        <f>IF(OR($J1857="",$K1857=""),"",IFERROR(INDEX(設定!$F$6:$F$18,MATCH($G1857,設定!$B$6:$B$18,0)),0))</f>
        <v/>
      </c>
      <c r="M1857" s="82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1">
        <f>IF(OR($C1857="",$H1857="",$J1857=""),0,IF(ROUND(($J1857-$H1857)*1440,0)&gt;設定!$C$42,ROUND(($J1857-$H1857)*1440,0),0))</f>
        <v/>
      </c>
      <c r="P1857" s="81">
        <f>IF(OR($C1857="",$I1857="",$K1857=""),0,IF(ROUND(($I1857-$K1857)*1440,0)&gt;設定!$C$42,ROUND(($I1857-$K1857)*1440,0),0))</f>
        <v/>
      </c>
      <c r="Q1857" s="82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79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0">
        <f>IF($G1858="","",IFERROR(INDEX(設定!$D$6:$D$18,MATCH($G1858,設定!$B$6:$B$18,0)),""))</f>
        <v/>
      </c>
      <c r="I1858" s="80">
        <f>IF($G1858="","",IFERROR(INDEX(設定!$E$6:$E$18,MATCH($G1858,設定!$B$6:$B$18,0)),""))</f>
        <v/>
      </c>
      <c r="J1858" s="80">
        <f>IFERROR(INDEX(打卡匯入!$C$3:$C$2002,MATCH($C1858&amp;"|"&amp;DAY($A1858),打卡匯入!$E$3:$E$2002,0)),"")</f>
        <v/>
      </c>
      <c r="K1858" s="80">
        <f>IFERROR(INDEX(打卡匯入!$D$3:$D$2002,MATCH($C1858&amp;"|"&amp;DAY($A1858),打卡匯入!$E$3:$E$2002,0)),"")</f>
        <v/>
      </c>
      <c r="L1858" s="81">
        <f>IF(OR($J1858="",$K1858=""),"",IFERROR(INDEX(設定!$F$6:$F$18,MATCH($G1858,設定!$B$6:$B$18,0)),0))</f>
        <v/>
      </c>
      <c r="M1858" s="82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1">
        <f>IF(OR($C1858="",$H1858="",$J1858=""),0,IF(ROUND(($J1858-$H1858)*1440,0)&gt;設定!$C$42,ROUND(($J1858-$H1858)*1440,0),0))</f>
        <v/>
      </c>
      <c r="P1858" s="81">
        <f>IF(OR($C1858="",$I1858="",$K1858=""),0,IF(ROUND(($I1858-$K1858)*1440,0)&gt;設定!$C$42,ROUND(($I1858-$K1858)*1440,0),0))</f>
        <v/>
      </c>
      <c r="Q1858" s="82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79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0">
        <f>IF($G1859="","",IFERROR(INDEX(設定!$D$6:$D$18,MATCH($G1859,設定!$B$6:$B$18,0)),""))</f>
        <v/>
      </c>
      <c r="I1859" s="80">
        <f>IF($G1859="","",IFERROR(INDEX(設定!$E$6:$E$18,MATCH($G1859,設定!$B$6:$B$18,0)),""))</f>
        <v/>
      </c>
      <c r="J1859" s="80">
        <f>IFERROR(INDEX(打卡匯入!$C$3:$C$2002,MATCH($C1859&amp;"|"&amp;DAY($A1859),打卡匯入!$E$3:$E$2002,0)),"")</f>
        <v/>
      </c>
      <c r="K1859" s="80">
        <f>IFERROR(INDEX(打卡匯入!$D$3:$D$2002,MATCH($C1859&amp;"|"&amp;DAY($A1859),打卡匯入!$E$3:$E$2002,0)),"")</f>
        <v/>
      </c>
      <c r="L1859" s="81">
        <f>IF(OR($J1859="",$K1859=""),"",IFERROR(INDEX(設定!$F$6:$F$18,MATCH($G1859,設定!$B$6:$B$18,0)),0))</f>
        <v/>
      </c>
      <c r="M1859" s="82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1">
        <f>IF(OR($C1859="",$H1859="",$J1859=""),0,IF(ROUND(($J1859-$H1859)*1440,0)&gt;設定!$C$42,ROUND(($J1859-$H1859)*1440,0),0))</f>
        <v/>
      </c>
      <c r="P1859" s="81">
        <f>IF(OR($C1859="",$I1859="",$K1859=""),0,IF(ROUND(($I1859-$K1859)*1440,0)&gt;設定!$C$42,ROUND(($I1859-$K1859)*1440,0),0))</f>
        <v/>
      </c>
      <c r="Q1859" s="82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79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0">
        <f>IF($G1860="","",IFERROR(INDEX(設定!$D$6:$D$18,MATCH($G1860,設定!$B$6:$B$18,0)),""))</f>
        <v/>
      </c>
      <c r="I1860" s="80">
        <f>IF($G1860="","",IFERROR(INDEX(設定!$E$6:$E$18,MATCH($G1860,設定!$B$6:$B$18,0)),""))</f>
        <v/>
      </c>
      <c r="J1860" s="80">
        <f>IFERROR(INDEX(打卡匯入!$C$3:$C$2002,MATCH($C1860&amp;"|"&amp;DAY($A1860),打卡匯入!$E$3:$E$2002,0)),"")</f>
        <v/>
      </c>
      <c r="K1860" s="80">
        <f>IFERROR(INDEX(打卡匯入!$D$3:$D$2002,MATCH($C1860&amp;"|"&amp;DAY($A1860),打卡匯入!$E$3:$E$2002,0)),"")</f>
        <v/>
      </c>
      <c r="L1860" s="81">
        <f>IF(OR($J1860="",$K1860=""),"",IFERROR(INDEX(設定!$F$6:$F$18,MATCH($G1860,設定!$B$6:$B$18,0)),0))</f>
        <v/>
      </c>
      <c r="M1860" s="82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1">
        <f>IF(OR($C1860="",$H1860="",$J1860=""),0,IF(ROUND(($J1860-$H1860)*1440,0)&gt;設定!$C$42,ROUND(($J1860-$H1860)*1440,0),0))</f>
        <v/>
      </c>
      <c r="P1860" s="81">
        <f>IF(OR($C1860="",$I1860="",$K1860=""),0,IF(ROUND(($I1860-$K1860)*1440,0)&gt;設定!$C$42,ROUND(($I1860-$K1860)*1440,0),0))</f>
        <v/>
      </c>
      <c r="Q1860" s="82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79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0">
        <f>IF($G1861="","",IFERROR(INDEX(設定!$D$6:$D$18,MATCH($G1861,設定!$B$6:$B$18,0)),""))</f>
        <v/>
      </c>
      <c r="I1861" s="80">
        <f>IF($G1861="","",IFERROR(INDEX(設定!$E$6:$E$18,MATCH($G1861,設定!$B$6:$B$18,0)),""))</f>
        <v/>
      </c>
      <c r="J1861" s="80">
        <f>IFERROR(INDEX(打卡匯入!$C$3:$C$2002,MATCH($C1861&amp;"|"&amp;DAY($A1861),打卡匯入!$E$3:$E$2002,0)),"")</f>
        <v/>
      </c>
      <c r="K1861" s="80">
        <f>IFERROR(INDEX(打卡匯入!$D$3:$D$2002,MATCH($C1861&amp;"|"&amp;DAY($A1861),打卡匯入!$E$3:$E$2002,0)),"")</f>
        <v/>
      </c>
      <c r="L1861" s="81">
        <f>IF(OR($J1861="",$K1861=""),"",IFERROR(INDEX(設定!$F$6:$F$18,MATCH($G1861,設定!$B$6:$B$18,0)),0))</f>
        <v/>
      </c>
      <c r="M1861" s="82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1">
        <f>IF(OR($C1861="",$H1861="",$J1861=""),0,IF(ROUND(($J1861-$H1861)*1440,0)&gt;設定!$C$42,ROUND(($J1861-$H1861)*1440,0),0))</f>
        <v/>
      </c>
      <c r="P1861" s="81">
        <f>IF(OR($C1861="",$I1861="",$K1861=""),0,IF(ROUND(($I1861-$K1861)*1440,0)&gt;設定!$C$42,ROUND(($I1861-$K1861)*1440,0),0))</f>
        <v/>
      </c>
      <c r="Q1861" s="82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79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0">
        <f>IF($G1862="","",IFERROR(INDEX(設定!$D$6:$D$18,MATCH($G1862,設定!$B$6:$B$18,0)),""))</f>
        <v/>
      </c>
      <c r="I1862" s="80">
        <f>IF($G1862="","",IFERROR(INDEX(設定!$E$6:$E$18,MATCH($G1862,設定!$B$6:$B$18,0)),""))</f>
        <v/>
      </c>
      <c r="J1862" s="80">
        <f>IFERROR(INDEX(打卡匯入!$C$3:$C$2002,MATCH($C1862&amp;"|"&amp;DAY($A1862),打卡匯入!$E$3:$E$2002,0)),"")</f>
        <v/>
      </c>
      <c r="K1862" s="80">
        <f>IFERROR(INDEX(打卡匯入!$D$3:$D$2002,MATCH($C1862&amp;"|"&amp;DAY($A1862),打卡匯入!$E$3:$E$2002,0)),"")</f>
        <v/>
      </c>
      <c r="L1862" s="81">
        <f>IF(OR($J1862="",$K1862=""),"",IFERROR(INDEX(設定!$F$6:$F$18,MATCH($G1862,設定!$B$6:$B$18,0)),0))</f>
        <v/>
      </c>
      <c r="M1862" s="82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1">
        <f>IF(OR($C1862="",$H1862="",$J1862=""),0,IF(ROUND(($J1862-$H1862)*1440,0)&gt;設定!$C$42,ROUND(($J1862-$H1862)*1440,0),0))</f>
        <v/>
      </c>
      <c r="P1862" s="81">
        <f>IF(OR($C1862="",$I1862="",$K1862=""),0,IF(ROUND(($I1862-$K1862)*1440,0)&gt;設定!$C$42,ROUND(($I1862-$K1862)*1440,0),0))</f>
        <v/>
      </c>
      <c r="Q1862" s="82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5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3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3">
        <f>IF($A5="","",SUMIF(出勤紀錄!$C$3:$C$1862,$A5,出勤紀錄!$Q$3:$Q$1862))</f>
        <v/>
      </c>
      <c r="O5" s="83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3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3">
        <f>IF($A6="","",SUMIF(出勤紀錄!$C$3:$C$1862,$A6,出勤紀錄!$Q$3:$Q$1862))</f>
        <v/>
      </c>
      <c r="O6" s="83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3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3">
        <f>IF($A7="","",SUMIF(出勤紀錄!$C$3:$C$1862,$A7,出勤紀錄!$Q$3:$Q$1862))</f>
        <v/>
      </c>
      <c r="O7" s="83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3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3">
        <f>IF($A8="","",SUMIF(出勤紀錄!$C$3:$C$1862,$A8,出勤紀錄!$Q$3:$Q$1862))</f>
        <v/>
      </c>
      <c r="O8" s="83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3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3">
        <f>IF($A9="","",SUMIF(出勤紀錄!$C$3:$C$1862,$A9,出勤紀錄!$Q$3:$Q$1862))</f>
        <v/>
      </c>
      <c r="O9" s="83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3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3">
        <f>IF($A10="","",SUMIF(出勤紀錄!$C$3:$C$1862,$A10,出勤紀錄!$Q$3:$Q$1862))</f>
        <v/>
      </c>
      <c r="O10" s="83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3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3">
        <f>IF($A11="","",SUMIF(出勤紀錄!$C$3:$C$1862,$A11,出勤紀錄!$Q$3:$Q$1862))</f>
        <v/>
      </c>
      <c r="O11" s="83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3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3">
        <f>IF($A12="","",SUMIF(出勤紀錄!$C$3:$C$1862,$A12,出勤紀錄!$Q$3:$Q$1862))</f>
        <v/>
      </c>
      <c r="O12" s="83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3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3">
        <f>IF($A13="","",SUMIF(出勤紀錄!$C$3:$C$1862,$A13,出勤紀錄!$Q$3:$Q$1862))</f>
        <v/>
      </c>
      <c r="O13" s="83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3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3">
        <f>IF($A14="","",SUMIF(出勤紀錄!$C$3:$C$1862,$A14,出勤紀錄!$Q$3:$Q$1862))</f>
        <v/>
      </c>
      <c r="O14" s="83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3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3">
        <f>IF($A15="","",SUMIF(出勤紀錄!$C$3:$C$1862,$A15,出勤紀錄!$Q$3:$Q$1862))</f>
        <v/>
      </c>
      <c r="O15" s="83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3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3">
        <f>IF($A16="","",SUMIF(出勤紀錄!$C$3:$C$1862,$A16,出勤紀錄!$Q$3:$Q$1862))</f>
        <v/>
      </c>
      <c r="O16" s="83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3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3">
        <f>IF($A17="","",SUMIF(出勤紀錄!$C$3:$C$1862,$A17,出勤紀錄!$Q$3:$Q$1862))</f>
        <v/>
      </c>
      <c r="O17" s="83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3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3">
        <f>IF($A18="","",SUMIF(出勤紀錄!$C$3:$C$1862,$A18,出勤紀錄!$Q$3:$Q$1862))</f>
        <v/>
      </c>
      <c r="O18" s="83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3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3">
        <f>IF($A19="","",SUMIF(出勤紀錄!$C$3:$C$1862,$A19,出勤紀錄!$Q$3:$Q$1862))</f>
        <v/>
      </c>
      <c r="O19" s="83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3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3">
        <f>IF($A20="","",SUMIF(出勤紀錄!$C$3:$C$1862,$A20,出勤紀錄!$Q$3:$Q$1862))</f>
        <v/>
      </c>
      <c r="O20" s="83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3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3">
        <f>IF($A21="","",SUMIF(出勤紀錄!$C$3:$C$1862,$A21,出勤紀錄!$Q$3:$Q$1862))</f>
        <v/>
      </c>
      <c r="O21" s="83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3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3">
        <f>IF($A22="","",SUMIF(出勤紀錄!$C$3:$C$1862,$A22,出勤紀錄!$Q$3:$Q$1862))</f>
        <v/>
      </c>
      <c r="O22" s="83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3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3">
        <f>IF($A23="","",SUMIF(出勤紀錄!$C$3:$C$1862,$A23,出勤紀錄!$Q$3:$Q$1862))</f>
        <v/>
      </c>
      <c r="O23" s="83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3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3">
        <f>IF($A24="","",SUMIF(出勤紀錄!$C$3:$C$1862,$A24,出勤紀錄!$Q$3:$Q$1862))</f>
        <v/>
      </c>
      <c r="O24" s="83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3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3">
        <f>IF($A25="","",SUMIF(出勤紀錄!$C$3:$C$1862,$A25,出勤紀錄!$Q$3:$Q$1862))</f>
        <v/>
      </c>
      <c r="O25" s="83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3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3">
        <f>IF($A26="","",SUMIF(出勤紀錄!$C$3:$C$1862,$A26,出勤紀錄!$Q$3:$Q$1862))</f>
        <v/>
      </c>
      <c r="O26" s="83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3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3">
        <f>IF($A27="","",SUMIF(出勤紀錄!$C$3:$C$1862,$A27,出勤紀錄!$Q$3:$Q$1862))</f>
        <v/>
      </c>
      <c r="O27" s="83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3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3">
        <f>IF($A28="","",SUMIF(出勤紀錄!$C$3:$C$1862,$A28,出勤紀錄!$Q$3:$Q$1862))</f>
        <v/>
      </c>
      <c r="O28" s="83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3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3">
        <f>IF($A29="","",SUMIF(出勤紀錄!$C$3:$C$1862,$A29,出勤紀錄!$Q$3:$Q$1862))</f>
        <v/>
      </c>
      <c r="O29" s="83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3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3">
        <f>IF($A30="","",SUMIF(出勤紀錄!$C$3:$C$1862,$A30,出勤紀錄!$Q$3:$Q$1862))</f>
        <v/>
      </c>
      <c r="O30" s="83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3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3">
        <f>IF($A31="","",SUMIF(出勤紀錄!$C$3:$C$1862,$A31,出勤紀錄!$Q$3:$Q$1862))</f>
        <v/>
      </c>
      <c r="O31" s="83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3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3">
        <f>IF($A32="","",SUMIF(出勤紀錄!$C$3:$C$1862,$A32,出勤紀錄!$Q$3:$Q$1862))</f>
        <v/>
      </c>
      <c r="O32" s="83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3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3">
        <f>IF($A33="","",SUMIF(出勤紀錄!$C$3:$C$1862,$A33,出勤紀錄!$Q$3:$Q$1862))</f>
        <v/>
      </c>
      <c r="O33" s="83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3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3">
        <f>IF($A34="","",SUMIF(出勤紀錄!$C$3:$C$1862,$A34,出勤紀錄!$Q$3:$Q$1862))</f>
        <v/>
      </c>
      <c r="O34" s="83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3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3">
        <f>IF($A35="","",SUMIF(出勤紀錄!$C$3:$C$1862,$A35,出勤紀錄!$Q$3:$Q$1862))</f>
        <v/>
      </c>
      <c r="O35" s="83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3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3">
        <f>IF($A36="","",SUMIF(出勤紀錄!$C$3:$C$1862,$A36,出勤紀錄!$Q$3:$Q$1862))</f>
        <v/>
      </c>
      <c r="O36" s="83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3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3">
        <f>IF($A37="","",SUMIF(出勤紀錄!$C$3:$C$1862,$A37,出勤紀錄!$Q$3:$Q$1862))</f>
        <v/>
      </c>
      <c r="O37" s="83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3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3">
        <f>IF($A38="","",SUMIF(出勤紀錄!$C$3:$C$1862,$A38,出勤紀錄!$Q$3:$Q$1862))</f>
        <v/>
      </c>
      <c r="O38" s="83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3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3">
        <f>IF($A39="","",SUMIF(出勤紀錄!$C$3:$C$1862,$A39,出勤紀錄!$Q$3:$Q$1862))</f>
        <v/>
      </c>
      <c r="O39" s="83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3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3">
        <f>IF($A40="","",SUMIF(出勤紀錄!$C$3:$C$1862,$A40,出勤紀錄!$Q$3:$Q$1862))</f>
        <v/>
      </c>
      <c r="O40" s="83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3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3">
        <f>IF($A41="","",SUMIF(出勤紀錄!$C$3:$C$1862,$A41,出勤紀錄!$Q$3:$Q$1862))</f>
        <v/>
      </c>
      <c r="O41" s="83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3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3">
        <f>IF($A42="","",SUMIF(出勤紀錄!$C$3:$C$1862,$A42,出勤紀錄!$Q$3:$Q$1862))</f>
        <v/>
      </c>
      <c r="O42" s="83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3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3">
        <f>IF($A43="","",SUMIF(出勤紀錄!$C$3:$C$1862,$A43,出勤紀錄!$Q$3:$Q$1862))</f>
        <v/>
      </c>
      <c r="O43" s="83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3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3">
        <f>IF($A44="","",SUMIF(出勤紀錄!$C$3:$C$1862,$A44,出勤紀錄!$Q$3:$Q$1862))</f>
        <v/>
      </c>
      <c r="O44" s="83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3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3">
        <f>IF($A45="","",SUMIF(出勤紀錄!$C$3:$C$1862,$A45,出勤紀錄!$Q$3:$Q$1862))</f>
        <v/>
      </c>
      <c r="O45" s="83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3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3">
        <f>IF($A46="","",SUMIF(出勤紀錄!$C$3:$C$1862,$A46,出勤紀錄!$Q$3:$Q$1862))</f>
        <v/>
      </c>
      <c r="O46" s="83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3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3">
        <f>IF($A47="","",SUMIF(出勤紀錄!$C$3:$C$1862,$A47,出勤紀錄!$Q$3:$Q$1862))</f>
        <v/>
      </c>
      <c r="O47" s="83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3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3">
        <f>IF($A48="","",SUMIF(出勤紀錄!$C$3:$C$1862,$A48,出勤紀錄!$Q$3:$Q$1862))</f>
        <v/>
      </c>
      <c r="O48" s="83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3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3">
        <f>IF($A49="","",SUMIF(出勤紀錄!$C$3:$C$1862,$A49,出勤紀錄!$Q$3:$Q$1862))</f>
        <v/>
      </c>
      <c r="O49" s="83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3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3">
        <f>IF($A50="","",SUMIF(出勤紀錄!$C$3:$C$1862,$A50,出勤紀錄!$Q$3:$Q$1862))</f>
        <v/>
      </c>
      <c r="O50" s="83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3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3">
        <f>IF($A51="","",SUMIF(出勤紀錄!$C$3:$C$1862,$A51,出勤紀錄!$Q$3:$Q$1862))</f>
        <v/>
      </c>
      <c r="O51" s="83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3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3">
        <f>IF($A52="","",SUMIF(出勤紀錄!$C$3:$C$1862,$A52,出勤紀錄!$Q$3:$Q$1862))</f>
        <v/>
      </c>
      <c r="O52" s="83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3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3">
        <f>IF($A53="","",SUMIF(出勤紀錄!$C$3:$C$1862,$A53,出勤紀錄!$Q$3:$Q$1862))</f>
        <v/>
      </c>
      <c r="O53" s="83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3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3">
        <f>IF($A54="","",SUMIF(出勤紀錄!$C$3:$C$1862,$A54,出勤紀錄!$Q$3:$Q$1862))</f>
        <v/>
      </c>
      <c r="O54" s="83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3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3">
        <f>IF($A55="","",SUMIF(出勤紀錄!$C$3:$C$1862,$A55,出勤紀錄!$Q$3:$Q$1862))</f>
        <v/>
      </c>
      <c r="O55" s="83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3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3">
        <f>IF($A56="","",SUMIF(出勤紀錄!$C$3:$C$1862,$A56,出勤紀錄!$Q$3:$Q$1862))</f>
        <v/>
      </c>
      <c r="O56" s="83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3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3">
        <f>IF($A57="","",SUMIF(出勤紀錄!$C$3:$C$1862,$A57,出勤紀錄!$Q$3:$Q$1862))</f>
        <v/>
      </c>
      <c r="O57" s="83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3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3">
        <f>IF($A58="","",SUMIF(出勤紀錄!$C$3:$C$1862,$A58,出勤紀錄!$Q$3:$Q$1862))</f>
        <v/>
      </c>
      <c r="O58" s="83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3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3">
        <f>IF($A59="","",SUMIF(出勤紀錄!$C$3:$C$1862,$A59,出勤紀錄!$Q$3:$Q$1862))</f>
        <v/>
      </c>
      <c r="O59" s="83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3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3">
        <f>IF($A60="","",SUMIF(出勤紀錄!$C$3:$C$1862,$A60,出勤紀錄!$Q$3:$Q$1862))</f>
        <v/>
      </c>
      <c r="O60" s="83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3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3">
        <f>IF($A61="","",SUMIF(出勤紀錄!$C$3:$C$1862,$A61,出勤紀錄!$Q$3:$Q$1862))</f>
        <v/>
      </c>
      <c r="O61" s="83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3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3">
        <f>IF($A62="","",SUMIF(出勤紀錄!$C$3:$C$1862,$A62,出勤紀錄!$Q$3:$Q$1862))</f>
        <v/>
      </c>
      <c r="O62" s="83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3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3">
        <f>IF($A63="","",SUMIF(出勤紀錄!$C$3:$C$1862,$A63,出勤紀錄!$Q$3:$Q$1862))</f>
        <v/>
      </c>
      <c r="O63" s="83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3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3">
        <f>IF($A64="","",SUMIF(出勤紀錄!$C$3:$C$1862,$A64,出勤紀錄!$Q$3:$Q$1862))</f>
        <v/>
      </c>
      <c r="O64" s="83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4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4">
        <f>SUM(N5:N64)</f>
        <v/>
      </c>
      <c r="O65" s="84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5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2026-09-11T01:38:33Z</dcterms:created>
  <dcterms:modified xsi:type="dcterms:W3CDTF">2026-09-11T01:38:36Z</dcterms:modified>
</cp:coreProperties>
</file>